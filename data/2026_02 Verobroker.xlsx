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hidePivotFieldList="1"/>
  <mc:AlternateContent xmlns:mc="http://schemas.openxmlformats.org/markup-compatibility/2006">
    <mc:Choice Requires="x15">
      <x15ac:absPath xmlns:x15ac="http://schemas.microsoft.com/office/spreadsheetml/2010/11/ac" url="https://brokerspartners.sharepoint.com/sites/CEOOffice/Documentos compartidos/2. Datos/6. Controlling Comercial/1. Ficheros Report/2026/02. FEBRERO/Estadisticas/02. Febrero/"/>
    </mc:Choice>
  </mc:AlternateContent>
  <xr:revisionPtr revIDLastSave="539" documentId="8_{C037754F-011C-405F-834D-DD9548C2C796}" xr6:coauthVersionLast="47" xr6:coauthVersionMax="47" xr10:uidLastSave="{B4CD3E28-6333-4D24-A3A5-ACCFD0B38CD5}"/>
  <bookViews>
    <workbookView xWindow="-120" yWindow="-120" windowWidth="29040" windowHeight="15720" firstSheet="5" activeTab="5" xr2:uid="{AC9C8347-FAD0-48F6-AE62-0DE895465174}"/>
  </bookViews>
  <sheets>
    <sheet name="Instrucciones" sheetId="2" r:id="rId1"/>
    <sheet name="Descripción" sheetId="1" r:id="rId2"/>
    <sheet name="Mapeo de Ramos" sheetId="8" r:id="rId3"/>
    <sheet name="Otros ingresos" sheetId="5" r:id="rId4"/>
    <sheet name="polizas" sheetId="10" r:id="rId5"/>
    <sheet name="Modelo Datos" sheetId="3" r:id="rId6"/>
    <sheet name="TD" sheetId="6" r:id="rId7"/>
    <sheet name="Hoja1" sheetId="9" r:id="rId8"/>
    <sheet name="REPORT" sheetId="7" r:id="rId9"/>
    <sheet name="Validación Datos" sheetId="4" r:id="rId10"/>
  </sheets>
  <externalReferences>
    <externalReference r:id="rId11"/>
  </externalReferences>
  <definedNames>
    <definedName name="_xlnm._FilterDatabase" localSheetId="2" hidden="1">'Mapeo de Ramos'!$G$2:$G$32</definedName>
    <definedName name="_xlnm._FilterDatabase" localSheetId="5" hidden="1">'Modelo Datos'!$A$1:$AI$827</definedName>
    <definedName name="_xlnm._FilterDatabase" localSheetId="8" hidden="1">REPORT!$A$1:$J$59</definedName>
    <definedName name="empresa_grupo">[1]data!$A$2:$A$1048576</definedName>
    <definedName name="Grupo_Ramo">[1]data!$D$2:$D$1048576</definedName>
    <definedName name="Periodo">[1]data!$B$2:$B$1048576</definedName>
    <definedName name="TIPO_DATO">[1]data!$G$2:$G$1048576</definedName>
  </definedNames>
  <calcPr calcId="191028" iterate="1"/>
  <pivotCaches>
    <pivotCache cacheId="3487" r:id="rId12"/>
    <pivotCache cacheId="3488" r:id="rId13"/>
    <pivotCache cacheId="3489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0" l="1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4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I14" i="10"/>
  <c r="J14" i="10"/>
  <c r="I15" i="10"/>
  <c r="J15" i="10"/>
  <c r="I16" i="10"/>
  <c r="J16" i="10"/>
  <c r="I17" i="10"/>
  <c r="J17" i="10"/>
  <c r="I18" i="10"/>
  <c r="J18" i="10"/>
  <c r="I19" i="10"/>
  <c r="J19" i="10"/>
  <c r="I20" i="10"/>
  <c r="J20" i="10"/>
  <c r="I21" i="10"/>
  <c r="J21" i="10"/>
  <c r="I22" i="10"/>
  <c r="J22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I37" i="10"/>
  <c r="J37" i="10"/>
  <c r="I38" i="10"/>
  <c r="J38" i="10"/>
  <c r="J4" i="10"/>
  <c r="I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4" i="10"/>
  <c r="C28" i="6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2" i="3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60" i="6"/>
  <c r="B84" i="6" l="1"/>
  <c r="B88" i="6" s="1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G76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59" i="6"/>
  <c r="H59" i="6" l="1"/>
  <c r="B56" i="6" l="1"/>
  <c r="C56" i="6"/>
  <c r="B57" i="6"/>
  <c r="C57" i="6"/>
  <c r="B58" i="6"/>
  <c r="C58" i="6"/>
  <c r="B59" i="6"/>
  <c r="C55" i="6"/>
  <c r="B55" i="6"/>
  <c r="G77" i="6" l="1"/>
  <c r="G87" i="6" s="1"/>
  <c r="H77" i="6"/>
  <c r="H87" i="6" s="1"/>
  <c r="B7" i="4"/>
  <c r="B6" i="4"/>
  <c r="B5" i="4"/>
  <c r="B4" i="4"/>
  <c r="C59" i="6" l="1"/>
  <c r="C83" i="6" l="1"/>
  <c r="C82" i="6"/>
  <c r="C84" i="6"/>
  <c r="C88" i="6" s="1"/>
</calcChain>
</file>

<file path=xl/sharedStrings.xml><?xml version="1.0" encoding="utf-8"?>
<sst xmlns="http://schemas.openxmlformats.org/spreadsheetml/2006/main" count="1889" uniqueCount="417">
  <si>
    <t>INSRUCCIONES PARA LA CUMPLIMENTACIÓN DEL FICHERO MENSUAL DE RECIBOS</t>
  </si>
  <si>
    <r>
      <rPr>
        <b/>
        <sz val="11"/>
        <color theme="1"/>
        <rFont val="Aptos Narrow"/>
        <family val="2"/>
        <scheme val="minor"/>
      </rPr>
      <t>Fecha límite para la introducción de recibos</t>
    </r>
    <r>
      <rPr>
        <sz val="11"/>
        <color theme="1"/>
        <rFont val="Aptos Narrow"/>
        <family val="2"/>
        <scheme val="minor"/>
      </rPr>
      <t>: El día 6 del mes siguiente</t>
    </r>
  </si>
  <si>
    <r>
      <rPr>
        <b/>
        <sz val="11"/>
        <color theme="1"/>
        <rFont val="Aptos Narrow"/>
        <family val="2"/>
        <scheme val="minor"/>
      </rPr>
      <t xml:space="preserve">Fecha límite para enviar fichero: </t>
    </r>
    <r>
      <rPr>
        <sz val="11"/>
        <color theme="1"/>
        <rFont val="Aptos Narrow"/>
        <family val="2"/>
        <scheme val="minor"/>
      </rPr>
      <t>Día 7 de cada mes (o el siguiente laborable)</t>
    </r>
  </si>
  <si>
    <t>Requisitos información:</t>
  </si>
  <si>
    <t>- El periodo siempre es el acumulado del año en curso hasta el último día del mes anterior a la fecha de extracción</t>
  </si>
  <si>
    <t>- Rellenar la pestaña "Modelo Datos", con la siguiente información:</t>
  </si>
  <si>
    <t>- Recibos facturados en el periodo</t>
  </si>
  <si>
    <t>- Recibos anulados en el periodo (los importes de primas y comisiones multiplicar x -1)</t>
  </si>
  <si>
    <t>(Deberían aparecer todos los recibos anulados en el periodo en curso, incluso si estos recibos se facturaron en años anteriores)</t>
  </si>
  <si>
    <t>- Revisar en la pestaña "Validación de Datos" que las cifras resultantes de Primas y Comiones son correctas</t>
  </si>
  <si>
    <t xml:space="preserve"> - Rellenar pestaña otros ingresos: Honorarios y/o otras comisiones. (En caso de recibirlos.)</t>
  </si>
  <si>
    <t>- En caso de no disponer de algún campo, nos lo tendríais que comunicar</t>
  </si>
  <si>
    <r>
      <t xml:space="preserve">- Cambiar el nombre del fichero a: </t>
    </r>
    <r>
      <rPr>
        <b/>
        <sz val="11"/>
        <color theme="1"/>
        <rFont val="Aptos Narrow"/>
        <family val="2"/>
        <scheme val="minor"/>
      </rPr>
      <t>Nombre Correduria_yyyymm</t>
    </r>
  </si>
  <si>
    <t>(Eg: Sabseg_202506)</t>
  </si>
  <si>
    <t xml:space="preserve">- Enviar vía email el día 7 a: </t>
  </si>
  <si>
    <t>carles.saez@sabseg.com</t>
  </si>
  <si>
    <t xml:space="preserve">pere.torres@sabseg.com </t>
  </si>
  <si>
    <t>marc.anadon@sabseg.com</t>
  </si>
  <si>
    <t>MODELO DATOS</t>
  </si>
  <si>
    <t>DESCRIPCIÓN</t>
  </si>
  <si>
    <t>Num. Recibo Cía</t>
  </si>
  <si>
    <t>Número de recibo compañía</t>
  </si>
  <si>
    <t>Num. Recibo Interno</t>
  </si>
  <si>
    <t>Número de recibo interno (El que asigna al programa de gestión)</t>
  </si>
  <si>
    <t>Núm. Póliza Cía</t>
  </si>
  <si>
    <t>Número de póliza compañía</t>
  </si>
  <si>
    <t>Núm. Póliza Interno</t>
  </si>
  <si>
    <t>Número de póliza interno (El que asigna al programa de gestión)</t>
  </si>
  <si>
    <t>Fecha facturación</t>
  </si>
  <si>
    <t>Fecha de Facturación o emisión del recibo</t>
  </si>
  <si>
    <t>Fecha Efecto</t>
  </si>
  <si>
    <t>Fecha efecto recibo</t>
  </si>
  <si>
    <t>Producto</t>
  </si>
  <si>
    <t>Nombre de Producto</t>
  </si>
  <si>
    <t>Ramo</t>
  </si>
  <si>
    <t>Nombre de Ramo (con el mayor desglose posible, no ramo DGS)</t>
  </si>
  <si>
    <t>Prima neta</t>
  </si>
  <si>
    <t>Prima neta de póliza (sin impuestos)</t>
  </si>
  <si>
    <t>Comisión Bruta/Correduria</t>
  </si>
  <si>
    <t>Es la comsión total percibida, incluye sobrecomisión en recibo (si la hay)</t>
  </si>
  <si>
    <t>Comisión prima neta</t>
  </si>
  <si>
    <t>Comsión estándar de la póliza, sin la comsión adicional</t>
  </si>
  <si>
    <t>Comisión complementaria</t>
  </si>
  <si>
    <t>Comsión adicional, incluida en recibo</t>
  </si>
  <si>
    <t>Colaborador 1</t>
  </si>
  <si>
    <t>Indicar nombre de Colaborador / Auxiliar Externo 
Si es una venta Cruzada con otra correduria de Sabseg (póliza que le habeis emitido a la otra correduría), indicar como Colaborador a la otra correduría: "VC NOMBRE CORREDURIA"</t>
  </si>
  <si>
    <t>Póliza que habeis emitido a la otra correduría</t>
  </si>
  <si>
    <t>Colaborador 2</t>
  </si>
  <si>
    <t>Colaborador 3</t>
  </si>
  <si>
    <t>Comisión colaborador 1</t>
  </si>
  <si>
    <t>Comisión cedida al colaborador o auxiliar externo</t>
  </si>
  <si>
    <t>Comisión colaborador 2</t>
  </si>
  <si>
    <t>Comisión colaborador 3</t>
  </si>
  <si>
    <t>Fecha Liquidación Colaborador</t>
  </si>
  <si>
    <t>Fecha en las que se liquidan las comisiones al colaborador</t>
  </si>
  <si>
    <t>Tipo Recibo</t>
  </si>
  <si>
    <t>- Nueva Producción - Cartera - Sup. Cartera … (Las diferentes tipologías de  recibo que tengais en vuestro sistema)</t>
  </si>
  <si>
    <t>Empresa</t>
  </si>
  <si>
    <t>Nombre de vuestra correduria</t>
  </si>
  <si>
    <t>Compañía</t>
  </si>
  <si>
    <t>Aseguradora de la póliza</t>
  </si>
  <si>
    <t>Gestión</t>
  </si>
  <si>
    <t>Tipo de gestión/cobro: - Correduría - Compañía (Los diferentes tipos de gestión/cobro del  recibo/póliza que tengais en vuestro sistema)</t>
  </si>
  <si>
    <t>Duracion póliza</t>
  </si>
  <si>
    <t>Diferenciar por tipo de póliza. Renovable (Genera cartera) y temporales/únicas (No genera cartera).</t>
  </si>
  <si>
    <t>Situación</t>
  </si>
  <si>
    <t>- Cobrado - Liquidado - Pendiente - Anulado …. (Las diferentes situaciones del  recibo que tengais en vuestro sistema)</t>
  </si>
  <si>
    <t>Fecha devolución</t>
  </si>
  <si>
    <t xml:space="preserve">      Fechas de situación de los recibos</t>
  </si>
  <si>
    <t>Fecha de liquidación</t>
  </si>
  <si>
    <t>Fecha de cobro</t>
  </si>
  <si>
    <t>Fecha anulación</t>
  </si>
  <si>
    <t>Cliente NIF</t>
  </si>
  <si>
    <t>NIF del cliente</t>
  </si>
  <si>
    <t>Cliente Nombre</t>
  </si>
  <si>
    <t>Nombre del cliente o tomador</t>
  </si>
  <si>
    <t>Tipo Cliente</t>
  </si>
  <si>
    <t>Particular  /  Empresa (o Persona Física / Persona Jurídica)</t>
  </si>
  <si>
    <t>Cliente CP</t>
  </si>
  <si>
    <t>Código Postal</t>
  </si>
  <si>
    <t>OTROS INGRESOS</t>
  </si>
  <si>
    <t>Honorarios</t>
  </si>
  <si>
    <t xml:space="preserve">Honorarios percibidos </t>
  </si>
  <si>
    <t>Cesiones Honorarios</t>
  </si>
  <si>
    <t>Cesiones a colaboradores de los honorarios percibidos</t>
  </si>
  <si>
    <t>Otras comisiones</t>
  </si>
  <si>
    <t>Otras comisiones percibidas por mediación de seguros (colaborador de otra correduria, que no sea  SABSEG.)</t>
  </si>
  <si>
    <t>Cesiones Otras comisiones</t>
  </si>
  <si>
    <t>Cesiones a colaboradores de otras comisiones</t>
  </si>
  <si>
    <t>Empresas</t>
  </si>
  <si>
    <t>Productos</t>
  </si>
  <si>
    <t>Ramos</t>
  </si>
  <si>
    <t>Equivalencia 08/2025</t>
  </si>
  <si>
    <t>Agrupación</t>
  </si>
  <si>
    <t>VEROBROKER</t>
  </si>
  <si>
    <t>ADMINISTRADORES Y DIRECTIVOS</t>
  </si>
  <si>
    <t>R. CIVIL</t>
  </si>
  <si>
    <t>Responsabilidad Civil D&amp;O</t>
  </si>
  <si>
    <t>Líneas Financieras</t>
  </si>
  <si>
    <t>AHORRO</t>
  </si>
  <si>
    <t>VIDA</t>
  </si>
  <si>
    <t>Vida Ahorro Particular</t>
  </si>
  <si>
    <t>AUTOS</t>
  </si>
  <si>
    <t>Autos Cat. 1</t>
  </si>
  <si>
    <t>Autos</t>
  </si>
  <si>
    <t>AVERIA DE MAQUINARIA</t>
  </si>
  <si>
    <t>OT_DA_MAQ</t>
  </si>
  <si>
    <t>Averia Maquinaria</t>
  </si>
  <si>
    <t>Ingeniería</t>
  </si>
  <si>
    <t xml:space="preserve">CESCE </t>
  </si>
  <si>
    <t>Caución</t>
  </si>
  <si>
    <t xml:space="preserve">CESCE PORTUGAL </t>
  </si>
  <si>
    <t>Crédito</t>
  </si>
  <si>
    <t>COLECTIVO</t>
  </si>
  <si>
    <t>ACCIDENTES</t>
  </si>
  <si>
    <t>Accidentes Colectivo</t>
  </si>
  <si>
    <t>Seguros Personales (No Vida) Colectivos</t>
  </si>
  <si>
    <t>COMBINADOS</t>
  </si>
  <si>
    <t>CONVENIO</t>
  </si>
  <si>
    <t>Accidentes Convenio</t>
  </si>
  <si>
    <t>CREDITO</t>
  </si>
  <si>
    <t>CUADRO MEDICO COLECTIVO</t>
  </si>
  <si>
    <t>SALUD</t>
  </si>
  <si>
    <t>Salud Colectivo</t>
  </si>
  <si>
    <t>CUADRO MEDICO INDIVIDUAL</t>
  </si>
  <si>
    <t>Salud Particular</t>
  </si>
  <si>
    <t>Seguros Personales (No Vida) Particular</t>
  </si>
  <si>
    <t>EMBARCACIONES RECREO</t>
  </si>
  <si>
    <t>TRANSPORTE</t>
  </si>
  <si>
    <t>Embarcaciones</t>
  </si>
  <si>
    <t>Náutica</t>
  </si>
  <si>
    <t>FLOTAS</t>
  </si>
  <si>
    <t>Flotas</t>
  </si>
  <si>
    <t>HOGAR</t>
  </si>
  <si>
    <t>DAÑOS</t>
  </si>
  <si>
    <t>Hogar</t>
  </si>
  <si>
    <t>MERCANCIAS</t>
  </si>
  <si>
    <t>Transportes Mercancías</t>
  </si>
  <si>
    <t>Transporte</t>
  </si>
  <si>
    <t>MULTIRRIESGO</t>
  </si>
  <si>
    <t>Otros Multirriesgo</t>
  </si>
  <si>
    <t>Property</t>
  </si>
  <si>
    <t>MULTIRRIESGO INDUSTRIAL</t>
  </si>
  <si>
    <t>Multirriesgo Industriales (PYME)</t>
  </si>
  <si>
    <t>MULTIRRIESGO OFICINAS</t>
  </si>
  <si>
    <t>Multirriesgo Ofinas y Despachos</t>
  </si>
  <si>
    <t>PERSONAS</t>
  </si>
  <si>
    <t>ASIST_VIAJ</t>
  </si>
  <si>
    <t>Asistencia en Viaje</t>
  </si>
  <si>
    <t>Particulares Resto</t>
  </si>
  <si>
    <t>PROTECCION E INDEMIZACION</t>
  </si>
  <si>
    <t>RC GENERAL</t>
  </si>
  <si>
    <t>Responsabilidad Civil Empresa</t>
  </si>
  <si>
    <t>Responsabilidad Civil</t>
  </si>
  <si>
    <t>RC GENERAL/EMPRESAS</t>
  </si>
  <si>
    <t>RESPONSABILIDAD CIVIL</t>
  </si>
  <si>
    <t>RIESGO</t>
  </si>
  <si>
    <t>Vida Riesgo Particular</t>
  </si>
  <si>
    <t>SALUD COLECTIVO</t>
  </si>
  <si>
    <t>TERCEROS</t>
  </si>
  <si>
    <t>TODO RIESGO</t>
  </si>
  <si>
    <t>VB CREDITO</t>
  </si>
  <si>
    <t>VB CREDITO ATRAD</t>
  </si>
  <si>
    <t>VB CREDITO SOLUNION</t>
  </si>
  <si>
    <t>INDICAR DETALLE DE OTROS INGRESOS DURANTE EL PERIODO</t>
  </si>
  <si>
    <t>(Honorarios (SIN IVA), comisiones como colaborador de otras corredurias..)</t>
  </si>
  <si>
    <t>RAMO</t>
  </si>
  <si>
    <t>Mes</t>
  </si>
  <si>
    <t>Cesión Honorarios</t>
  </si>
  <si>
    <t>Cesiones 
Otras Comsiones</t>
  </si>
  <si>
    <t>Total</t>
  </si>
  <si>
    <t>Etiquetas de fila</t>
  </si>
  <si>
    <t>Suma de Prima neta</t>
  </si>
  <si>
    <t>Suma de Comisión Bruta</t>
  </si>
  <si>
    <t>Suma de Comisión prima neta</t>
  </si>
  <si>
    <t>041095361</t>
  </si>
  <si>
    <t>ALLIANZ</t>
  </si>
  <si>
    <t>044963398</t>
  </si>
  <si>
    <t>045060510</t>
  </si>
  <si>
    <t>189001045</t>
  </si>
  <si>
    <t>ZURICH</t>
  </si>
  <si>
    <t>2002300647614</t>
  </si>
  <si>
    <t>MAPFRE</t>
  </si>
  <si>
    <t>20190120167898</t>
  </si>
  <si>
    <t>SVRNE</t>
  </si>
  <si>
    <t>205124739</t>
  </si>
  <si>
    <t>205201332</t>
  </si>
  <si>
    <t>205228708</t>
  </si>
  <si>
    <t>205303370</t>
  </si>
  <si>
    <t>271005337647</t>
  </si>
  <si>
    <t>40005230</t>
  </si>
  <si>
    <t>MS AMLIN</t>
  </si>
  <si>
    <t>82774870-0</t>
  </si>
  <si>
    <t>SANITAS</t>
  </si>
  <si>
    <t>82774870-1</t>
  </si>
  <si>
    <t>82774870-11</t>
  </si>
  <si>
    <t>82774870-12</t>
  </si>
  <si>
    <t>82774870-13</t>
  </si>
  <si>
    <t>82774870-15</t>
  </si>
  <si>
    <t>82774870-16</t>
  </si>
  <si>
    <t>82774870-19</t>
  </si>
  <si>
    <t>82774870-2</t>
  </si>
  <si>
    <t>82774870-3</t>
  </si>
  <si>
    <t>82774870-4</t>
  </si>
  <si>
    <t>82774870-5</t>
  </si>
  <si>
    <t>82774870-6</t>
  </si>
  <si>
    <t>82774870-7</t>
  </si>
  <si>
    <t>82774870-9</t>
  </si>
  <si>
    <t>SP030-000699-24</t>
  </si>
  <si>
    <t>INTACT INSURANCE</t>
  </si>
  <si>
    <t>SP030-000699-25</t>
  </si>
  <si>
    <t>RSA</t>
  </si>
  <si>
    <t>SP030-000710-24</t>
  </si>
  <si>
    <t>SP030-000711-25</t>
  </si>
  <si>
    <t>SP030-001084-24</t>
  </si>
  <si>
    <t>SP030-001084-25</t>
  </si>
  <si>
    <t>SP030-001874-25</t>
  </si>
  <si>
    <t>SP030-001981-25</t>
  </si>
  <si>
    <t>Total general</t>
  </si>
  <si>
    <t>Núm. Recibo Interno</t>
  </si>
  <si>
    <t>Comisión Bruta</t>
  </si>
  <si>
    <t>agrupacion</t>
  </si>
  <si>
    <t>mes</t>
  </si>
  <si>
    <t>ramo</t>
  </si>
  <si>
    <t>2728330</t>
  </si>
  <si>
    <t>5002690000</t>
  </si>
  <si>
    <t>VI_RIESGO</t>
  </si>
  <si>
    <t>SURNE, MUTUA DE SEG. Y REAS. A PRIMA FIJA</t>
  </si>
  <si>
    <t>AK_DIRCIA</t>
  </si>
  <si>
    <t>Facturado</t>
  </si>
  <si>
    <t>IBER STEEL, S.L.</t>
  </si>
  <si>
    <t>568458693</t>
  </si>
  <si>
    <t>5002689485</t>
  </si>
  <si>
    <t>ALLIANZ, COMPAÑIA DE SEGUROS Y REASEGUROS,S.A.</t>
  </si>
  <si>
    <t>AK_BANCO</t>
  </si>
  <si>
    <t>Liquid.</t>
  </si>
  <si>
    <t>LEON COATED SOLUTIONS, S.L.</t>
  </si>
  <si>
    <t>582497826</t>
  </si>
  <si>
    <t>5002699648</t>
  </si>
  <si>
    <t>ASIST_SANI</t>
  </si>
  <si>
    <t>ALLIANZ PORTUGAL</t>
  </si>
  <si>
    <t>PLANOS FERRICOS PORTUGAL PRODUCTOS SIDERÚRGICOS LD</t>
  </si>
  <si>
    <t>8732115179</t>
  </si>
  <si>
    <t>5002692228</t>
  </si>
  <si>
    <t>MAPFRE ESPAÑA, CIA. DE SEG. Y REASEG.,S.A.</t>
  </si>
  <si>
    <t>Cobrado</t>
  </si>
  <si>
    <t>ARANDA COATED SOLUTIONS, S.L</t>
  </si>
  <si>
    <t>25123736</t>
  </si>
  <si>
    <t>5002730989</t>
  </si>
  <si>
    <t>MS AMLIN MARINE N.V.</t>
  </si>
  <si>
    <t>AK_CORRED</t>
  </si>
  <si>
    <t>NETWORK STEEL, S.L.</t>
  </si>
  <si>
    <t>020122012025012A</t>
  </si>
  <si>
    <t>5002732508</t>
  </si>
  <si>
    <t>SANITAS, S.A. DE SEGUROS</t>
  </si>
  <si>
    <t>NETWORK STEEL RESOURCES, S.A</t>
  </si>
  <si>
    <t>5002732493</t>
  </si>
  <si>
    <t>5002732500</t>
  </si>
  <si>
    <t>5002732504</t>
  </si>
  <si>
    <t>5002732506</t>
  </si>
  <si>
    <t>5002732494</t>
  </si>
  <si>
    <t>NETWORK STEEL AFRICA S.L.</t>
  </si>
  <si>
    <t>5002732498</t>
  </si>
  <si>
    <t>ACEROS RECUBIERTOS IMPORTACION MEDITERRA</t>
  </si>
  <si>
    <t>5002732502</t>
  </si>
  <si>
    <t>PLANOS FERRICOS SLU</t>
  </si>
  <si>
    <t>5002732496</t>
  </si>
  <si>
    <t>SANTANDER COATED SOLUTIONS, S.L.</t>
  </si>
  <si>
    <t>5002732495</t>
  </si>
  <si>
    <t>ECO STEEL SOLUTIONS S.L.</t>
  </si>
  <si>
    <t>5002732499</t>
  </si>
  <si>
    <t>5002732507</t>
  </si>
  <si>
    <t>5002732505</t>
  </si>
  <si>
    <t>5002732503</t>
  </si>
  <si>
    <t>5002732501</t>
  </si>
  <si>
    <t>1514126F01</t>
  </si>
  <si>
    <t>5002727674</t>
  </si>
  <si>
    <t>RSA LUXEMBURGO, S.A. SUC. EN ESPAÑA</t>
  </si>
  <si>
    <t>52772156</t>
  </si>
  <si>
    <t>5002733042</t>
  </si>
  <si>
    <t>VI_AHORRO</t>
  </si>
  <si>
    <t>ZURICH VIDA, CIA. DE SEGUROS Y REASEGUROS,S.A.</t>
  </si>
  <si>
    <t>8764786996</t>
  </si>
  <si>
    <t>5002738892</t>
  </si>
  <si>
    <t>1516169F01</t>
  </si>
  <si>
    <t>5002732679</t>
  </si>
  <si>
    <t>1516577F01</t>
  </si>
  <si>
    <t>5002732701</t>
  </si>
  <si>
    <t>AVEIRO COATED SOLUTIONS</t>
  </si>
  <si>
    <t>546215</t>
  </si>
  <si>
    <t>5002739069</t>
  </si>
  <si>
    <t>574622506</t>
  </si>
  <si>
    <t>5002743242</t>
  </si>
  <si>
    <t>574640904</t>
  </si>
  <si>
    <t>5002743243</t>
  </si>
  <si>
    <t>576539096</t>
  </si>
  <si>
    <t>5002743241</t>
  </si>
  <si>
    <t>1516629F01</t>
  </si>
  <si>
    <t>5002739067</t>
  </si>
  <si>
    <t>1516703F01</t>
  </si>
  <si>
    <t>5002739073</t>
  </si>
  <si>
    <t>1519702F01</t>
  </si>
  <si>
    <t>5002748787</t>
  </si>
  <si>
    <t>1519756F01</t>
  </si>
  <si>
    <t>5002748788</t>
  </si>
  <si>
    <t>1520919F01</t>
  </si>
  <si>
    <t>5002749058</t>
  </si>
  <si>
    <t>1521105F01</t>
  </si>
  <si>
    <t>5002749076</t>
  </si>
  <si>
    <t>580199507</t>
  </si>
  <si>
    <t>5002765613</t>
  </si>
  <si>
    <t>588191837</t>
  </si>
  <si>
    <t>5002755771</t>
  </si>
  <si>
    <t>580220485</t>
  </si>
  <si>
    <t>5002765614</t>
  </si>
  <si>
    <t>585998010</t>
  </si>
  <si>
    <t>5002769864</t>
  </si>
  <si>
    <t>Anulado</t>
  </si>
  <si>
    <t>571886534</t>
  </si>
  <si>
    <t>5002753050</t>
  </si>
  <si>
    <t>MULT_COMER</t>
  </si>
  <si>
    <t>26020827</t>
  </si>
  <si>
    <t>5002769198</t>
  </si>
  <si>
    <t>1439264F01</t>
  </si>
  <si>
    <t>5002765607</t>
  </si>
  <si>
    <t>INTACT INSURANCE (EUROPE) SA SUCURSAL EN ESPAÑA</t>
  </si>
  <si>
    <t>1429985F01</t>
  </si>
  <si>
    <t>5002765604</t>
  </si>
  <si>
    <t>1434931F01</t>
  </si>
  <si>
    <t>5002765601</t>
  </si>
  <si>
    <t>1441388F01</t>
  </si>
  <si>
    <t>5002765603</t>
  </si>
  <si>
    <t>1434740F01</t>
  </si>
  <si>
    <t>5002765606</t>
  </si>
  <si>
    <t>1437154F01</t>
  </si>
  <si>
    <t>5002765600</t>
  </si>
  <si>
    <t>1431796F01</t>
  </si>
  <si>
    <t>5002765609</t>
  </si>
  <si>
    <t>1430241F01</t>
  </si>
  <si>
    <t>5002765605</t>
  </si>
  <si>
    <t>1429969F01</t>
  </si>
  <si>
    <t>5002765608</t>
  </si>
  <si>
    <t>1437210F01</t>
  </si>
  <si>
    <t>5002765611</t>
  </si>
  <si>
    <t>1441350F01</t>
  </si>
  <si>
    <t>5002765602</t>
  </si>
  <si>
    <t>1437193F01</t>
  </si>
  <si>
    <t>5002765610</t>
  </si>
  <si>
    <t>1438366F01</t>
  </si>
  <si>
    <t>5002765612</t>
  </si>
  <si>
    <t>1429959F01</t>
  </si>
  <si>
    <t>5002765599</t>
  </si>
  <si>
    <t>020122012026001A</t>
  </si>
  <si>
    <t>5002767860</t>
  </si>
  <si>
    <t>5002767859</t>
  </si>
  <si>
    <t>(Varios elementos)</t>
  </si>
  <si>
    <t>€' 000</t>
  </si>
  <si>
    <t>Prima neta YTD R</t>
  </si>
  <si>
    <t>Comisiones Brutas YTD R</t>
  </si>
  <si>
    <t>cesiones</t>
  </si>
  <si>
    <t>Eventos</t>
  </si>
  <si>
    <t>Inmobiliario</t>
  </si>
  <si>
    <t>Particulares</t>
  </si>
  <si>
    <t>Personales</t>
  </si>
  <si>
    <t>añadir credito de Elevia</t>
  </si>
  <si>
    <t>Vida Ahorro Colectivo</t>
  </si>
  <si>
    <t>MES ANTERIOR</t>
  </si>
  <si>
    <t>Prima</t>
  </si>
  <si>
    <t>Comision</t>
  </si>
  <si>
    <t>Vida Riesgo Colectivo</t>
  </si>
  <si>
    <t>Generales</t>
  </si>
  <si>
    <t>B2B2C</t>
  </si>
  <si>
    <t>Venta cruzada</t>
  </si>
  <si>
    <t>Arte</t>
  </si>
  <si>
    <t>Total Primas Netas</t>
  </si>
  <si>
    <t>Crédito Internacional</t>
  </si>
  <si>
    <t>(Todas)</t>
  </si>
  <si>
    <t>Ingenieria</t>
  </si>
  <si>
    <t>Lineas Financieras</t>
  </si>
  <si>
    <t>Seguros Personales (No Vida) Colectivo</t>
  </si>
  <si>
    <t>Venta Cruzada</t>
  </si>
  <si>
    <t xml:space="preserve">Total </t>
  </si>
  <si>
    <t>(en blanco)</t>
  </si>
  <si>
    <t>Mes actual</t>
  </si>
  <si>
    <t>Agro</t>
  </si>
  <si>
    <t>Resto de Lineas</t>
  </si>
  <si>
    <t>Retirada</t>
  </si>
  <si>
    <t>AJUSTES</t>
  </si>
  <si>
    <t>Vida Ganado</t>
  </si>
  <si>
    <t>empresa</t>
  </si>
  <si>
    <t>TIPO_DATO</t>
  </si>
  <si>
    <t>Equivalencia</t>
  </si>
  <si>
    <t>area</t>
  </si>
  <si>
    <t>Cliente</t>
  </si>
  <si>
    <t>Entidad Aseguradora</t>
  </si>
  <si>
    <t>Total Comisión</t>
  </si>
  <si>
    <t>Real</t>
  </si>
  <si>
    <t>AXA SEGUROS GENERALES,S.A. DE SEG. Y REASEG.</t>
  </si>
  <si>
    <t>MARIA SACRISTAN MORENO</t>
  </si>
  <si>
    <t>HELVETIA COMPAÑIA SUIZA,S.A.</t>
  </si>
  <si>
    <t>NETWORK MOBILITY SOLUTIONS S.L.</t>
  </si>
  <si>
    <t>NETWORK STEEL SUISSE</t>
  </si>
  <si>
    <t>GAM ESPAÑA SERVICIOS DE MAQUINARIA SLU</t>
  </si>
  <si>
    <t>VB CESCE ESPAÑA</t>
  </si>
  <si>
    <t>SANTANDER COATED SOLUTIONS SL</t>
  </si>
  <si>
    <t>GALMED STEEL SA.</t>
  </si>
  <si>
    <t>PLANOS FERRICOS SL</t>
  </si>
  <si>
    <t>ATRADIUS CREDITO Y CAUCION S.A. DE SEGUROS Y REASEGUROS</t>
  </si>
  <si>
    <t>SZCS SOZA COATED SOLUTIONS COM</t>
  </si>
  <si>
    <t>PLANOS FERRICOS PORTUGAL PRODUTOS SIDERURGICOS LDA</t>
  </si>
  <si>
    <t>VALIDACIÓN DATOS</t>
  </si>
  <si>
    <t>IMPORTES ACUMULADOS</t>
  </si>
  <si>
    <t>Primas Netas</t>
  </si>
  <si>
    <t>Comsiones Brutas</t>
  </si>
  <si>
    <t>Comisión P. Neta</t>
  </si>
  <si>
    <t>Comsión Colaborador</t>
  </si>
  <si>
    <t>Verificar que las cifras acumuladas son correctas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</si>
</sst>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\ &quot;€&quot;"/>
    <numFmt numFmtId="165" formatCode="#,##0;\(#,##0\);\-\-"/>
    <numFmt numFmtId="166" formatCode="_-* #,##0.00\ _€_-;\-* #,##0.00\ _€_-;_-* &quot;-&quot;??\ _€_-;_-@_-"/>
    <numFmt numFmtId="167" formatCode="#0.00"/>
  </numFmts>
  <fonts count="2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1"/>
      <color theme="4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9"/>
      <color theme="0"/>
      <name val="Courier New"/>
      <family val="3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color theme="1" tint="0.499984740745262"/>
      <name val="Arial"/>
      <family val="2"/>
    </font>
    <font>
      <b/>
      <sz val="9"/>
      <color theme="1"/>
      <name val="Arial"/>
      <family val="2"/>
    </font>
    <font>
      <b/>
      <sz val="9"/>
      <color indexed="8"/>
      <name val="Arial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CE6F1"/>
        <bgColor rgb="FF000000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3" tint="0.499984740745262"/>
      </top>
      <bottom/>
      <diagonal/>
    </border>
    <border>
      <left/>
      <right/>
      <top/>
      <bottom style="thin">
        <color theme="3" tint="0.499984740745262"/>
      </bottom>
      <diagonal/>
    </border>
    <border>
      <left/>
      <right style="thin">
        <color theme="7"/>
      </right>
      <top style="thin">
        <color theme="3" tint="0.499984740745262"/>
      </top>
      <bottom/>
      <diagonal/>
    </border>
    <border>
      <left/>
      <right style="thin">
        <color theme="7"/>
      </right>
      <top/>
      <bottom/>
      <diagonal/>
    </border>
    <border>
      <left/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0"/>
      </left>
      <right/>
      <top/>
      <bottom/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medium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1" tint="0.499984740745262"/>
      </top>
      <bottom style="double">
        <color theme="1" tint="0.499984740745262"/>
      </bottom>
      <diagonal/>
    </border>
  </borders>
  <cellStyleXfs count="5">
    <xf numFmtId="0" fontId="0" fillId="0" borderId="0"/>
    <xf numFmtId="0" fontId="7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43" fontId="16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 indent="2"/>
    </xf>
    <xf numFmtId="0" fontId="0" fillId="0" borderId="0" xfId="0" quotePrefix="1" applyAlignment="1">
      <alignment horizontal="left" vertical="center" wrapText="1" indent="2"/>
    </xf>
    <xf numFmtId="0" fontId="0" fillId="0" borderId="0" xfId="0" applyAlignment="1">
      <alignment horizontal="left" indent="2"/>
    </xf>
    <xf numFmtId="2" fontId="3" fillId="2" borderId="1" xfId="0" applyNumberFormat="1" applyFont="1" applyFill="1" applyBorder="1" applyAlignment="1">
      <alignment horizontal="left" vertical="center" wrapText="1" indent="2"/>
    </xf>
    <xf numFmtId="2" fontId="3" fillId="3" borderId="1" xfId="0" applyNumberFormat="1" applyFont="1" applyFill="1" applyBorder="1" applyAlignment="1">
      <alignment horizontal="left" vertical="center" wrapText="1" indent="2"/>
    </xf>
    <xf numFmtId="0" fontId="4" fillId="0" borderId="0" xfId="0" applyFont="1" applyAlignment="1">
      <alignment horizontal="left" indent="2"/>
    </xf>
    <xf numFmtId="0" fontId="0" fillId="4" borderId="0" xfId="0" applyFill="1"/>
    <xf numFmtId="0" fontId="0" fillId="4" borderId="0" xfId="0" quotePrefix="1" applyFill="1"/>
    <xf numFmtId="0" fontId="0" fillId="4" borderId="3" xfId="0" applyFill="1" applyBorder="1"/>
    <xf numFmtId="0" fontId="1" fillId="2" borderId="0" xfId="0" applyFont="1" applyFill="1" applyAlignment="1">
      <alignment horizontal="center"/>
    </xf>
    <xf numFmtId="164" fontId="2" fillId="0" borderId="2" xfId="0" applyNumberFormat="1" applyFont="1" applyBorder="1"/>
    <xf numFmtId="0" fontId="4" fillId="5" borderId="2" xfId="0" applyFont="1" applyFill="1" applyBorder="1"/>
    <xf numFmtId="0" fontId="5" fillId="0" borderId="0" xfId="0" applyFont="1"/>
    <xf numFmtId="0" fontId="0" fillId="0" borderId="0" xfId="0" applyAlignment="1" applyProtection="1">
      <alignment horizontal="center"/>
      <protection locked="0"/>
    </xf>
    <xf numFmtId="14" fontId="6" fillId="0" borderId="0" xfId="0" applyNumberFormat="1" applyFont="1"/>
    <xf numFmtId="14" fontId="0" fillId="0" borderId="0" xfId="0" applyNumberFormat="1" applyAlignment="1" applyProtection="1">
      <alignment horizontal="center"/>
      <protection locked="0"/>
    </xf>
    <xf numFmtId="0" fontId="0" fillId="4" borderId="5" xfId="0" applyFill="1" applyBorder="1"/>
    <xf numFmtId="0" fontId="0" fillId="4" borderId="6" xfId="0" applyFill="1" applyBorder="1"/>
    <xf numFmtId="0" fontId="8" fillId="4" borderId="0" xfId="0" applyFont="1" applyFill="1"/>
    <xf numFmtId="0" fontId="0" fillId="4" borderId="0" xfId="0" quotePrefix="1" applyFill="1" applyAlignment="1">
      <alignment vertical="center"/>
    </xf>
    <xf numFmtId="0" fontId="7" fillId="4" borderId="0" xfId="1" applyFill="1"/>
    <xf numFmtId="0" fontId="0" fillId="4" borderId="7" xfId="0" applyFill="1" applyBorder="1"/>
    <xf numFmtId="0" fontId="7" fillId="4" borderId="7" xfId="1" applyFill="1" applyBorder="1"/>
    <xf numFmtId="0" fontId="0" fillId="4" borderId="8" xfId="0" applyFill="1" applyBorder="1"/>
    <xf numFmtId="14" fontId="0" fillId="0" borderId="0" xfId="0" applyNumberFormat="1" applyProtection="1">
      <protection locked="0"/>
    </xf>
    <xf numFmtId="0" fontId="0" fillId="0" borderId="6" xfId="0" applyBorder="1"/>
    <xf numFmtId="2" fontId="3" fillId="7" borderId="1" xfId="0" applyNumberFormat="1" applyFont="1" applyFill="1" applyBorder="1" applyAlignment="1">
      <alignment horizontal="left" vertical="center" wrapText="1" indent="2"/>
    </xf>
    <xf numFmtId="2" fontId="3" fillId="8" borderId="1" xfId="0" applyNumberFormat="1" applyFont="1" applyFill="1" applyBorder="1" applyAlignment="1">
      <alignment horizontal="left" vertical="center" wrapText="1" indent="2"/>
    </xf>
    <xf numFmtId="0" fontId="2" fillId="8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2" fillId="10" borderId="1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4" fontId="2" fillId="0" borderId="13" xfId="0" applyNumberFormat="1" applyFont="1" applyBorder="1" applyAlignment="1">
      <alignment horizontal="left"/>
    </xf>
    <xf numFmtId="4" fontId="0" fillId="0" borderId="0" xfId="0" applyNumberFormat="1"/>
    <xf numFmtId="0" fontId="12" fillId="4" borderId="0" xfId="0" applyFont="1" applyFill="1" applyAlignment="1">
      <alignment horizontal="left" indent="2"/>
    </xf>
    <xf numFmtId="0" fontId="13" fillId="4" borderId="0" xfId="0" applyFont="1" applyFill="1" applyAlignment="1">
      <alignment horizontal="left" indent="2"/>
    </xf>
    <xf numFmtId="0" fontId="14" fillId="4" borderId="14" xfId="0" applyFont="1" applyFill="1" applyBorder="1"/>
    <xf numFmtId="165" fontId="15" fillId="4" borderId="0" xfId="0" applyNumberFormat="1" applyFont="1" applyFill="1"/>
    <xf numFmtId="165" fontId="13" fillId="4" borderId="0" xfId="0" applyNumberFormat="1" applyFont="1" applyFill="1"/>
    <xf numFmtId="0" fontId="2" fillId="4" borderId="0" xfId="0" applyFont="1" applyFill="1" applyAlignment="1">
      <alignment horizontal="center" vertical="center"/>
    </xf>
    <xf numFmtId="14" fontId="0" fillId="0" borderId="0" xfId="0" applyNumberFormat="1"/>
    <xf numFmtId="0" fontId="11" fillId="0" borderId="0" xfId="0" applyFont="1"/>
    <xf numFmtId="14" fontId="11" fillId="0" borderId="0" xfId="0" applyNumberFormat="1" applyFont="1"/>
    <xf numFmtId="0" fontId="0" fillId="5" borderId="0" xfId="0" applyFill="1"/>
    <xf numFmtId="14" fontId="11" fillId="5" borderId="0" xfId="0" applyNumberFormat="1" applyFont="1" applyFill="1"/>
    <xf numFmtId="0" fontId="0" fillId="5" borderId="0" xfId="0" applyFill="1" applyAlignment="1">
      <alignment horizontal="left"/>
    </xf>
    <xf numFmtId="4" fontId="0" fillId="5" borderId="0" xfId="0" applyNumberFormat="1" applyFill="1"/>
    <xf numFmtId="0" fontId="2" fillId="10" borderId="13" xfId="0" applyFont="1" applyFill="1" applyBorder="1"/>
    <xf numFmtId="0" fontId="17" fillId="11" borderId="0" xfId="0" applyFont="1" applyFill="1"/>
    <xf numFmtId="0" fontId="18" fillId="11" borderId="0" xfId="0" applyFont="1" applyFill="1"/>
    <xf numFmtId="0" fontId="18" fillId="11" borderId="0" xfId="0" applyFont="1" applyFill="1" applyAlignment="1">
      <alignment horizontal="center"/>
    </xf>
    <xf numFmtId="0" fontId="19" fillId="0" borderId="0" xfId="0" applyFont="1"/>
    <xf numFmtId="43" fontId="2" fillId="10" borderId="13" xfId="4" applyFont="1" applyFill="1" applyBorder="1" applyAlignment="1">
      <alignment horizontal="left"/>
    </xf>
    <xf numFmtId="0" fontId="2" fillId="0" borderId="0" xfId="0" applyFont="1"/>
    <xf numFmtId="43" fontId="2" fillId="0" borderId="0" xfId="4" applyFont="1" applyBorder="1" applyAlignment="1">
      <alignment horizontal="left"/>
    </xf>
    <xf numFmtId="4" fontId="2" fillId="6" borderId="0" xfId="0" applyNumberFormat="1" applyFont="1" applyFill="1"/>
    <xf numFmtId="43" fontId="0" fillId="0" borderId="0" xfId="0" applyNumberFormat="1"/>
    <xf numFmtId="4" fontId="2" fillId="0" borderId="0" xfId="0" applyNumberFormat="1" applyFont="1"/>
    <xf numFmtId="166" fontId="2" fillId="6" borderId="0" xfId="0" applyNumberFormat="1" applyFont="1" applyFill="1"/>
    <xf numFmtId="4" fontId="11" fillId="0" borderId="0" xfId="0" applyNumberFormat="1" applyFont="1"/>
    <xf numFmtId="0" fontId="0" fillId="12" borderId="0" xfId="0" applyFill="1"/>
    <xf numFmtId="0" fontId="0" fillId="12" borderId="0" xfId="0" applyFill="1" applyAlignment="1">
      <alignment horizontal="left"/>
    </xf>
    <xf numFmtId="165" fontId="12" fillId="4" borderId="0" xfId="0" applyNumberFormat="1" applyFont="1" applyFill="1"/>
    <xf numFmtId="2" fontId="3" fillId="2" borderId="1" xfId="0" applyNumberFormat="1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9" borderId="11" xfId="0" applyNumberFormat="1" applyFont="1" applyFill="1" applyBorder="1" applyAlignment="1">
      <alignment horizontal="center" vertical="center"/>
    </xf>
    <xf numFmtId="2" fontId="3" fillId="3" borderId="11" xfId="0" applyNumberFormat="1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20" fillId="0" borderId="0" xfId="0" applyFont="1"/>
    <xf numFmtId="14" fontId="20" fillId="0" borderId="0" xfId="0" applyNumberFormat="1" applyFont="1"/>
    <xf numFmtId="0" fontId="0" fillId="5" borderId="0" xfId="0" applyFill="1" applyProtection="1">
      <protection locked="0"/>
    </xf>
    <xf numFmtId="167" fontId="0" fillId="0" borderId="0" xfId="0" applyNumberFormat="1"/>
    <xf numFmtId="14" fontId="0" fillId="6" borderId="0" xfId="0" applyNumberFormat="1" applyFill="1"/>
    <xf numFmtId="0" fontId="0" fillId="6" borderId="0" xfId="0" applyFill="1"/>
    <xf numFmtId="0" fontId="0" fillId="0" borderId="0" xfId="0" applyAlignment="1">
      <alignment wrapText="1"/>
    </xf>
    <xf numFmtId="0" fontId="0" fillId="6" borderId="0" xfId="0" applyFill="1" applyAlignment="1">
      <alignment wrapText="1"/>
    </xf>
    <xf numFmtId="4" fontId="2" fillId="10" borderId="13" xfId="0" applyNumberFormat="1" applyFont="1" applyFill="1" applyBorder="1"/>
    <xf numFmtId="165" fontId="14" fillId="4" borderId="0" xfId="0" applyNumberFormat="1" applyFont="1" applyFill="1"/>
    <xf numFmtId="0" fontId="1" fillId="2" borderId="4" xfId="0" applyFont="1" applyFill="1" applyBorder="1" applyAlignment="1">
      <alignment horizontal="center"/>
    </xf>
    <xf numFmtId="0" fontId="0" fillId="0" borderId="9" xfId="0" quotePrefix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5">
    <cellStyle name="Hipervínculo" xfId="1" builtinId="8"/>
    <cellStyle name="Millares" xfId="4" builtinId="3"/>
    <cellStyle name="Millares 2" xfId="2" xr:uid="{FDCA53CE-3A26-46AC-9B13-C03B0CD4AC06}"/>
    <cellStyle name="Normal" xfId="0" builtinId="0"/>
    <cellStyle name="Normal 2" xfId="3" xr:uid="{12F76F49-8A85-42D0-B92F-195A0A81D086}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8659</xdr:colOff>
      <xdr:row>1</xdr:row>
      <xdr:rowOff>76893</xdr:rowOff>
    </xdr:from>
    <xdr:to>
      <xdr:col>3</xdr:col>
      <xdr:colOff>745721</xdr:colOff>
      <xdr:row>3</xdr:row>
      <xdr:rowOff>97911</xdr:rowOff>
    </xdr:to>
    <xdr:pic>
      <xdr:nvPicPr>
        <xdr:cNvPr id="2" name="GrÃ¡fico 3">
          <a:extLst>
            <a:ext uri="{FF2B5EF4-FFF2-40B4-BE49-F238E27FC236}">
              <a16:creationId xmlns:a16="http://schemas.microsoft.com/office/drawing/2014/main" id="{5F8F1978-E350-5A4F-D294-1EA33D152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77" y="258734"/>
          <a:ext cx="1883872" cy="3885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3.%20Plantillas%20Estadisticas/2026_Reporting%20COMEX%20Datos%20Report_NEW_v2.xlsx" TargetMode="External"/><Relationship Id="rId2" Type="http://schemas.openxmlformats.org/officeDocument/2006/relationships/externalLinkPath" Target="https://brokerspartners.sharepoint.com/sites/CEOOffice/Documentos%20compartidos/2.%20Datos/6.%20Controlling%20Comercial/3.%20Plantillas%20Estadisticas/2026_Reporting%20COMEX%20Datos%20Report_NEW_v2.xlsx" TargetMode="External"/><Relationship Id="rId1" Type="http://schemas.openxmlformats.org/officeDocument/2006/relationships/externalLinkPath" Target="/sites/CEOOffice/Documentos%20compartidos/2.%20Datos/6.%20Controlling%20Comercial/3.%20Plantillas%20Estadisticas/2026_Reporting%20COMEX%20Datos%20Report_NEW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rero budget"/>
      <sheetName val="mapeo_opex"/>
      <sheetName val="enero"/>
      <sheetName val="y-1 acum feb"/>
      <sheetName val="Portada"/>
      <sheetName val="SWITCH"/>
      <sheetName val="bud acum feb"/>
      <sheetName val="Hoja1"/>
      <sheetName val="1.1 SGG CONSO RESUMEN YTD "/>
      <sheetName val="1.2 SGG RESUMEN GENERAL YTD "/>
      <sheetName val="2.1 SGG CONSO VENTAS YTD"/>
      <sheetName val="CHECK DATOS"/>
      <sheetName val="OPEX"/>
      <sheetName val="PERSONAL"/>
      <sheetName val="data_opex"/>
      <sheetName val="data"/>
      <sheetName val="Hoja2"/>
      <sheetName val="2.01 Portugal Detalle"/>
      <sheetName val="2.02 Italia Detalle"/>
      <sheetName val="2.10 ADELL Ventas Detalle "/>
      <sheetName val="2.11 Agrinalcazar Detalle"/>
      <sheetName val="2.12 Araytor Detalle"/>
      <sheetName val="2.13 Arrenta Ventas Detalle "/>
      <sheetName val="2.15 BRC Ventas Detalle"/>
      <sheetName val="2.14. BAN Ventas Detalle"/>
      <sheetName val="2.16 CARANTIA Ventas Detalle"/>
      <sheetName val="2.17 Euromex Detalle"/>
      <sheetName val="2.18 ICBA Ventas Detalle"/>
      <sheetName val="2.19 Insurart Detalle"/>
      <sheetName val="2.20.O&amp;B Ventas Detalle"/>
      <sheetName val="2.22 POOLSEGUR Ventas Detalle"/>
      <sheetName val="2.21 PG Detalle"/>
      <sheetName val="2.23 SValencia Detalle"/>
      <sheetName val="2.24 VeroBrokers Detalle"/>
      <sheetName val="2.25 Zurriola Detalle"/>
      <sheetName val="2.26 Futura Detalle"/>
      <sheetName val="2.27 Seguretxe Detalle"/>
      <sheetName val="2.28 Team Hires Detal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39148148145" createdVersion="8" refreshedVersion="8" minRefreshableVersion="3" recordCount="827" xr:uid="{A3F7DF93-FAA2-4F3A-8AF8-58B2FB1BA19F}">
  <cacheSource type="worksheet">
    <worksheetSource ref="A1:AI1048576" sheet="Modelo Datos"/>
  </cacheSource>
  <cacheFields count="35">
    <cacheField name="Num. Recibo Cía" numFmtId="0">
      <sharedItems containsBlank="1"/>
    </cacheField>
    <cacheField name="Núm. Recibo Interno" numFmtId="0">
      <sharedItems containsBlank="1"/>
    </cacheField>
    <cacheField name="Núm. Póliza Cía" numFmtId="0">
      <sharedItems containsBlank="1"/>
    </cacheField>
    <cacheField name="Núm. Póliza Interno" numFmtId="0">
      <sharedItems containsNonDate="0" containsString="0" containsBlank="1"/>
    </cacheField>
    <cacheField name="Fecha facturación" numFmtId="0">
      <sharedItems containsNonDate="0" containsDate="1" containsString="0" containsBlank="1" minDate="2026-01-02T00:00:00" maxDate="2026-01-22T00:00:00"/>
    </cacheField>
    <cacheField name="Fecha Efecto" numFmtId="0">
      <sharedItems containsNonDate="0" containsDate="1" containsString="0" containsBlank="1" minDate="2025-09-29T00:00:00" maxDate="2026-01-16T00:00:00"/>
    </cacheField>
    <cacheField name="Producto" numFmtId="0">
      <sharedItems containsBlank="1"/>
    </cacheField>
    <cacheField name="Ramo" numFmtId="0">
      <sharedItems containsBlank="1"/>
    </cacheField>
    <cacheField name="Prima neta" numFmtId="0">
      <sharedItems containsString="0" containsBlank="1" containsNumber="1" minValue="66.55" maxValue="47102.55"/>
    </cacheField>
    <cacheField name="Comisión Bruta" numFmtId="0">
      <sharedItems containsString="0" containsBlank="1" containsNumber="1" minValue="3" maxValue="4710.26"/>
    </cacheField>
    <cacheField name="Comisión prima neta" numFmtId="0">
      <sharedItems containsString="0" containsBlank="1" containsNumber="1" minValue="3" maxValue="4710.26"/>
    </cacheField>
    <cacheField name="Comisión complementaria" numFmtId="0">
      <sharedItems containsNonDate="0" containsString="0" containsBlank="1"/>
    </cacheField>
    <cacheField name="Colaborador 1" numFmtId="0">
      <sharedItems containsNonDate="0" containsString="0" containsBlank="1"/>
    </cacheField>
    <cacheField name="Colaborador 2" numFmtId="0">
      <sharedItems containsNonDate="0" containsString="0" containsBlank="1"/>
    </cacheField>
    <cacheField name="Colaborador 3" numFmtId="0">
      <sharedItems containsNonDate="0" containsString="0" containsBlank="1"/>
    </cacheField>
    <cacheField name="Comisión colaborador 1" numFmtId="0">
      <sharedItems containsNonDate="0" containsString="0" containsBlank="1"/>
    </cacheField>
    <cacheField name="Comisión colaborador 2" numFmtId="0">
      <sharedItems containsNonDate="0" containsString="0" containsBlank="1"/>
    </cacheField>
    <cacheField name="Comisión colaborador 3" numFmtId="0">
      <sharedItems containsNonDate="0" containsString="0" containsBlank="1"/>
    </cacheField>
    <cacheField name="Fecha Liquidación Colaborador" numFmtId="0">
      <sharedItems containsNonDate="0" containsString="0" containsBlank="1"/>
    </cacheField>
    <cacheField name="Tipo Recibo" numFmtId="0">
      <sharedItems containsNonDate="0" containsString="0" containsBlank="1"/>
    </cacheField>
    <cacheField name="Empresa" numFmtId="0">
      <sharedItems containsBlank="1"/>
    </cacheField>
    <cacheField name="Compañía" numFmtId="0">
      <sharedItems containsBlank="1"/>
    </cacheField>
    <cacheField name="Gestión" numFmtId="0">
      <sharedItems containsBlank="1"/>
    </cacheField>
    <cacheField name="Duracion póliza" numFmtId="0">
      <sharedItems containsNonDate="0" containsString="0" containsBlank="1"/>
    </cacheField>
    <cacheField name="Situación" numFmtId="0">
      <sharedItems containsBlank="1" count="8">
        <s v="Facturado"/>
        <s v="Liquid."/>
        <s v="Cobrado"/>
        <m/>
        <s v="Liquidado_Cia" u="1"/>
        <s v="Anulado_Cia" u="1"/>
        <s v="Anulado" u="1"/>
        <s v="Devuelto" u="1"/>
      </sharedItems>
    </cacheField>
    <cacheField name="Fecha devolución" numFmtId="0">
      <sharedItems containsNonDate="0" containsString="0" containsBlank="1"/>
    </cacheField>
    <cacheField name="Fecha de liquidación" numFmtId="0">
      <sharedItems containsNonDate="0" containsDate="1" containsString="0" containsBlank="1" minDate="2025-12-30T00:00:00" maxDate="2026-02-05T00:00:00"/>
    </cacheField>
    <cacheField name="Fecha de cobro" numFmtId="0">
      <sharedItems containsNonDate="0" containsString="0" containsBlank="1"/>
    </cacheField>
    <cacheField name="Fecha anulación" numFmtId="0">
      <sharedItems containsNonDate="0" containsString="0" containsBlank="1"/>
    </cacheField>
    <cacheField name="Cliente NIF" numFmtId="0">
      <sharedItems containsNonDate="0" containsString="0" containsBlank="1"/>
    </cacheField>
    <cacheField name="Cliente Nombre" numFmtId="0">
      <sharedItems containsBlank="1"/>
    </cacheField>
    <cacheField name="Tipo Cliente" numFmtId="0">
      <sharedItems containsNonDate="0" containsString="0" containsBlank="1"/>
    </cacheField>
    <cacheField name="Cliente CP" numFmtId="0">
      <sharedItems containsNonDate="0" containsString="0" containsBlank="1"/>
    </cacheField>
    <cacheField name="agrupacion" numFmtId="0">
      <sharedItems containsBlank="1" count="20">
        <s v="Vida Riesgo Particular"/>
        <s v="Seguros Personales (No Vida) Colectivos"/>
        <s v="Seguros Personales (No Vida) Particular"/>
        <s v="Autos"/>
        <s v="Transporte"/>
        <s v="Vida Ahorro Particular"/>
        <m/>
        <s v="Crédito" u="1"/>
        <s v="Property" u="1"/>
        <s v="Hogar" u="1"/>
        <s v="Responsabilidad Civil" u="1"/>
        <s v="Flotas" u="1"/>
        <s v="Náutica" u="1"/>
        <s v="Líneas Financieras" u="1"/>
        <s v="Ingeniería" u="1"/>
        <s v="Particulares Resto" u="1"/>
        <s v="Caución" u="1"/>
        <s v="Ingenieria" u="1"/>
        <s v="Seguros Personales (No Vida) Colectivo" u="1"/>
        <s v="Lineas Financieras" u="1"/>
      </sharedItems>
    </cacheField>
    <cacheField name="mes" numFmtId="0">
      <sharedItems containsNonDate="0" containsString="0" containsBlank="1" containsNumber="1" containsInteger="1" minValue="1" maxValue="12" count="13">
        <m/>
        <n v="1" u="1"/>
        <n v="3" u="1"/>
        <n v="2" u="1"/>
        <n v="4" u="1"/>
        <n v="5" u="1"/>
        <n v="6" u="1"/>
        <n v="8" u="1"/>
        <n v="7" u="1"/>
        <n v="9" u="1"/>
        <n v="10" u="1"/>
        <n v="11" u="1"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 Anadon" refreshedDate="46091.493799537035" createdVersion="8" refreshedVersion="8" minRefreshableVersion="3" recordCount="827" xr:uid="{50885D6F-4899-45C7-AC59-88B25C4C8065}">
  <cacheSource type="worksheet">
    <worksheetSource ref="A1:AH1048576" sheet="Modelo Datos"/>
  </cacheSource>
  <cacheFields count="34">
    <cacheField name="Num. Recibo Cía" numFmtId="0">
      <sharedItems containsBlank="1"/>
    </cacheField>
    <cacheField name="Núm. Recibo Interno" numFmtId="0">
      <sharedItems containsBlank="1"/>
    </cacheField>
    <cacheField name="Núm. Póliza Cía" numFmtId="0">
      <sharedItems containsBlank="1"/>
    </cacheField>
    <cacheField name="Núm. Póliza Interno" numFmtId="0">
      <sharedItems containsNonDate="0" containsString="0" containsBlank="1"/>
    </cacheField>
    <cacheField name="Fecha facturación" numFmtId="0">
      <sharedItems containsNonDate="0" containsDate="1" containsString="0" containsBlank="1" minDate="2026-01-02T00:00:00" maxDate="2026-02-10T00:00:00"/>
    </cacheField>
    <cacheField name="Fecha Efecto" numFmtId="0">
      <sharedItems containsNonDate="0" containsDate="1" containsString="0" containsBlank="1" minDate="2024-12-26T00:00:00" maxDate="2026-04-01T00:00:00"/>
    </cacheField>
    <cacheField name="Producto" numFmtId="0">
      <sharedItems containsBlank="1"/>
    </cacheField>
    <cacheField name="Ramo" numFmtId="0">
      <sharedItems containsBlank="1"/>
    </cacheField>
    <cacheField name="Prima neta" numFmtId="0">
      <sharedItems containsString="0" containsBlank="1" containsNumber="1" minValue="-399.3" maxValue="47102.55"/>
    </cacheField>
    <cacheField name="Comisión Bruta" numFmtId="0">
      <sharedItems containsString="0" containsBlank="1" containsNumber="1" minValue="-16.63" maxValue="4710.26"/>
    </cacheField>
    <cacheField name="Comisión prima neta" numFmtId="0">
      <sharedItems containsString="0" containsBlank="1" containsNumber="1" minValue="-16.63" maxValue="4710.26"/>
    </cacheField>
    <cacheField name="Comisión complementaria" numFmtId="0">
      <sharedItems containsNonDate="0" containsString="0" containsBlank="1"/>
    </cacheField>
    <cacheField name="Colaborador 1" numFmtId="0">
      <sharedItems containsNonDate="0" containsString="0" containsBlank="1"/>
    </cacheField>
    <cacheField name="Colaborador 2" numFmtId="0">
      <sharedItems containsNonDate="0" containsString="0" containsBlank="1"/>
    </cacheField>
    <cacheField name="Colaborador 3" numFmtId="0">
      <sharedItems containsNonDate="0" containsString="0" containsBlank="1"/>
    </cacheField>
    <cacheField name="Comisión colaborador 1" numFmtId="0">
      <sharedItems containsNonDate="0" containsString="0" containsBlank="1"/>
    </cacheField>
    <cacheField name="Comisión colaborador 2" numFmtId="0">
      <sharedItems containsNonDate="0" containsString="0" containsBlank="1"/>
    </cacheField>
    <cacheField name="Comisión colaborador 3" numFmtId="0">
      <sharedItems containsNonDate="0" containsString="0" containsBlank="1"/>
    </cacheField>
    <cacheField name="Fecha Liquidación Colaborador" numFmtId="0">
      <sharedItems containsNonDate="0" containsString="0" containsBlank="1"/>
    </cacheField>
    <cacheField name="Tipo Recibo" numFmtId="0">
      <sharedItems containsNonDate="0" containsString="0" containsBlank="1"/>
    </cacheField>
    <cacheField name="Empresa" numFmtId="0">
      <sharedItems containsBlank="1"/>
    </cacheField>
    <cacheField name="Compañía" numFmtId="0">
      <sharedItems containsBlank="1"/>
    </cacheField>
    <cacheField name="Gestión" numFmtId="0">
      <sharedItems containsBlank="1"/>
    </cacheField>
    <cacheField name="Duracion póliza" numFmtId="0">
      <sharedItems containsNonDate="0" containsString="0" containsBlank="1"/>
    </cacheField>
    <cacheField name="Situación" numFmtId="0">
      <sharedItems containsBlank="1" count="8">
        <s v="Facturado"/>
        <s v="Liquid."/>
        <s v="Cobrado"/>
        <s v="Anulado"/>
        <m/>
        <s v="Liquidado_Cia" u="1"/>
        <s v="Anulado_Cia" u="1"/>
        <s v="Devuelto" u="1"/>
      </sharedItems>
    </cacheField>
    <cacheField name="Fecha devolución" numFmtId="0">
      <sharedItems containsNonDate="0" containsString="0" containsBlank="1"/>
    </cacheField>
    <cacheField name="Fecha de liquidación" numFmtId="0">
      <sharedItems containsNonDate="0" containsDate="1" containsString="0" containsBlank="1" minDate="2025-12-30T00:00:00" maxDate="2026-02-05T00:00:00"/>
    </cacheField>
    <cacheField name="Fecha de cobro" numFmtId="0">
      <sharedItems containsNonDate="0" containsString="0" containsBlank="1"/>
    </cacheField>
    <cacheField name="Fecha anulación" numFmtId="0">
      <sharedItems containsNonDate="0" containsString="0" containsBlank="1"/>
    </cacheField>
    <cacheField name="Cliente NIF" numFmtId="0">
      <sharedItems containsNonDate="0" containsString="0" containsBlank="1"/>
    </cacheField>
    <cacheField name="Cliente Nombre" numFmtId="0">
      <sharedItems containsBlank="1"/>
    </cacheField>
    <cacheField name="Tipo Cliente" numFmtId="0">
      <sharedItems containsNonDate="0" containsString="0" containsBlank="1"/>
    </cacheField>
    <cacheField name="Cliente CP" numFmtId="0">
      <sharedItems containsNonDate="0" containsString="0" containsBlank="1"/>
    </cacheField>
    <cacheField name="agrupacion" numFmtId="0">
      <sharedItems containsBlank="1" count="22">
        <s v="Vida Riesgo Particular"/>
        <s v="Seguros Personales (No Vida) Colectivos"/>
        <s v="Seguros Personales (No Vida) Particular"/>
        <s v="Autos"/>
        <s v="Transporte"/>
        <s v="Vida Ahorro Particular"/>
        <s v="Náutica"/>
        <s v="Property"/>
        <m/>
        <s v="Crédito" u="1"/>
        <s v="Hogar" u="1"/>
        <s v="Responsabilidad Civil" u="1"/>
        <s v="Flotas" u="1"/>
        <s v="Líneas Financieras" u="1"/>
        <s v="Ingeniería" u="1"/>
        <s v="Particulares Resto" u="1"/>
        <s v="Caución" u="1"/>
        <s v="Ingenieria" u="1"/>
        <s v="Seguros Personales (No Vida) Colectivo" u="1"/>
        <e v="#N/A" u="1"/>
        <s v="Vida Riesgo Colectivo" u="1"/>
        <s v="Lineas Financiera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97.549216435182" createdVersion="8" refreshedVersion="8" minRefreshableVersion="3" recordCount="57" xr:uid="{E13E91AA-0D5B-4F5E-B93B-F8D5C21C9776}">
  <cacheSource type="worksheet">
    <worksheetSource ref="A1:AJ58" sheet="Modelo Datos"/>
  </cacheSource>
  <cacheFields count="36">
    <cacheField name="Num. Recibo Cía" numFmtId="0">
      <sharedItems/>
    </cacheField>
    <cacheField name="Núm. Recibo Interno" numFmtId="0">
      <sharedItems/>
    </cacheField>
    <cacheField name="Núm. Póliza Cía" numFmtId="0">
      <sharedItems count="35">
        <s v="20190120167898"/>
        <s v="044963398"/>
        <s v="205201332"/>
        <s v="2002300647614"/>
        <s v="40005230"/>
        <s v="82774870-0"/>
        <s v="82774870-1"/>
        <s v="82774870-11"/>
        <s v="82774870-12"/>
        <s v="82774870-13"/>
        <s v="82774870-15"/>
        <s v="82774870-16"/>
        <s v="82774870-19"/>
        <s v="82774870-2"/>
        <s v="82774870-3"/>
        <s v="82774870-4"/>
        <s v="82774870-5"/>
        <s v="82774870-6"/>
        <s v="82774870-7"/>
        <s v="82774870-9"/>
        <s v="SP030-001084-25"/>
        <s v="189001045"/>
        <s v="271005337647"/>
        <s v="SP030-000699-25"/>
        <s v="SP030-001874-25"/>
        <s v="205228708"/>
        <s v="205303370"/>
        <s v="205124739"/>
        <s v="SP030-001981-25"/>
        <s v="041095361"/>
        <s v="045060510"/>
        <s v="SP030-000699-24"/>
        <s v="SP030-000711-25"/>
        <s v="SP030-000710-24"/>
        <s v="SP030-001084-24"/>
      </sharedItems>
    </cacheField>
    <cacheField name="Núm. Póliza Interno" numFmtId="0">
      <sharedItems containsNonDate="0" containsString="0" containsBlank="1"/>
    </cacheField>
    <cacheField name="Fecha facturación" numFmtId="14">
      <sharedItems containsSemiMixedTypes="0" containsNonDate="0" containsDate="1" containsString="0" minDate="2026-01-02T00:00:00" maxDate="2026-02-10T00:00:00"/>
    </cacheField>
    <cacheField name="Fecha Efecto" numFmtId="14">
      <sharedItems containsSemiMixedTypes="0" containsNonDate="0" containsDate="1" containsString="0" minDate="2024-12-26T00:00:00" maxDate="2026-04-01T00:00:00"/>
    </cacheField>
    <cacheField name="Producto" numFmtId="0">
      <sharedItems/>
    </cacheField>
    <cacheField name="Ramo" numFmtId="0">
      <sharedItems/>
    </cacheField>
    <cacheField name="Prima neta" numFmtId="0">
      <sharedItems containsSemiMixedTypes="0" containsString="0" containsNumber="1" minValue="-399.3" maxValue="47102.55"/>
    </cacheField>
    <cacheField name="Comisión Bruta" numFmtId="0">
      <sharedItems containsSemiMixedTypes="0" containsString="0" containsNumber="1" minValue="-16.63" maxValue="4710.26"/>
    </cacheField>
    <cacheField name="Comisión prima neta" numFmtId="0">
      <sharedItems containsSemiMixedTypes="0" containsString="0" containsNumber="1" minValue="-16.63" maxValue="4710.26"/>
    </cacheField>
    <cacheField name="Comisión complementaria" numFmtId="0">
      <sharedItems containsNonDate="0" containsString="0" containsBlank="1"/>
    </cacheField>
    <cacheField name="Colaborador 1" numFmtId="0">
      <sharedItems containsNonDate="0" containsString="0" containsBlank="1"/>
    </cacheField>
    <cacheField name="Colaborador 2" numFmtId="0">
      <sharedItems containsNonDate="0" containsString="0" containsBlank="1"/>
    </cacheField>
    <cacheField name="Colaborador 3" numFmtId="0">
      <sharedItems containsNonDate="0" containsString="0" containsBlank="1"/>
    </cacheField>
    <cacheField name="Comisión colaborador 1" numFmtId="0">
      <sharedItems containsNonDate="0" containsString="0" containsBlank="1"/>
    </cacheField>
    <cacheField name="Comisión colaborador 2" numFmtId="0">
      <sharedItems containsNonDate="0" containsString="0" containsBlank="1"/>
    </cacheField>
    <cacheField name="Comisión colaborador 3" numFmtId="0">
      <sharedItems containsNonDate="0" containsString="0" containsBlank="1"/>
    </cacheField>
    <cacheField name="Fecha Liquidación Colaborador" numFmtId="0">
      <sharedItems containsNonDate="0" containsString="0" containsBlank="1"/>
    </cacheField>
    <cacheField name="Tipo Recibo" numFmtId="0">
      <sharedItems containsNonDate="0" containsString="0" containsBlank="1"/>
    </cacheField>
    <cacheField name="Empresa" numFmtId="0">
      <sharedItems/>
    </cacheField>
    <cacheField name="Compañía" numFmtId="0">
      <sharedItems/>
    </cacheField>
    <cacheField name="Gestión" numFmtId="0">
      <sharedItems containsBlank="1"/>
    </cacheField>
    <cacheField name="Duracion póliza" numFmtId="0">
      <sharedItems containsNonDate="0" containsString="0" containsBlank="1"/>
    </cacheField>
    <cacheField name="Situación" numFmtId="0">
      <sharedItems/>
    </cacheField>
    <cacheField name="Fecha devolución" numFmtId="0">
      <sharedItems containsNonDate="0" containsString="0" containsBlank="1"/>
    </cacheField>
    <cacheField name="Fecha de liquidación" numFmtId="0">
      <sharedItems containsNonDate="0" containsDate="1" containsString="0" containsBlank="1" minDate="2025-12-30T00:00:00" maxDate="2026-02-05T00:00:00"/>
    </cacheField>
    <cacheField name="Fecha de cobro" numFmtId="0">
      <sharedItems containsNonDate="0" containsString="0" containsBlank="1"/>
    </cacheField>
    <cacheField name="Fecha anulación" numFmtId="14">
      <sharedItems containsNonDate="0" containsString="0" containsBlank="1"/>
    </cacheField>
    <cacheField name="Cliente NIF" numFmtId="0">
      <sharedItems containsNonDate="0" containsString="0" containsBlank="1"/>
    </cacheField>
    <cacheField name="Cliente Nombre" numFmtId="0">
      <sharedItems/>
    </cacheField>
    <cacheField name="Tipo Cliente" numFmtId="0">
      <sharedItems containsNonDate="0" containsString="0" containsBlank="1"/>
    </cacheField>
    <cacheField name="Cliente CP" numFmtId="0">
      <sharedItems containsNonDate="0" containsString="0" containsBlank="1"/>
    </cacheField>
    <cacheField name="agrupacion" numFmtId="0">
      <sharedItems/>
    </cacheField>
    <cacheField name="mes" numFmtId="0">
      <sharedItems containsNonDate="0" containsString="0" containsBlank="1"/>
    </cacheField>
    <cacheField name="ramo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7">
  <r>
    <s v="2728330"/>
    <s v="5002690000"/>
    <s v="20190120167898"/>
    <m/>
    <d v="2026-01-02T00:00:00"/>
    <d v="2026-01-01T00:00:00"/>
    <s v="RIESGO"/>
    <s v="VI_RIESGO"/>
    <n v="3444.73"/>
    <n v="344.48"/>
    <n v="344.48"/>
    <m/>
    <m/>
    <m/>
    <m/>
    <m/>
    <m/>
    <m/>
    <m/>
    <m/>
    <s v="VEROBROKER"/>
    <s v="SURNE, MUTUA DE SEG. Y REAS. A PRIMA FIJA"/>
    <s v="AK_DIRCIA"/>
    <m/>
    <x v="0"/>
    <m/>
    <m/>
    <m/>
    <m/>
    <m/>
    <s v="IBER STEEL, S.L."/>
    <m/>
    <m/>
    <x v="0"/>
    <x v="0"/>
  </r>
  <r>
    <s v="568458693"/>
    <s v="5002689485"/>
    <s v="044963398"/>
    <m/>
    <d v="2026-01-02T00:00:00"/>
    <d v="2026-01-15T00:00:00"/>
    <s v="CONVENIO"/>
    <s v="ACCIDENTES"/>
    <n v="5520.21"/>
    <n v="552.02"/>
    <n v="552.02"/>
    <m/>
    <m/>
    <m/>
    <m/>
    <m/>
    <m/>
    <m/>
    <m/>
    <m/>
    <s v="VEROBROKER"/>
    <s v="ALLIANZ, COMPAÑIA DE SEGUROS Y REASEGUROS,S.A."/>
    <s v="AK_BANCO"/>
    <m/>
    <x v="1"/>
    <m/>
    <d v="2026-01-12T00:00:00"/>
    <m/>
    <m/>
    <m/>
    <s v="LEON COATED SOLUTIONS, S.L."/>
    <m/>
    <m/>
    <x v="1"/>
    <x v="0"/>
  </r>
  <r>
    <s v="582497826"/>
    <s v="5002699648"/>
    <s v="205201332"/>
    <m/>
    <d v="2026-01-02T00:00:00"/>
    <d v="2026-01-01T00:00:00"/>
    <s v="CUADRO MEDICO INDIVIDUAL"/>
    <s v="ASIST_SANI"/>
    <n v="607.47"/>
    <n v="25.82"/>
    <n v="25.82"/>
    <m/>
    <m/>
    <m/>
    <m/>
    <m/>
    <m/>
    <m/>
    <m/>
    <m/>
    <s v="VEROBROKER"/>
    <s v="ALLIANZ PORTUGAL"/>
    <s v="AK_DIRCIA"/>
    <m/>
    <x v="1"/>
    <m/>
    <d v="2026-02-04T00:00:00"/>
    <m/>
    <m/>
    <m/>
    <s v="PLANOS FERRICOS PORTUGAL PRODUCTOS SIDERÚRGICOS LD"/>
    <m/>
    <m/>
    <x v="2"/>
    <x v="0"/>
  </r>
  <r>
    <s v="8732115179"/>
    <s v="5002692228"/>
    <s v="2002300647614"/>
    <m/>
    <d v="2026-01-02T00:00:00"/>
    <d v="2026-01-01T00:00:00"/>
    <s v="TODO RIESGO"/>
    <s v="AUTOS"/>
    <n v="826.82"/>
    <n v="57.88"/>
    <n v="57.88"/>
    <m/>
    <m/>
    <m/>
    <m/>
    <m/>
    <m/>
    <m/>
    <m/>
    <m/>
    <s v="VEROBROKER"/>
    <s v="MAPFRE ESPAÑA, CIA. DE SEG. Y REASEG.,S.A."/>
    <s v="AK_DIRCIA"/>
    <m/>
    <x v="2"/>
    <m/>
    <d v="2025-12-30T00:00:00"/>
    <m/>
    <m/>
    <m/>
    <s v="ARANDA COATED SOLUTIONS, S.L"/>
    <m/>
    <m/>
    <x v="3"/>
    <x v="0"/>
  </r>
  <r>
    <s v="25123736"/>
    <s v="5002730989"/>
    <s v="40005230"/>
    <m/>
    <d v="2026-01-07T00:00:00"/>
    <d v="2025-12-21T00:00:00"/>
    <s v="PROTECCION E INDEMIZACION"/>
    <s v="TRANSPORTE"/>
    <n v="1143.8"/>
    <n v="114.38"/>
    <n v="114.38"/>
    <m/>
    <m/>
    <m/>
    <m/>
    <m/>
    <m/>
    <m/>
    <m/>
    <m/>
    <s v="VEROBROKER"/>
    <s v="MS AMLIN MARINE N.V."/>
    <s v="AK_CORRED"/>
    <m/>
    <x v="0"/>
    <m/>
    <m/>
    <m/>
    <m/>
    <m/>
    <s v="NETWORK STEEL, S.L."/>
    <m/>
    <m/>
    <x v="4"/>
    <x v="0"/>
  </r>
  <r>
    <s v="020122012025012A"/>
    <s v="5002732508"/>
    <s v="82774870-0"/>
    <m/>
    <d v="2026-01-07T00:00:00"/>
    <d v="2025-12-01T00:00:00"/>
    <s v="SALUD COLECTIVO"/>
    <s v="ASIST_SANI"/>
    <n v="1796.85"/>
    <n v="73.5"/>
    <n v="73.5"/>
    <m/>
    <m/>
    <m/>
    <m/>
    <m/>
    <m/>
    <m/>
    <m/>
    <m/>
    <s v="VEROBROKER"/>
    <s v="SANITAS, S.A. DE SEGUROS"/>
    <s v="AK_DIRCIA"/>
    <m/>
    <x v="1"/>
    <m/>
    <d v="2026-01-07T00:00:00"/>
    <m/>
    <m/>
    <m/>
    <s v="NETWORK STEEL RESOURCES, S.A"/>
    <m/>
    <m/>
    <x v="1"/>
    <x v="0"/>
  </r>
  <r>
    <s v="020122012025012A"/>
    <s v="5002732493"/>
    <s v="82774870-1"/>
    <m/>
    <d v="2026-01-07T00:00:00"/>
    <d v="2025-12-01T00:00:00"/>
    <s v="SALUD COLECTIVO"/>
    <s v="ASIST_SANI"/>
    <n v="798.6"/>
    <n v="31.92"/>
    <n v="31.92"/>
    <m/>
    <m/>
    <m/>
    <m/>
    <m/>
    <m/>
    <m/>
    <m/>
    <m/>
    <s v="VEROBROKER"/>
    <s v="SANITAS, S.A. DE SEGUROS"/>
    <s v="AK_DIRCIA"/>
    <m/>
    <x v="1"/>
    <m/>
    <d v="2026-01-07T00:00:00"/>
    <m/>
    <m/>
    <m/>
    <s v="NETWORK STEEL, S.L."/>
    <m/>
    <m/>
    <x v="1"/>
    <x v="0"/>
  </r>
  <r>
    <s v="020122012025012A"/>
    <s v="5002732500"/>
    <s v="82774870-11"/>
    <m/>
    <d v="2026-01-07T00:00:00"/>
    <d v="2025-12-01T00:00:00"/>
    <s v="SALUD COLECTIVO"/>
    <s v="ASIST_SANI"/>
    <n v="132.05000000000001"/>
    <n v="5.28"/>
    <n v="5.28"/>
    <m/>
    <m/>
    <m/>
    <m/>
    <m/>
    <m/>
    <m/>
    <m/>
    <m/>
    <s v="VEROBROKER"/>
    <s v="SANITAS, S.A. DE SEGUROS"/>
    <s v="AK_DIRCIA"/>
    <m/>
    <x v="1"/>
    <m/>
    <d v="2026-01-07T00:00:00"/>
    <m/>
    <m/>
    <m/>
    <s v="NETWORK STEEL, S.L."/>
    <m/>
    <m/>
    <x v="1"/>
    <x v="0"/>
  </r>
  <r>
    <s v="020122012025012A"/>
    <s v="5002732504"/>
    <s v="82774870-12"/>
    <m/>
    <d v="2026-01-07T00:00:00"/>
    <d v="2025-12-01T00:00:00"/>
    <s v="SALUD COLECTIVO"/>
    <s v="ASIST_SANI"/>
    <n v="265.5"/>
    <n v="10.94"/>
    <n v="10.94"/>
    <m/>
    <m/>
    <m/>
    <m/>
    <m/>
    <m/>
    <m/>
    <m/>
    <m/>
    <s v="VEROBROKER"/>
    <s v="SANITAS, S.A. DE SEGUROS"/>
    <s v="AK_DIRCIA"/>
    <m/>
    <x v="1"/>
    <m/>
    <d v="2026-01-07T00:00:00"/>
    <m/>
    <m/>
    <m/>
    <s v="NETWORK STEEL RESOURCES, S.A"/>
    <m/>
    <m/>
    <x v="1"/>
    <x v="0"/>
  </r>
  <r>
    <s v="020122012025012A"/>
    <s v="5002732506"/>
    <s v="82774870-13"/>
    <m/>
    <d v="2026-01-07T00:00:00"/>
    <d v="2025-12-01T00:00:00"/>
    <s v="SALUD COLECTIVO"/>
    <s v="ASIST_SANI"/>
    <n v="1397.55"/>
    <n v="57.2"/>
    <n v="57.2"/>
    <m/>
    <m/>
    <m/>
    <m/>
    <m/>
    <m/>
    <m/>
    <m/>
    <m/>
    <s v="VEROBROKER"/>
    <s v="SANITAS, S.A. DE SEGUROS"/>
    <s v="AK_DIRCIA"/>
    <m/>
    <x v="1"/>
    <m/>
    <d v="2026-01-07T00:00:00"/>
    <m/>
    <m/>
    <m/>
    <s v="LEON COATED SOLUTIONS, S.L."/>
    <m/>
    <m/>
    <x v="1"/>
    <x v="0"/>
  </r>
  <r>
    <s v="020122012025012A"/>
    <s v="5002732494"/>
    <s v="82774870-15"/>
    <m/>
    <d v="2026-01-07T00:00:00"/>
    <d v="2025-12-01T00:00:00"/>
    <s v="SALUD COLECTIVO"/>
    <s v="ASIST_SANI"/>
    <n v="199.65"/>
    <n v="7.98"/>
    <n v="7.98"/>
    <m/>
    <m/>
    <m/>
    <m/>
    <m/>
    <m/>
    <m/>
    <m/>
    <m/>
    <s v="VEROBROKER"/>
    <s v="SANITAS, S.A. DE SEGUROS"/>
    <s v="AK_DIRCIA"/>
    <m/>
    <x v="1"/>
    <m/>
    <d v="2026-01-07T00:00:00"/>
    <m/>
    <m/>
    <m/>
    <s v="NETWORK STEEL AFRICA S.L."/>
    <m/>
    <m/>
    <x v="1"/>
    <x v="0"/>
  </r>
  <r>
    <s v="020122012025012A"/>
    <s v="5002732498"/>
    <s v="82774870-16"/>
    <m/>
    <d v="2026-01-07T00:00:00"/>
    <d v="2025-12-01T00:00:00"/>
    <s v="SALUD COLECTIVO"/>
    <s v="ASIST_SANI"/>
    <n v="66.55"/>
    <n v="3"/>
    <n v="3"/>
    <m/>
    <m/>
    <m/>
    <m/>
    <m/>
    <m/>
    <m/>
    <m/>
    <m/>
    <s v="VEROBROKER"/>
    <s v="SANITAS, S.A. DE SEGUROS"/>
    <s v="AK_DIRCIA"/>
    <m/>
    <x v="1"/>
    <m/>
    <d v="2026-01-07T00:00:00"/>
    <m/>
    <m/>
    <m/>
    <s v="ACEROS RECUBIERTOS IMPORTACION MEDITERRA"/>
    <m/>
    <m/>
    <x v="1"/>
    <x v="0"/>
  </r>
  <r>
    <s v="020122012025012A"/>
    <s v="5002732502"/>
    <s v="82774870-19"/>
    <m/>
    <d v="2026-01-07T00:00:00"/>
    <d v="2025-12-01T00:00:00"/>
    <s v="CUADRO MEDICO COLECTIVO"/>
    <s v="ASIST_SANI"/>
    <n v="318.81"/>
    <n v="12.75"/>
    <n v="12.75"/>
    <m/>
    <m/>
    <m/>
    <m/>
    <m/>
    <m/>
    <m/>
    <m/>
    <m/>
    <s v="VEROBROKER"/>
    <s v="SANITAS, S.A. DE SEGUROS"/>
    <s v="AK_DIRCIA"/>
    <m/>
    <x v="1"/>
    <m/>
    <d v="2026-01-07T00:00:00"/>
    <m/>
    <m/>
    <m/>
    <s v="PLANOS FERRICOS SLU"/>
    <m/>
    <m/>
    <x v="1"/>
    <x v="0"/>
  </r>
  <r>
    <s v="020122012025012A"/>
    <s v="5002732496"/>
    <s v="82774870-2"/>
    <m/>
    <d v="2026-01-07T00:00:00"/>
    <d v="2025-12-01T00:00:00"/>
    <s v="SALUD COLECTIVO"/>
    <s v="ASIST_SANI"/>
    <n v="266.2"/>
    <n v="10.64"/>
    <n v="10.64"/>
    <m/>
    <m/>
    <m/>
    <m/>
    <m/>
    <m/>
    <m/>
    <m/>
    <m/>
    <s v="VEROBROKER"/>
    <s v="SANITAS, S.A. DE SEGUROS"/>
    <s v="AK_DIRCIA"/>
    <m/>
    <x v="1"/>
    <m/>
    <d v="2026-01-07T00:00:00"/>
    <m/>
    <m/>
    <m/>
    <s v="SANTANDER COATED SOLUTIONS, S.L."/>
    <m/>
    <m/>
    <x v="1"/>
    <x v="0"/>
  </r>
  <r>
    <s v="020122012025012A"/>
    <s v="5002732495"/>
    <s v="82774870-3"/>
    <m/>
    <d v="2026-01-07T00:00:00"/>
    <d v="2025-12-01T00:00:00"/>
    <s v="SALUD COLECTIVO"/>
    <s v="ASIST_SANI"/>
    <n v="553.87"/>
    <n v="22.48"/>
    <n v="22.48"/>
    <m/>
    <m/>
    <m/>
    <m/>
    <m/>
    <m/>
    <m/>
    <m/>
    <m/>
    <s v="VEROBROKER"/>
    <s v="SANITAS, S.A. DE SEGUROS"/>
    <s v="AK_DIRCIA"/>
    <m/>
    <x v="1"/>
    <m/>
    <d v="2026-01-07T00:00:00"/>
    <m/>
    <m/>
    <m/>
    <s v="ECO STEEL SOLUTIONS S.L."/>
    <m/>
    <m/>
    <x v="1"/>
    <x v="0"/>
  </r>
  <r>
    <s v="020122012025012A"/>
    <s v="5002732499"/>
    <s v="82774870-4"/>
    <m/>
    <d v="2026-01-07T00:00:00"/>
    <d v="2025-12-01T00:00:00"/>
    <s v="SALUD COLECTIVO"/>
    <s v="ASIST_SANI"/>
    <n v="931.7"/>
    <n v="37.24"/>
    <n v="37.24"/>
    <m/>
    <m/>
    <m/>
    <m/>
    <m/>
    <m/>
    <m/>
    <m/>
    <m/>
    <s v="VEROBROKER"/>
    <s v="SANITAS, S.A. DE SEGUROS"/>
    <s v="AK_DIRCIA"/>
    <m/>
    <x v="1"/>
    <m/>
    <d v="2026-01-07T00:00:00"/>
    <m/>
    <m/>
    <m/>
    <s v="ARANDA COATED SOLUTIONS, S.L"/>
    <m/>
    <m/>
    <x v="1"/>
    <x v="0"/>
  </r>
  <r>
    <s v="020122012025012A"/>
    <s v="5002732507"/>
    <s v="82774870-5"/>
    <m/>
    <d v="2026-01-07T00:00:00"/>
    <d v="2025-12-01T00:00:00"/>
    <s v="SALUD COLECTIVO"/>
    <s v="ASIST_SANI"/>
    <n v="1264.45"/>
    <n v="51.21"/>
    <n v="51.21"/>
    <m/>
    <m/>
    <m/>
    <m/>
    <m/>
    <m/>
    <m/>
    <m/>
    <m/>
    <s v="VEROBROKER"/>
    <s v="SANITAS, S.A. DE SEGUROS"/>
    <s v="AK_DIRCIA"/>
    <m/>
    <x v="1"/>
    <m/>
    <d v="2026-01-07T00:00:00"/>
    <m/>
    <m/>
    <m/>
    <s v="PLANOS FERRICOS SLU"/>
    <m/>
    <m/>
    <x v="1"/>
    <x v="0"/>
  </r>
  <r>
    <s v="020122012025012A"/>
    <s v="5002732505"/>
    <s v="82774870-6"/>
    <m/>
    <d v="2026-01-07T00:00:00"/>
    <d v="2025-12-01T00:00:00"/>
    <s v="SALUD COLECTIVO"/>
    <s v="ASIST_SANI"/>
    <n v="133.1"/>
    <n v="5.32"/>
    <n v="5.32"/>
    <m/>
    <m/>
    <m/>
    <m/>
    <m/>
    <m/>
    <m/>
    <m/>
    <m/>
    <s v="VEROBROKER"/>
    <s v="SANITAS, S.A. DE SEGUROS"/>
    <s v="AK_DIRCIA"/>
    <m/>
    <x v="1"/>
    <m/>
    <d v="2026-01-07T00:00:00"/>
    <m/>
    <m/>
    <m/>
    <s v="IBER STEEL, S.L."/>
    <m/>
    <m/>
    <x v="1"/>
    <x v="0"/>
  </r>
  <r>
    <s v="020122012025012A"/>
    <s v="5002732503"/>
    <s v="82774870-7"/>
    <m/>
    <d v="2026-01-07T00:00:00"/>
    <d v="2025-12-01T00:00:00"/>
    <s v="SALUD COLECTIVO"/>
    <s v="ASIST_SANI"/>
    <n v="773.94"/>
    <n v="31.28"/>
    <n v="31.28"/>
    <m/>
    <m/>
    <m/>
    <m/>
    <m/>
    <m/>
    <m/>
    <m/>
    <m/>
    <s v="VEROBROKER"/>
    <s v="SANITAS, S.A. DE SEGUROS"/>
    <s v="AK_DIRCIA"/>
    <m/>
    <x v="1"/>
    <m/>
    <d v="2026-01-07T00:00:00"/>
    <m/>
    <m/>
    <m/>
    <s v="NETWORK STEEL RESOURCES, S.A"/>
    <m/>
    <m/>
    <x v="1"/>
    <x v="0"/>
  </r>
  <r>
    <s v="020122012025012A"/>
    <s v="5002732501"/>
    <s v="82774870-9"/>
    <m/>
    <d v="2026-01-07T00:00:00"/>
    <d v="2025-12-01T00:00:00"/>
    <s v="SALUD COLECTIVO"/>
    <s v="ASIST_SANI"/>
    <n v="106.27"/>
    <n v="4.25"/>
    <n v="4.25"/>
    <m/>
    <m/>
    <m/>
    <m/>
    <m/>
    <m/>
    <m/>
    <m/>
    <m/>
    <s v="VEROBROKER"/>
    <s v="SANITAS, S.A. DE SEGUROS"/>
    <s v="AK_DIRCIA"/>
    <m/>
    <x v="1"/>
    <m/>
    <d v="2026-01-07T00:00:00"/>
    <m/>
    <m/>
    <m/>
    <s v="SANTANDER COATED SOLUTIONS, S.L."/>
    <m/>
    <m/>
    <x v="1"/>
    <x v="0"/>
  </r>
  <r>
    <s v="1514126F01"/>
    <s v="5002727674"/>
    <s v="SP030-001084-25"/>
    <m/>
    <d v="2026-01-07T00:00:00"/>
    <d v="2025-11-28T00:00:00"/>
    <s v="MERCANCIAS"/>
    <s v="TRANSPORTE"/>
    <n v="12259.18"/>
    <n v="1225.92"/>
    <n v="1225.92"/>
    <m/>
    <m/>
    <m/>
    <m/>
    <m/>
    <m/>
    <m/>
    <m/>
    <m/>
    <s v="VEROBROKER"/>
    <s v="RSA LUXEMBURGO, S.A. SUC. EN ESPAÑA"/>
    <s v="AK_CORRED"/>
    <m/>
    <x v="0"/>
    <m/>
    <m/>
    <m/>
    <m/>
    <m/>
    <s v="SANTANDER COATED SOLUTIONS, S.L."/>
    <m/>
    <m/>
    <x v="4"/>
    <x v="0"/>
  </r>
  <r>
    <s v="52772156"/>
    <s v="5002733042"/>
    <s v="189001045"/>
    <m/>
    <d v="2026-01-08T00:00:00"/>
    <d v="2026-01-01T00:00:00"/>
    <s v="AHORRO"/>
    <s v="VI_AHORRO"/>
    <n v="1534.91"/>
    <n v="115.12"/>
    <n v="115.12"/>
    <m/>
    <m/>
    <m/>
    <m/>
    <m/>
    <m/>
    <m/>
    <m/>
    <m/>
    <s v="VEROBROKER"/>
    <s v="ZURICH VIDA, CIA. DE SEGUROS Y REASEGUROS,S.A."/>
    <s v="AK_DIRCIA"/>
    <m/>
    <x v="1"/>
    <m/>
    <d v="2026-01-08T00:00:00"/>
    <m/>
    <m/>
    <m/>
    <s v="ECO STEEL SOLUTIONS S.L."/>
    <m/>
    <m/>
    <x v="5"/>
    <x v="0"/>
  </r>
  <r>
    <s v="8764786996"/>
    <s v="5002738892"/>
    <s v="271005337647"/>
    <m/>
    <d v="2026-01-08T00:00:00"/>
    <d v="2026-01-01T00:00:00"/>
    <s v="CUADRO MEDICO INDIVIDUAL"/>
    <s v="ASIST_SANI"/>
    <n v="13855.52"/>
    <n v="346.4"/>
    <n v="346.4"/>
    <m/>
    <m/>
    <m/>
    <m/>
    <m/>
    <m/>
    <m/>
    <m/>
    <m/>
    <s v="VEROBROKER"/>
    <s v="MAPFRE ESPAÑA, CIA. DE SEG. Y REASEG.,S.A."/>
    <s v="AK_DIRCIA"/>
    <m/>
    <x v="2"/>
    <m/>
    <d v="2026-02-04T00:00:00"/>
    <m/>
    <m/>
    <m/>
    <s v="NETWORK STEEL RESOURCES, S.A"/>
    <m/>
    <m/>
    <x v="2"/>
    <x v="0"/>
  </r>
  <r>
    <s v="1516169F01"/>
    <s v="5002732679"/>
    <s v="SP030-000699-25"/>
    <m/>
    <d v="2026-01-08T00:00:00"/>
    <d v="2025-09-29T00:00:00"/>
    <s v="MERCANCIAS"/>
    <s v="TRANSPORTE"/>
    <n v="87.37"/>
    <n v="8.74"/>
    <n v="8.74"/>
    <m/>
    <m/>
    <m/>
    <m/>
    <m/>
    <m/>
    <m/>
    <m/>
    <m/>
    <s v="VEROBROKER"/>
    <s v="RSA LUXEMBURGO, S.A. SUC. EN ESPAÑA"/>
    <s v="AK_CORRED"/>
    <m/>
    <x v="0"/>
    <m/>
    <m/>
    <m/>
    <m/>
    <m/>
    <s v="NETWORK STEEL, S.L."/>
    <m/>
    <m/>
    <x v="4"/>
    <x v="0"/>
  </r>
  <r>
    <s v="1516577F01"/>
    <s v="5002732701"/>
    <s v="SP030-001874-25"/>
    <m/>
    <d v="2026-01-08T00:00:00"/>
    <d v="2025-12-13T00:00:00"/>
    <s v="MERCANCIAS"/>
    <s v="TRANSPORTE"/>
    <n v="10842.12"/>
    <n v="1084.21"/>
    <n v="1084.21"/>
    <m/>
    <m/>
    <m/>
    <m/>
    <m/>
    <m/>
    <m/>
    <m/>
    <m/>
    <s v="VEROBROKER"/>
    <s v="RSA LUXEMBURGO, S.A. SUC. EN ESPAÑA"/>
    <s v="AK_CORRED"/>
    <m/>
    <x v="0"/>
    <m/>
    <m/>
    <m/>
    <m/>
    <m/>
    <s v="AVEIRO COATED SOLUTIONS"/>
    <m/>
    <m/>
    <x v="4"/>
    <x v="0"/>
  </r>
  <r>
    <s v="546215"/>
    <s v="5002739069"/>
    <s v="SP030-000699-25"/>
    <m/>
    <d v="2026-01-09T00:00:00"/>
    <d v="2025-10-21T00:00:00"/>
    <s v="MERCANCIAS"/>
    <s v="TRANSPORTE"/>
    <n v="9341.94"/>
    <n v="934.2"/>
    <n v="934.2"/>
    <m/>
    <m/>
    <m/>
    <m/>
    <m/>
    <m/>
    <m/>
    <m/>
    <m/>
    <s v="VEROBROKER"/>
    <s v="RSA LUXEMBURGO, S.A. SUC. EN ESPAÑA"/>
    <s v="AK_CORRED"/>
    <m/>
    <x v="0"/>
    <m/>
    <m/>
    <m/>
    <m/>
    <m/>
    <s v="NETWORK STEEL, S.L."/>
    <m/>
    <m/>
    <x v="4"/>
    <x v="0"/>
  </r>
  <r>
    <s v="574622506"/>
    <s v="5002743242"/>
    <s v="205228708"/>
    <m/>
    <d v="2026-01-09T00:00:00"/>
    <d v="2025-12-01T00:00:00"/>
    <s v="CUADRO MEDICO INDIVIDUAL"/>
    <s v="ASIST_SANI"/>
    <n v="242.02"/>
    <n v="12.1"/>
    <n v="12.1"/>
    <m/>
    <m/>
    <m/>
    <m/>
    <m/>
    <m/>
    <m/>
    <m/>
    <m/>
    <s v="VEROBROKER"/>
    <s v="ALLIANZ PORTUGAL"/>
    <s v="AK_DIRCIA"/>
    <m/>
    <x v="1"/>
    <m/>
    <d v="2026-01-09T00:00:00"/>
    <m/>
    <m/>
    <m/>
    <s v="PLANOS FERRICOS PORTUGAL PRODUCTOS SIDERÚRGICOS LD"/>
    <m/>
    <m/>
    <x v="2"/>
    <x v="0"/>
  </r>
  <r>
    <s v="574640904"/>
    <s v="5002743243"/>
    <s v="205303370"/>
    <m/>
    <d v="2026-01-09T00:00:00"/>
    <d v="2025-12-01T00:00:00"/>
    <s v="CUADRO MEDICO INDIVIDUAL"/>
    <s v="ASIST_SANI"/>
    <n v="308.14"/>
    <n v="15.4"/>
    <n v="15.4"/>
    <m/>
    <m/>
    <m/>
    <m/>
    <m/>
    <m/>
    <m/>
    <m/>
    <m/>
    <s v="VEROBROKER"/>
    <s v="ALLIANZ PORTUGAL"/>
    <s v="AK_DIRCIA"/>
    <m/>
    <x v="1"/>
    <m/>
    <d v="2026-01-09T00:00:00"/>
    <m/>
    <m/>
    <m/>
    <s v="PLANOS FERRICOS PORTUGAL PRODUCTOS SIDERÚRGICOS LD"/>
    <m/>
    <m/>
    <x v="2"/>
    <x v="0"/>
  </r>
  <r>
    <s v="576539096"/>
    <s v="5002743241"/>
    <s v="205124739"/>
    <m/>
    <d v="2026-01-09T00:00:00"/>
    <d v="2025-12-01T00:00:00"/>
    <s v="CONVENIO"/>
    <s v="ACCIDENTES"/>
    <n v="526.4"/>
    <n v="24.76"/>
    <n v="24.76"/>
    <m/>
    <m/>
    <m/>
    <m/>
    <m/>
    <m/>
    <m/>
    <m/>
    <m/>
    <s v="VEROBROKER"/>
    <s v="ALLIANZ PORTUGAL"/>
    <s v="AK_DIRCIA"/>
    <m/>
    <x v="1"/>
    <m/>
    <d v="2026-01-09T00:00:00"/>
    <m/>
    <m/>
    <m/>
    <s v="PLANOS FERRICOS PORTUGAL PRODUCTOS SIDERÚRGICOS LD"/>
    <m/>
    <m/>
    <x v="1"/>
    <x v="0"/>
  </r>
  <r>
    <s v="1516629F01"/>
    <s v="5002739067"/>
    <s v="SP030-000699-25"/>
    <m/>
    <d v="2026-01-09T00:00:00"/>
    <d v="2025-12-10T00:00:00"/>
    <s v="MERCANCIAS"/>
    <s v="TRANSPORTE"/>
    <n v="47102.55"/>
    <n v="4710.26"/>
    <n v="4710.26"/>
    <m/>
    <m/>
    <m/>
    <m/>
    <m/>
    <m/>
    <m/>
    <m/>
    <m/>
    <s v="VEROBROKER"/>
    <s v="RSA LUXEMBURGO, S.A. SUC. EN ESPAÑA"/>
    <s v="AK_CORRED"/>
    <m/>
    <x v="0"/>
    <m/>
    <m/>
    <m/>
    <m/>
    <m/>
    <s v="NETWORK STEEL, S.L."/>
    <m/>
    <m/>
    <x v="4"/>
    <x v="0"/>
  </r>
  <r>
    <s v="1516703F01"/>
    <s v="5002739073"/>
    <s v="SP030-001981-25"/>
    <m/>
    <d v="2026-01-09T00:00:00"/>
    <d v="2025-10-21T00:00:00"/>
    <s v="MERCANCIAS"/>
    <s v="TRANSPORTE"/>
    <n v="33471.120000000003"/>
    <n v="3347.11"/>
    <n v="3347.11"/>
    <m/>
    <m/>
    <m/>
    <m/>
    <m/>
    <m/>
    <m/>
    <m/>
    <m/>
    <s v="VEROBROKER"/>
    <s v="RSA LUXEMBURGO, S.A. SUC. EN ESPAÑA"/>
    <s v="AK_CORRED"/>
    <m/>
    <x v="0"/>
    <m/>
    <m/>
    <m/>
    <m/>
    <m/>
    <s v="LEON COATED SOLUTIONS, S.L."/>
    <m/>
    <m/>
    <x v="4"/>
    <x v="0"/>
  </r>
  <r>
    <s v="1519702F01"/>
    <s v="5002748787"/>
    <s v="SP030-001084-25"/>
    <m/>
    <d v="2026-01-20T00:00:00"/>
    <d v="2025-11-11T00:00:00"/>
    <s v="MERCANCIAS"/>
    <s v="TRANSPORTE"/>
    <n v="7025.13"/>
    <n v="702.52"/>
    <n v="702.52"/>
    <m/>
    <m/>
    <m/>
    <m/>
    <m/>
    <m/>
    <m/>
    <m/>
    <m/>
    <s v="VEROBROKER"/>
    <s v="RSA LUXEMBURGO, S.A. SUC. EN ESPAÑA"/>
    <s v="AK_CORRED"/>
    <m/>
    <x v="0"/>
    <m/>
    <m/>
    <m/>
    <m/>
    <m/>
    <s v="SANTANDER COATED SOLUTIONS, S.L."/>
    <m/>
    <m/>
    <x v="4"/>
    <x v="0"/>
  </r>
  <r>
    <s v="1519756F01"/>
    <s v="5002748788"/>
    <s v="SP030-000699-25"/>
    <m/>
    <d v="2026-01-20T00:00:00"/>
    <d v="2025-11-11T00:00:00"/>
    <s v="MERCANCIAS"/>
    <s v="TRANSPORTE"/>
    <n v="916.37"/>
    <n v="91.64"/>
    <n v="91.64"/>
    <m/>
    <m/>
    <m/>
    <m/>
    <m/>
    <m/>
    <m/>
    <m/>
    <m/>
    <s v="VEROBROKER"/>
    <s v="RSA LUXEMBURGO, S.A. SUC. EN ESPAÑA"/>
    <s v="AK_CORRED"/>
    <m/>
    <x v="0"/>
    <m/>
    <m/>
    <m/>
    <m/>
    <m/>
    <s v="NETWORK STEEL, S.L."/>
    <m/>
    <m/>
    <x v="4"/>
    <x v="0"/>
  </r>
  <r>
    <s v="1520919F01"/>
    <s v="5002749058"/>
    <s v="SP030-001084-25"/>
    <m/>
    <d v="2026-01-21T00:00:00"/>
    <d v="2025-09-29T00:00:00"/>
    <s v="MERCANCIAS"/>
    <s v="TRANSPORTE"/>
    <n v="12712.99"/>
    <n v="1271.3"/>
    <n v="1271.3"/>
    <m/>
    <m/>
    <m/>
    <m/>
    <m/>
    <m/>
    <m/>
    <m/>
    <m/>
    <s v="VEROBROKER"/>
    <s v="RSA LUXEMBURGO, S.A. SUC. EN ESPAÑA"/>
    <s v="AK_CORRED"/>
    <m/>
    <x v="0"/>
    <m/>
    <m/>
    <m/>
    <m/>
    <m/>
    <s v="SANTANDER COATED SOLUTIONS, S.L."/>
    <m/>
    <m/>
    <x v="4"/>
    <x v="0"/>
  </r>
  <r>
    <s v="1521105F01"/>
    <s v="5002749076"/>
    <s v="SP030-001874-25"/>
    <m/>
    <d v="2026-01-21T00:00:00"/>
    <d v="2025-12-03T00:00:00"/>
    <s v="MERCANCIAS"/>
    <s v="TRANSPORTE"/>
    <n v="324.36"/>
    <n v="32.44"/>
    <n v="32.44"/>
    <m/>
    <m/>
    <m/>
    <m/>
    <m/>
    <m/>
    <m/>
    <m/>
    <m/>
    <s v="VEROBROKER"/>
    <s v="RSA LUXEMBURGO, S.A. SUC. EN ESPAÑA"/>
    <s v="AK_CORRED"/>
    <m/>
    <x v="0"/>
    <m/>
    <m/>
    <m/>
    <m/>
    <m/>
    <s v="AVEIRO COATED SOLUTIONS"/>
    <m/>
    <m/>
    <x v="4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  <r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x v="6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7">
  <r>
    <s v="2728330"/>
    <s v="5002690000"/>
    <s v="20190120167898"/>
    <m/>
    <d v="2026-01-02T00:00:00"/>
    <d v="2026-01-01T00:00:00"/>
    <s v="RIESGO"/>
    <s v="VI_RIESGO"/>
    <n v="3444.73"/>
    <n v="344.48"/>
    <n v="344.48"/>
    <m/>
    <m/>
    <m/>
    <m/>
    <m/>
    <m/>
    <m/>
    <m/>
    <m/>
    <s v="VEROBROKER"/>
    <s v="SURNE, MUTUA DE SEG. Y REAS. A PRIMA FIJA"/>
    <s v="AK_DIRCIA"/>
    <m/>
    <x v="0"/>
    <m/>
    <m/>
    <m/>
    <m/>
    <m/>
    <s v="IBER STEEL, S.L."/>
    <m/>
    <m/>
    <x v="0"/>
  </r>
  <r>
    <s v="568458693"/>
    <s v="5002689485"/>
    <s v="044963398"/>
    <m/>
    <d v="2026-01-02T00:00:00"/>
    <d v="2026-01-15T00:00:00"/>
    <s v="CONVENIO"/>
    <s v="ACCIDENTES"/>
    <n v="5520.21"/>
    <n v="552.02"/>
    <n v="552.02"/>
    <m/>
    <m/>
    <m/>
    <m/>
    <m/>
    <m/>
    <m/>
    <m/>
    <m/>
    <s v="VEROBROKER"/>
    <s v="ALLIANZ, COMPAÑIA DE SEGUROS Y REASEGUROS,S.A."/>
    <s v="AK_BANCO"/>
    <m/>
    <x v="1"/>
    <m/>
    <d v="2026-01-12T00:00:00"/>
    <m/>
    <m/>
    <m/>
    <s v="LEON COATED SOLUTIONS, S.L."/>
    <m/>
    <m/>
    <x v="1"/>
  </r>
  <r>
    <s v="582497826"/>
    <s v="5002699648"/>
    <s v="205201332"/>
    <m/>
    <d v="2026-01-02T00:00:00"/>
    <d v="2026-01-01T00:00:00"/>
    <s v="CUADRO MEDICO INDIVIDUAL"/>
    <s v="ASIST_SANI"/>
    <n v="607.47"/>
    <n v="25.82"/>
    <n v="25.82"/>
    <m/>
    <m/>
    <m/>
    <m/>
    <m/>
    <m/>
    <m/>
    <m/>
    <m/>
    <s v="VEROBROKER"/>
    <s v="ALLIANZ PORTUGAL"/>
    <s v="AK_DIRCIA"/>
    <m/>
    <x v="1"/>
    <m/>
    <d v="2026-02-04T00:00:00"/>
    <m/>
    <m/>
    <m/>
    <s v="PLANOS FERRICOS PORTUGAL PRODUCTOS SIDERÚRGICOS LD"/>
    <m/>
    <m/>
    <x v="2"/>
  </r>
  <r>
    <s v="8732115179"/>
    <s v="5002692228"/>
    <s v="2002300647614"/>
    <m/>
    <d v="2026-01-02T00:00:00"/>
    <d v="2026-01-01T00:00:00"/>
    <s v="TODO RIESGO"/>
    <s v="AUTOS"/>
    <n v="826.82"/>
    <n v="57.88"/>
    <n v="57.88"/>
    <m/>
    <m/>
    <m/>
    <m/>
    <m/>
    <m/>
    <m/>
    <m/>
    <m/>
    <s v="VEROBROKER"/>
    <s v="MAPFRE ESPAÑA, CIA. DE SEG. Y REASEG.,S.A."/>
    <s v="AK_DIRCIA"/>
    <m/>
    <x v="2"/>
    <m/>
    <d v="2025-12-30T00:00:00"/>
    <m/>
    <m/>
    <m/>
    <s v="ARANDA COATED SOLUTIONS, S.L"/>
    <m/>
    <m/>
    <x v="3"/>
  </r>
  <r>
    <s v="25123736"/>
    <s v="5002730989"/>
    <s v="40005230"/>
    <m/>
    <d v="2026-01-07T00:00:00"/>
    <d v="2025-12-21T00:00:00"/>
    <s v="PROTECCION E INDEMIZACION"/>
    <s v="TRANSPORTE"/>
    <n v="1143.8"/>
    <n v="114.38"/>
    <n v="114.38"/>
    <m/>
    <m/>
    <m/>
    <m/>
    <m/>
    <m/>
    <m/>
    <m/>
    <m/>
    <s v="VEROBROKER"/>
    <s v="MS AMLIN MARINE N.V."/>
    <s v="AK_CORRED"/>
    <m/>
    <x v="0"/>
    <m/>
    <m/>
    <m/>
    <m/>
    <m/>
    <s v="NETWORK STEEL, S.L."/>
    <m/>
    <m/>
    <x v="4"/>
  </r>
  <r>
    <s v="020122012025012A"/>
    <s v="5002732508"/>
    <s v="82774870-0"/>
    <m/>
    <d v="2026-01-07T00:00:00"/>
    <d v="2025-12-01T00:00:00"/>
    <s v="SALUD COLECTIVO"/>
    <s v="ASIST_SANI"/>
    <n v="1796.85"/>
    <n v="73.5"/>
    <n v="73.5"/>
    <m/>
    <m/>
    <m/>
    <m/>
    <m/>
    <m/>
    <m/>
    <m/>
    <m/>
    <s v="VEROBROKER"/>
    <s v="SANITAS, S.A. DE SEGUROS"/>
    <s v="AK_DIRCIA"/>
    <m/>
    <x v="1"/>
    <m/>
    <d v="2026-01-07T00:00:00"/>
    <m/>
    <m/>
    <m/>
    <s v="NETWORK STEEL RESOURCES, S.A"/>
    <m/>
    <m/>
    <x v="1"/>
  </r>
  <r>
    <s v="020122012025012A"/>
    <s v="5002732493"/>
    <s v="82774870-1"/>
    <m/>
    <d v="2026-01-07T00:00:00"/>
    <d v="2025-12-01T00:00:00"/>
    <s v="SALUD COLECTIVO"/>
    <s v="ASIST_SANI"/>
    <n v="798.6"/>
    <n v="31.92"/>
    <n v="31.92"/>
    <m/>
    <m/>
    <m/>
    <m/>
    <m/>
    <m/>
    <m/>
    <m/>
    <m/>
    <s v="VEROBROKER"/>
    <s v="SANITAS, S.A. DE SEGUROS"/>
    <s v="AK_DIRCIA"/>
    <m/>
    <x v="1"/>
    <m/>
    <d v="2026-01-07T00:00:00"/>
    <m/>
    <m/>
    <m/>
    <s v="NETWORK STEEL, S.L."/>
    <m/>
    <m/>
    <x v="1"/>
  </r>
  <r>
    <s v="020122012025012A"/>
    <s v="5002732500"/>
    <s v="82774870-11"/>
    <m/>
    <d v="2026-01-07T00:00:00"/>
    <d v="2025-12-01T00:00:00"/>
    <s v="SALUD COLECTIVO"/>
    <s v="ASIST_SANI"/>
    <n v="132.05000000000001"/>
    <n v="5.28"/>
    <n v="5.28"/>
    <m/>
    <m/>
    <m/>
    <m/>
    <m/>
    <m/>
    <m/>
    <m/>
    <m/>
    <s v="VEROBROKER"/>
    <s v="SANITAS, S.A. DE SEGUROS"/>
    <s v="AK_DIRCIA"/>
    <m/>
    <x v="1"/>
    <m/>
    <d v="2026-01-07T00:00:00"/>
    <m/>
    <m/>
    <m/>
    <s v="NETWORK STEEL, S.L."/>
    <m/>
    <m/>
    <x v="1"/>
  </r>
  <r>
    <s v="020122012025012A"/>
    <s v="5002732504"/>
    <s v="82774870-12"/>
    <m/>
    <d v="2026-01-07T00:00:00"/>
    <d v="2025-12-01T00:00:00"/>
    <s v="SALUD COLECTIVO"/>
    <s v="ASIST_SANI"/>
    <n v="265.5"/>
    <n v="10.94"/>
    <n v="10.94"/>
    <m/>
    <m/>
    <m/>
    <m/>
    <m/>
    <m/>
    <m/>
    <m/>
    <m/>
    <s v="VEROBROKER"/>
    <s v="SANITAS, S.A. DE SEGUROS"/>
    <s v="AK_DIRCIA"/>
    <m/>
    <x v="1"/>
    <m/>
    <d v="2026-01-07T00:00:00"/>
    <m/>
    <m/>
    <m/>
    <s v="NETWORK STEEL RESOURCES, S.A"/>
    <m/>
    <m/>
    <x v="1"/>
  </r>
  <r>
    <s v="020122012025012A"/>
    <s v="5002732506"/>
    <s v="82774870-13"/>
    <m/>
    <d v="2026-01-07T00:00:00"/>
    <d v="2025-12-01T00:00:00"/>
    <s v="SALUD COLECTIVO"/>
    <s v="ASIST_SANI"/>
    <n v="1397.55"/>
    <n v="57.2"/>
    <n v="57.2"/>
    <m/>
    <m/>
    <m/>
    <m/>
    <m/>
    <m/>
    <m/>
    <m/>
    <m/>
    <s v="VEROBROKER"/>
    <s v="SANITAS, S.A. DE SEGUROS"/>
    <s v="AK_DIRCIA"/>
    <m/>
    <x v="1"/>
    <m/>
    <d v="2026-01-07T00:00:00"/>
    <m/>
    <m/>
    <m/>
    <s v="LEON COATED SOLUTIONS, S.L."/>
    <m/>
    <m/>
    <x v="1"/>
  </r>
  <r>
    <s v="020122012025012A"/>
    <s v="5002732494"/>
    <s v="82774870-15"/>
    <m/>
    <d v="2026-01-07T00:00:00"/>
    <d v="2025-12-01T00:00:00"/>
    <s v="SALUD COLECTIVO"/>
    <s v="ASIST_SANI"/>
    <n v="199.65"/>
    <n v="7.98"/>
    <n v="7.98"/>
    <m/>
    <m/>
    <m/>
    <m/>
    <m/>
    <m/>
    <m/>
    <m/>
    <m/>
    <s v="VEROBROKER"/>
    <s v="SANITAS, S.A. DE SEGUROS"/>
    <s v="AK_DIRCIA"/>
    <m/>
    <x v="1"/>
    <m/>
    <d v="2026-01-07T00:00:00"/>
    <m/>
    <m/>
    <m/>
    <s v="NETWORK STEEL AFRICA S.L."/>
    <m/>
    <m/>
    <x v="1"/>
  </r>
  <r>
    <s v="020122012025012A"/>
    <s v="5002732498"/>
    <s v="82774870-16"/>
    <m/>
    <d v="2026-01-07T00:00:00"/>
    <d v="2025-12-01T00:00:00"/>
    <s v="SALUD COLECTIVO"/>
    <s v="ASIST_SANI"/>
    <n v="66.55"/>
    <n v="3"/>
    <n v="3"/>
    <m/>
    <m/>
    <m/>
    <m/>
    <m/>
    <m/>
    <m/>
    <m/>
    <m/>
    <s v="VEROBROKER"/>
    <s v="SANITAS, S.A. DE SEGUROS"/>
    <s v="AK_DIRCIA"/>
    <m/>
    <x v="1"/>
    <m/>
    <d v="2026-01-07T00:00:00"/>
    <m/>
    <m/>
    <m/>
    <s v="ACEROS RECUBIERTOS IMPORTACION MEDITERRA"/>
    <m/>
    <m/>
    <x v="1"/>
  </r>
  <r>
    <s v="020122012025012A"/>
    <s v="5002732502"/>
    <s v="82774870-19"/>
    <m/>
    <d v="2026-01-07T00:00:00"/>
    <d v="2025-12-01T00:00:00"/>
    <s v="CUADRO MEDICO COLECTIVO"/>
    <s v="ASIST_SANI"/>
    <n v="318.81"/>
    <n v="12.75"/>
    <n v="12.75"/>
    <m/>
    <m/>
    <m/>
    <m/>
    <m/>
    <m/>
    <m/>
    <m/>
    <m/>
    <s v="VEROBROKER"/>
    <s v="SANITAS, S.A. DE SEGUROS"/>
    <s v="AK_DIRCIA"/>
    <m/>
    <x v="1"/>
    <m/>
    <d v="2026-01-07T00:00:00"/>
    <m/>
    <m/>
    <m/>
    <s v="PLANOS FERRICOS SLU"/>
    <m/>
    <m/>
    <x v="1"/>
  </r>
  <r>
    <s v="020122012025012A"/>
    <s v="5002732496"/>
    <s v="82774870-2"/>
    <m/>
    <d v="2026-01-07T00:00:00"/>
    <d v="2025-12-01T00:00:00"/>
    <s v="SALUD COLECTIVO"/>
    <s v="ASIST_SANI"/>
    <n v="266.2"/>
    <n v="10.64"/>
    <n v="10.64"/>
    <m/>
    <m/>
    <m/>
    <m/>
    <m/>
    <m/>
    <m/>
    <m/>
    <m/>
    <s v="VEROBROKER"/>
    <s v="SANITAS, S.A. DE SEGUROS"/>
    <s v="AK_DIRCIA"/>
    <m/>
    <x v="1"/>
    <m/>
    <d v="2026-01-07T00:00:00"/>
    <m/>
    <m/>
    <m/>
    <s v="SANTANDER COATED SOLUTIONS, S.L."/>
    <m/>
    <m/>
    <x v="1"/>
  </r>
  <r>
    <s v="020122012025012A"/>
    <s v="5002732495"/>
    <s v="82774870-3"/>
    <m/>
    <d v="2026-01-07T00:00:00"/>
    <d v="2025-12-01T00:00:00"/>
    <s v="SALUD COLECTIVO"/>
    <s v="ASIST_SANI"/>
    <n v="553.87"/>
    <n v="22.48"/>
    <n v="22.48"/>
    <m/>
    <m/>
    <m/>
    <m/>
    <m/>
    <m/>
    <m/>
    <m/>
    <m/>
    <s v="VEROBROKER"/>
    <s v="SANITAS, S.A. DE SEGUROS"/>
    <s v="AK_DIRCIA"/>
    <m/>
    <x v="1"/>
    <m/>
    <d v="2026-01-07T00:00:00"/>
    <m/>
    <m/>
    <m/>
    <s v="ECO STEEL SOLUTIONS S.L."/>
    <m/>
    <m/>
    <x v="1"/>
  </r>
  <r>
    <s v="020122012025012A"/>
    <s v="5002732499"/>
    <s v="82774870-4"/>
    <m/>
    <d v="2026-01-07T00:00:00"/>
    <d v="2025-12-01T00:00:00"/>
    <s v="SALUD COLECTIVO"/>
    <s v="ASIST_SANI"/>
    <n v="931.7"/>
    <n v="37.24"/>
    <n v="37.24"/>
    <m/>
    <m/>
    <m/>
    <m/>
    <m/>
    <m/>
    <m/>
    <m/>
    <m/>
    <s v="VEROBROKER"/>
    <s v="SANITAS, S.A. DE SEGUROS"/>
    <s v="AK_DIRCIA"/>
    <m/>
    <x v="1"/>
    <m/>
    <d v="2026-01-07T00:00:00"/>
    <m/>
    <m/>
    <m/>
    <s v="ARANDA COATED SOLUTIONS, S.L"/>
    <m/>
    <m/>
    <x v="1"/>
  </r>
  <r>
    <s v="020122012025012A"/>
    <s v="5002732507"/>
    <s v="82774870-5"/>
    <m/>
    <d v="2026-01-07T00:00:00"/>
    <d v="2025-12-01T00:00:00"/>
    <s v="SALUD COLECTIVO"/>
    <s v="ASIST_SANI"/>
    <n v="1264.45"/>
    <n v="51.21"/>
    <n v="51.21"/>
    <m/>
    <m/>
    <m/>
    <m/>
    <m/>
    <m/>
    <m/>
    <m/>
    <m/>
    <s v="VEROBROKER"/>
    <s v="SANITAS, S.A. DE SEGUROS"/>
    <s v="AK_DIRCIA"/>
    <m/>
    <x v="1"/>
    <m/>
    <d v="2026-01-07T00:00:00"/>
    <m/>
    <m/>
    <m/>
    <s v="PLANOS FERRICOS SLU"/>
    <m/>
    <m/>
    <x v="1"/>
  </r>
  <r>
    <s v="020122012025012A"/>
    <s v="5002732505"/>
    <s v="82774870-6"/>
    <m/>
    <d v="2026-01-07T00:00:00"/>
    <d v="2025-12-01T00:00:00"/>
    <s v="SALUD COLECTIVO"/>
    <s v="ASIST_SANI"/>
    <n v="133.1"/>
    <n v="5.32"/>
    <n v="5.32"/>
    <m/>
    <m/>
    <m/>
    <m/>
    <m/>
    <m/>
    <m/>
    <m/>
    <m/>
    <s v="VEROBROKER"/>
    <s v="SANITAS, S.A. DE SEGUROS"/>
    <s v="AK_DIRCIA"/>
    <m/>
    <x v="1"/>
    <m/>
    <d v="2026-01-07T00:00:00"/>
    <m/>
    <m/>
    <m/>
    <s v="IBER STEEL, S.L."/>
    <m/>
    <m/>
    <x v="1"/>
  </r>
  <r>
    <s v="020122012025012A"/>
    <s v="5002732503"/>
    <s v="82774870-7"/>
    <m/>
    <d v="2026-01-07T00:00:00"/>
    <d v="2025-12-01T00:00:00"/>
    <s v="SALUD COLECTIVO"/>
    <s v="ASIST_SANI"/>
    <n v="773.94"/>
    <n v="31.28"/>
    <n v="31.28"/>
    <m/>
    <m/>
    <m/>
    <m/>
    <m/>
    <m/>
    <m/>
    <m/>
    <m/>
    <s v="VEROBROKER"/>
    <s v="SANITAS, S.A. DE SEGUROS"/>
    <s v="AK_DIRCIA"/>
    <m/>
    <x v="1"/>
    <m/>
    <d v="2026-01-07T00:00:00"/>
    <m/>
    <m/>
    <m/>
    <s v="NETWORK STEEL RESOURCES, S.A"/>
    <m/>
    <m/>
    <x v="1"/>
  </r>
  <r>
    <s v="020122012025012A"/>
    <s v="5002732501"/>
    <s v="82774870-9"/>
    <m/>
    <d v="2026-01-07T00:00:00"/>
    <d v="2025-12-01T00:00:00"/>
    <s v="SALUD COLECTIVO"/>
    <s v="ASIST_SANI"/>
    <n v="106.27"/>
    <n v="4.25"/>
    <n v="4.25"/>
    <m/>
    <m/>
    <m/>
    <m/>
    <m/>
    <m/>
    <m/>
    <m/>
    <m/>
    <s v="VEROBROKER"/>
    <s v="SANITAS, S.A. DE SEGUROS"/>
    <s v="AK_DIRCIA"/>
    <m/>
    <x v="1"/>
    <m/>
    <d v="2026-01-07T00:00:00"/>
    <m/>
    <m/>
    <m/>
    <s v="SANTANDER COATED SOLUTIONS, S.L."/>
    <m/>
    <m/>
    <x v="1"/>
  </r>
  <r>
    <s v="1514126F01"/>
    <s v="5002727674"/>
    <s v="SP030-001084-25"/>
    <m/>
    <d v="2026-01-07T00:00:00"/>
    <d v="2025-11-28T00:00:00"/>
    <s v="MERCANCIAS"/>
    <s v="TRANSPORTE"/>
    <n v="12259.18"/>
    <n v="1225.92"/>
    <n v="1225.92"/>
    <m/>
    <m/>
    <m/>
    <m/>
    <m/>
    <m/>
    <m/>
    <m/>
    <m/>
    <s v="VEROBROKER"/>
    <s v="RSA LUXEMBURGO, S.A. SUC. EN ESPAÑA"/>
    <s v="AK_CORRED"/>
    <m/>
    <x v="0"/>
    <m/>
    <m/>
    <m/>
    <m/>
    <m/>
    <s v="SANTANDER COATED SOLUTIONS, S.L."/>
    <m/>
    <m/>
    <x v="4"/>
  </r>
  <r>
    <s v="52772156"/>
    <s v="5002733042"/>
    <s v="189001045"/>
    <m/>
    <d v="2026-01-08T00:00:00"/>
    <d v="2026-01-01T00:00:00"/>
    <s v="AHORRO"/>
    <s v="VI_AHORRO"/>
    <n v="1534.91"/>
    <n v="115.12"/>
    <n v="115.12"/>
    <m/>
    <m/>
    <m/>
    <m/>
    <m/>
    <m/>
    <m/>
    <m/>
    <m/>
    <s v="VEROBROKER"/>
    <s v="ZURICH VIDA, CIA. DE SEGUROS Y REASEGUROS,S.A."/>
    <s v="AK_DIRCIA"/>
    <m/>
    <x v="1"/>
    <m/>
    <d v="2026-01-08T00:00:00"/>
    <m/>
    <m/>
    <m/>
    <s v="ECO STEEL SOLUTIONS S.L."/>
    <m/>
    <m/>
    <x v="5"/>
  </r>
  <r>
    <s v="8764786996"/>
    <s v="5002738892"/>
    <s v="271005337647"/>
    <m/>
    <d v="2026-01-08T00:00:00"/>
    <d v="2026-01-01T00:00:00"/>
    <s v="CUADRO MEDICO INDIVIDUAL"/>
    <s v="ASIST_SANI"/>
    <n v="13855.52"/>
    <n v="346.4"/>
    <n v="346.4"/>
    <m/>
    <m/>
    <m/>
    <m/>
    <m/>
    <m/>
    <m/>
    <m/>
    <m/>
    <s v="VEROBROKER"/>
    <s v="MAPFRE ESPAÑA, CIA. DE SEG. Y REASEG.,S.A."/>
    <s v="AK_DIRCIA"/>
    <m/>
    <x v="2"/>
    <m/>
    <d v="2026-02-04T00:00:00"/>
    <m/>
    <m/>
    <m/>
    <s v="NETWORK STEEL RESOURCES, S.A"/>
    <m/>
    <m/>
    <x v="2"/>
  </r>
  <r>
    <s v="1516169F01"/>
    <s v="5002732679"/>
    <s v="SP030-000699-25"/>
    <m/>
    <d v="2026-01-08T00:00:00"/>
    <d v="2025-09-29T00:00:00"/>
    <s v="MERCANCIAS"/>
    <s v="TRANSPORTE"/>
    <n v="87.37"/>
    <n v="8.74"/>
    <n v="8.74"/>
    <m/>
    <m/>
    <m/>
    <m/>
    <m/>
    <m/>
    <m/>
    <m/>
    <m/>
    <s v="VEROBROKER"/>
    <s v="RSA LUXEMBURGO, S.A. SUC. EN ESPAÑA"/>
    <s v="AK_CORRED"/>
    <m/>
    <x v="0"/>
    <m/>
    <m/>
    <m/>
    <m/>
    <m/>
    <s v="NETWORK STEEL, S.L."/>
    <m/>
    <m/>
    <x v="4"/>
  </r>
  <r>
    <s v="1516577F01"/>
    <s v="5002732701"/>
    <s v="SP030-001874-25"/>
    <m/>
    <d v="2026-01-08T00:00:00"/>
    <d v="2025-12-13T00:00:00"/>
    <s v="MERCANCIAS"/>
    <s v="TRANSPORTE"/>
    <n v="10842.12"/>
    <n v="1084.21"/>
    <n v="1084.21"/>
    <m/>
    <m/>
    <m/>
    <m/>
    <m/>
    <m/>
    <m/>
    <m/>
    <m/>
    <s v="VEROBROKER"/>
    <s v="RSA LUXEMBURGO, S.A. SUC. EN ESPAÑA"/>
    <s v="AK_CORRED"/>
    <m/>
    <x v="0"/>
    <m/>
    <m/>
    <m/>
    <m/>
    <m/>
    <s v="AVEIRO COATED SOLUTIONS"/>
    <m/>
    <m/>
    <x v="4"/>
  </r>
  <r>
    <s v="546215"/>
    <s v="5002739069"/>
    <s v="SP030-000699-25"/>
    <m/>
    <d v="2026-01-09T00:00:00"/>
    <d v="2025-10-21T00:00:00"/>
    <s v="MERCANCIAS"/>
    <s v="TRANSPORTE"/>
    <n v="9341.94"/>
    <n v="934.2"/>
    <n v="934.2"/>
    <m/>
    <m/>
    <m/>
    <m/>
    <m/>
    <m/>
    <m/>
    <m/>
    <m/>
    <s v="VEROBROKER"/>
    <s v="RSA LUXEMBURGO, S.A. SUC. EN ESPAÑA"/>
    <s v="AK_CORRED"/>
    <m/>
    <x v="0"/>
    <m/>
    <m/>
    <m/>
    <m/>
    <m/>
    <s v="NETWORK STEEL, S.L."/>
    <m/>
    <m/>
    <x v="4"/>
  </r>
  <r>
    <s v="574622506"/>
    <s v="5002743242"/>
    <s v="205228708"/>
    <m/>
    <d v="2026-01-09T00:00:00"/>
    <d v="2025-12-01T00:00:00"/>
    <s v="CUADRO MEDICO INDIVIDUAL"/>
    <s v="ASIST_SANI"/>
    <n v="242.02"/>
    <n v="12.1"/>
    <n v="12.1"/>
    <m/>
    <m/>
    <m/>
    <m/>
    <m/>
    <m/>
    <m/>
    <m/>
    <m/>
    <s v="VEROBROKER"/>
    <s v="ALLIANZ PORTUGAL"/>
    <s v="AK_DIRCIA"/>
    <m/>
    <x v="1"/>
    <m/>
    <d v="2026-01-09T00:00:00"/>
    <m/>
    <m/>
    <m/>
    <s v="PLANOS FERRICOS PORTUGAL PRODUCTOS SIDERÚRGICOS LD"/>
    <m/>
    <m/>
    <x v="2"/>
  </r>
  <r>
    <s v="574640904"/>
    <s v="5002743243"/>
    <s v="205303370"/>
    <m/>
    <d v="2026-01-09T00:00:00"/>
    <d v="2025-12-01T00:00:00"/>
    <s v="CUADRO MEDICO INDIVIDUAL"/>
    <s v="ASIST_SANI"/>
    <n v="308.14"/>
    <n v="15.4"/>
    <n v="15.4"/>
    <m/>
    <m/>
    <m/>
    <m/>
    <m/>
    <m/>
    <m/>
    <m/>
    <m/>
    <s v="VEROBROKER"/>
    <s v="ALLIANZ PORTUGAL"/>
    <s v="AK_DIRCIA"/>
    <m/>
    <x v="1"/>
    <m/>
    <d v="2026-01-09T00:00:00"/>
    <m/>
    <m/>
    <m/>
    <s v="PLANOS FERRICOS PORTUGAL PRODUCTOS SIDERÚRGICOS LD"/>
    <m/>
    <m/>
    <x v="2"/>
  </r>
  <r>
    <s v="576539096"/>
    <s v="5002743241"/>
    <s v="205124739"/>
    <m/>
    <d v="2026-01-09T00:00:00"/>
    <d v="2025-12-01T00:00:00"/>
    <s v="CONVENIO"/>
    <s v="ACCIDENTES"/>
    <n v="526.4"/>
    <n v="24.76"/>
    <n v="24.76"/>
    <m/>
    <m/>
    <m/>
    <m/>
    <m/>
    <m/>
    <m/>
    <m/>
    <m/>
    <s v="VEROBROKER"/>
    <s v="ALLIANZ PORTUGAL"/>
    <s v="AK_DIRCIA"/>
    <m/>
    <x v="1"/>
    <m/>
    <d v="2026-01-09T00:00:00"/>
    <m/>
    <m/>
    <m/>
    <s v="PLANOS FERRICOS PORTUGAL PRODUCTOS SIDERÚRGICOS LD"/>
    <m/>
    <m/>
    <x v="1"/>
  </r>
  <r>
    <s v="1516629F01"/>
    <s v="5002739067"/>
    <s v="SP030-000699-25"/>
    <m/>
    <d v="2026-01-09T00:00:00"/>
    <d v="2025-12-10T00:00:00"/>
    <s v="MERCANCIAS"/>
    <s v="TRANSPORTE"/>
    <n v="47102.55"/>
    <n v="4710.26"/>
    <n v="4710.26"/>
    <m/>
    <m/>
    <m/>
    <m/>
    <m/>
    <m/>
    <m/>
    <m/>
    <m/>
    <s v="VEROBROKER"/>
    <s v="RSA LUXEMBURGO, S.A. SUC. EN ESPAÑA"/>
    <s v="AK_CORRED"/>
    <m/>
    <x v="0"/>
    <m/>
    <m/>
    <m/>
    <m/>
    <m/>
    <s v="NETWORK STEEL, S.L."/>
    <m/>
    <m/>
    <x v="4"/>
  </r>
  <r>
    <s v="1516703F01"/>
    <s v="5002739073"/>
    <s v="SP030-001981-25"/>
    <m/>
    <d v="2026-01-09T00:00:00"/>
    <d v="2025-10-21T00:00:00"/>
    <s v="MERCANCIAS"/>
    <s v="TRANSPORTE"/>
    <n v="33471.120000000003"/>
    <n v="3347.11"/>
    <n v="3347.11"/>
    <m/>
    <m/>
    <m/>
    <m/>
    <m/>
    <m/>
    <m/>
    <m/>
    <m/>
    <s v="VEROBROKER"/>
    <s v="RSA LUXEMBURGO, S.A. SUC. EN ESPAÑA"/>
    <s v="AK_CORRED"/>
    <m/>
    <x v="0"/>
    <m/>
    <m/>
    <m/>
    <m/>
    <m/>
    <s v="LEON COATED SOLUTIONS, S.L."/>
    <m/>
    <m/>
    <x v="4"/>
  </r>
  <r>
    <s v="1519702F01"/>
    <s v="5002748787"/>
    <s v="SP030-001084-25"/>
    <m/>
    <d v="2026-01-20T00:00:00"/>
    <d v="2025-11-11T00:00:00"/>
    <s v="MERCANCIAS"/>
    <s v="TRANSPORTE"/>
    <n v="7025.13"/>
    <n v="702.52"/>
    <n v="702.52"/>
    <m/>
    <m/>
    <m/>
    <m/>
    <m/>
    <m/>
    <m/>
    <m/>
    <m/>
    <s v="VEROBROKER"/>
    <s v="RSA LUXEMBURGO, S.A. SUC. EN ESPAÑA"/>
    <s v="AK_CORRED"/>
    <m/>
    <x v="0"/>
    <m/>
    <m/>
    <m/>
    <m/>
    <m/>
    <s v="SANTANDER COATED SOLUTIONS, S.L."/>
    <m/>
    <m/>
    <x v="4"/>
  </r>
  <r>
    <s v="1519756F01"/>
    <s v="5002748788"/>
    <s v="SP030-000699-25"/>
    <m/>
    <d v="2026-01-20T00:00:00"/>
    <d v="2025-11-11T00:00:00"/>
    <s v="MERCANCIAS"/>
    <s v="TRANSPORTE"/>
    <n v="916.37"/>
    <n v="91.64"/>
    <n v="91.64"/>
    <m/>
    <m/>
    <m/>
    <m/>
    <m/>
    <m/>
    <m/>
    <m/>
    <m/>
    <s v="VEROBROKER"/>
    <s v="RSA LUXEMBURGO, S.A. SUC. EN ESPAÑA"/>
    <s v="AK_CORRED"/>
    <m/>
    <x v="0"/>
    <m/>
    <m/>
    <m/>
    <m/>
    <m/>
    <s v="NETWORK STEEL, S.L."/>
    <m/>
    <m/>
    <x v="4"/>
  </r>
  <r>
    <s v="1520919F01"/>
    <s v="5002749058"/>
    <s v="SP030-001084-25"/>
    <m/>
    <d v="2026-01-21T00:00:00"/>
    <d v="2025-09-29T00:00:00"/>
    <s v="MERCANCIAS"/>
    <s v="TRANSPORTE"/>
    <n v="12712.99"/>
    <n v="1271.3"/>
    <n v="1271.3"/>
    <m/>
    <m/>
    <m/>
    <m/>
    <m/>
    <m/>
    <m/>
    <m/>
    <m/>
    <s v="VEROBROKER"/>
    <s v="RSA LUXEMBURGO, S.A. SUC. EN ESPAÑA"/>
    <s v="AK_CORRED"/>
    <m/>
    <x v="0"/>
    <m/>
    <m/>
    <m/>
    <m/>
    <m/>
    <s v="SANTANDER COATED SOLUTIONS, S.L."/>
    <m/>
    <m/>
    <x v="4"/>
  </r>
  <r>
    <s v="1521105F01"/>
    <s v="5002749076"/>
    <s v="SP030-001874-25"/>
    <m/>
    <d v="2026-01-21T00:00:00"/>
    <d v="2025-12-03T00:00:00"/>
    <s v="MERCANCIAS"/>
    <s v="TRANSPORTE"/>
    <n v="324.36"/>
    <n v="32.44"/>
    <n v="32.44"/>
    <m/>
    <m/>
    <m/>
    <m/>
    <m/>
    <m/>
    <m/>
    <m/>
    <m/>
    <s v="VEROBROKER"/>
    <s v="RSA LUXEMBURGO, S.A. SUC. EN ESPAÑA"/>
    <s v="AK_CORRED"/>
    <m/>
    <x v="0"/>
    <m/>
    <m/>
    <m/>
    <m/>
    <m/>
    <s v="AVEIRO COATED SOLUTIONS"/>
    <m/>
    <m/>
    <x v="4"/>
  </r>
  <r>
    <s v="580199507"/>
    <s v="5002765613"/>
    <s v="205228708"/>
    <m/>
    <d v="2026-02-04T00:00:00"/>
    <d v="2026-01-01T00:00:00"/>
    <s v="CUADRO MEDICO INDIVIDUAL"/>
    <s v="ASIST_SANI"/>
    <n v="253.2"/>
    <n v="11.6"/>
    <n v="11.6"/>
    <m/>
    <m/>
    <m/>
    <m/>
    <m/>
    <m/>
    <m/>
    <m/>
    <m/>
    <s v="VEROBROKER"/>
    <s v="ALLIANZ PORTUGAL"/>
    <m/>
    <m/>
    <x v="1"/>
    <m/>
    <m/>
    <m/>
    <m/>
    <m/>
    <s v="PLANOS FERRICOS PORTUGAL PRODUCTOS SIDERÚRGICOS LD"/>
    <m/>
    <m/>
    <x v="2"/>
  </r>
  <r>
    <s v="588191837"/>
    <s v="5002755771"/>
    <s v="205201332"/>
    <m/>
    <d v="2026-02-02T00:00:00"/>
    <d v="2026-02-01T00:00:00"/>
    <s v="CUADRO MEDICO INDIVIDUAL"/>
    <s v="ASIST_SANI"/>
    <n v="607.47"/>
    <n v="25.82"/>
    <n v="25.82"/>
    <m/>
    <m/>
    <m/>
    <m/>
    <m/>
    <m/>
    <m/>
    <m/>
    <m/>
    <s v="VEROBROKER"/>
    <s v="ALLIANZ PORTUGAL"/>
    <m/>
    <m/>
    <x v="1"/>
    <m/>
    <m/>
    <m/>
    <m/>
    <m/>
    <s v="PLANOS FERRICOS PORTUGAL PRODUCTOS SIDERÚRGICOS LD"/>
    <m/>
    <m/>
    <x v="2"/>
  </r>
  <r>
    <s v="580220485"/>
    <s v="5002765614"/>
    <s v="205303370"/>
    <m/>
    <d v="2026-02-04T00:00:00"/>
    <d v="2026-01-01T00:00:00"/>
    <s v="CUADRO MEDICO INDIVIDUAL"/>
    <s v="ASIST_SANI"/>
    <n v="308.14"/>
    <n v="15.4"/>
    <n v="15.4"/>
    <m/>
    <m/>
    <m/>
    <m/>
    <m/>
    <m/>
    <m/>
    <m/>
    <m/>
    <s v="VEROBROKER"/>
    <s v="ALLIANZ PORTUGAL"/>
    <m/>
    <m/>
    <x v="1"/>
    <m/>
    <m/>
    <m/>
    <m/>
    <m/>
    <s v="PLANOS FERRICOS PORTUGAL PRODUCTOS SIDERÚRGICOS LD"/>
    <m/>
    <m/>
    <x v="2"/>
  </r>
  <r>
    <s v="585998010"/>
    <s v="5002769864"/>
    <s v="041095361"/>
    <m/>
    <d v="2026-02-09T00:00:00"/>
    <d v="2026-03-31T00:00:00"/>
    <s v="EMBARCACIONES RECREO"/>
    <s v="TRANSPORTE"/>
    <n v="11978.06"/>
    <n v="1048.08"/>
    <n v="1048.08"/>
    <m/>
    <m/>
    <m/>
    <m/>
    <m/>
    <m/>
    <m/>
    <m/>
    <m/>
    <s v="VEROBROKER"/>
    <s v="ALLIANZ, COMPAÑIA DE SEGUROS Y REASEGUROS,S.A."/>
    <m/>
    <m/>
    <x v="3"/>
    <m/>
    <m/>
    <m/>
    <m/>
    <m/>
    <s v="ACEROS RECUBIERTOS IMPORTACION MEDITERRA"/>
    <m/>
    <m/>
    <x v="6"/>
  </r>
  <r>
    <s v="571886534"/>
    <s v="5002753050"/>
    <s v="045060510"/>
    <m/>
    <d v="2026-02-02T00:00:00"/>
    <d v="2026-02-01T00:00:00"/>
    <s v="MULTIRRIESGO OFICINAS"/>
    <s v="MULT_COMER"/>
    <n v="219.59"/>
    <n v="21.96"/>
    <n v="21.96"/>
    <m/>
    <m/>
    <m/>
    <m/>
    <m/>
    <m/>
    <m/>
    <m/>
    <m/>
    <s v="VEROBROKER"/>
    <s v="ALLIANZ, COMPAÑIA DE SEGUROS Y REASEGUROS,S.A."/>
    <m/>
    <m/>
    <x v="1"/>
    <m/>
    <m/>
    <m/>
    <m/>
    <m/>
    <s v="NETWORK STEEL AFRICA S.L."/>
    <m/>
    <m/>
    <x v="7"/>
  </r>
  <r>
    <s v="26020827"/>
    <s v="5002769198"/>
    <s v="40005230"/>
    <m/>
    <d v="2026-02-06T00:00:00"/>
    <d v="2026-01-21T00:00:00"/>
    <s v="PROTECCION E INDEMIZACION"/>
    <s v="TRANSPORTE"/>
    <n v="1134.1400000000001"/>
    <n v="113.42"/>
    <n v="113.42"/>
    <m/>
    <m/>
    <m/>
    <m/>
    <m/>
    <m/>
    <m/>
    <m/>
    <m/>
    <s v="VEROBROKER"/>
    <s v="MS AMLIN MARINE N.V."/>
    <m/>
    <m/>
    <x v="0"/>
    <m/>
    <m/>
    <m/>
    <m/>
    <m/>
    <s v="NETWORK STEEL, S.L."/>
    <m/>
    <m/>
    <x v="4"/>
  </r>
  <r>
    <s v="1439264F01"/>
    <s v="5002765607"/>
    <s v="SP030-000699-24"/>
    <m/>
    <d v="2026-02-04T00:00:00"/>
    <d v="2025-01-23T00:00:00"/>
    <s v="MERCANCIAS"/>
    <s v="TRANSPORTE"/>
    <n v="7463.87"/>
    <n v="746.38"/>
    <n v="746.38"/>
    <m/>
    <m/>
    <m/>
    <m/>
    <m/>
    <m/>
    <m/>
    <m/>
    <m/>
    <s v="VEROBROKER"/>
    <s v="INTACT INSURANCE (EUROPE) SA SUCURSAL EN ESPAÑA"/>
    <m/>
    <m/>
    <x v="1"/>
    <m/>
    <m/>
    <m/>
    <m/>
    <m/>
    <s v="NETWORK STEEL, S.L."/>
    <m/>
    <m/>
    <x v="4"/>
  </r>
  <r>
    <s v="1429985F01"/>
    <s v="5002765604"/>
    <s v="SP030-000699-24"/>
    <m/>
    <d v="2026-02-04T00:00:00"/>
    <d v="2024-12-31T00:00:00"/>
    <s v="MERCANCIAS"/>
    <s v="TRANSPORTE"/>
    <n v="847.37"/>
    <n v="84.74"/>
    <n v="84.74"/>
    <m/>
    <m/>
    <m/>
    <m/>
    <m/>
    <m/>
    <m/>
    <m/>
    <m/>
    <s v="VEROBROKER"/>
    <s v="INTACT INSURANCE (EUROPE) SA SUCURSAL EN ESPAÑA"/>
    <m/>
    <m/>
    <x v="1"/>
    <m/>
    <m/>
    <m/>
    <m/>
    <m/>
    <s v="NETWORK STEEL, S.L."/>
    <m/>
    <m/>
    <x v="4"/>
  </r>
  <r>
    <s v="1434931F01"/>
    <s v="5002765601"/>
    <s v="SP030-000711-25"/>
    <m/>
    <d v="2026-02-04T00:00:00"/>
    <d v="2025-02-28T00:00:00"/>
    <s v="MERCANCIAS"/>
    <s v="TRANSPORTE"/>
    <n v="3729.8"/>
    <n v="372.98"/>
    <n v="372.98"/>
    <m/>
    <m/>
    <m/>
    <m/>
    <m/>
    <m/>
    <m/>
    <m/>
    <m/>
    <s v="VEROBROKER"/>
    <s v="INTACT INSURANCE (EUROPE) SA SUCURSAL EN ESPAÑA"/>
    <m/>
    <m/>
    <x v="1"/>
    <m/>
    <m/>
    <m/>
    <m/>
    <m/>
    <s v="ECO STEEL SOLUTIONS S.L."/>
    <m/>
    <m/>
    <x v="4"/>
  </r>
  <r>
    <s v="1441388F01"/>
    <s v="5002765603"/>
    <s v="SP030-001981-25"/>
    <m/>
    <d v="2026-02-04T00:00:00"/>
    <d v="2025-03-31T00:00:00"/>
    <s v="MERCANCIAS"/>
    <s v="TRANSPORTE"/>
    <n v="13404.14"/>
    <n v="1340.42"/>
    <n v="1340.42"/>
    <m/>
    <m/>
    <m/>
    <m/>
    <m/>
    <m/>
    <m/>
    <m/>
    <m/>
    <s v="VEROBROKER"/>
    <s v="INTACT INSURANCE (EUROPE) SA SUCURSAL EN ESPAÑA"/>
    <m/>
    <m/>
    <x v="1"/>
    <m/>
    <m/>
    <m/>
    <m/>
    <m/>
    <s v="LEON COATED SOLUTIONS, S.L."/>
    <m/>
    <m/>
    <x v="4"/>
  </r>
  <r>
    <s v="1434740F01"/>
    <s v="5002765606"/>
    <s v="SP030-000699-25"/>
    <m/>
    <d v="2026-02-04T00:00:00"/>
    <d v="2025-02-28T00:00:00"/>
    <s v="MERCANCIAS"/>
    <s v="TRANSPORTE"/>
    <n v="10922.85"/>
    <n v="1092.28"/>
    <n v="1092.28"/>
    <m/>
    <m/>
    <m/>
    <m/>
    <m/>
    <m/>
    <m/>
    <m/>
    <m/>
    <s v="VEROBROKER"/>
    <s v="INTACT INSURANCE (EUROPE) SA SUCURSAL EN ESPAÑA"/>
    <m/>
    <m/>
    <x v="1"/>
    <m/>
    <m/>
    <m/>
    <m/>
    <m/>
    <s v="NETWORK STEEL, S.L."/>
    <m/>
    <m/>
    <x v="4"/>
  </r>
  <r>
    <s v="1437154F01"/>
    <s v="5002765600"/>
    <s v="SP030-000710-24"/>
    <m/>
    <d v="2026-02-04T00:00:00"/>
    <d v="2025-01-26T00:00:00"/>
    <s v="MERCANCIAS"/>
    <s v="TRANSPORTE"/>
    <n v="715.66"/>
    <n v="71.56"/>
    <n v="71.56"/>
    <m/>
    <m/>
    <m/>
    <m/>
    <m/>
    <m/>
    <m/>
    <m/>
    <m/>
    <s v="VEROBROKER"/>
    <s v="INTACT INSURANCE (EUROPE) SA SUCURSAL EN ESPAÑA"/>
    <m/>
    <m/>
    <x v="1"/>
    <m/>
    <m/>
    <m/>
    <m/>
    <m/>
    <s v="ARANDA COATED SOLUTIONS, S.L"/>
    <m/>
    <m/>
    <x v="4"/>
  </r>
  <r>
    <s v="1431796F01"/>
    <s v="5002765609"/>
    <s v="SP030-001084-25"/>
    <m/>
    <d v="2026-02-04T00:00:00"/>
    <d v="2025-02-27T00:00:00"/>
    <s v="MERCANCIAS"/>
    <s v="TRANSPORTE"/>
    <n v="8282.2900000000009"/>
    <n v="828.23"/>
    <n v="828.23"/>
    <m/>
    <m/>
    <m/>
    <m/>
    <m/>
    <m/>
    <m/>
    <m/>
    <m/>
    <s v="VEROBROKER"/>
    <s v="INTACT INSURANCE (EUROPE) SA SUCURSAL EN ESPAÑA"/>
    <m/>
    <m/>
    <x v="1"/>
    <m/>
    <m/>
    <m/>
    <m/>
    <m/>
    <s v="SANTANDER COATED SOLUTIONS, S.L."/>
    <m/>
    <m/>
    <x v="4"/>
  </r>
  <r>
    <s v="1430241F01"/>
    <s v="5002765605"/>
    <s v="SP030-000699-24"/>
    <m/>
    <d v="2026-02-04T00:00:00"/>
    <d v="2024-12-26T00:00:00"/>
    <s v="MERCANCIAS"/>
    <s v="TRANSPORTE"/>
    <n v="5664.01"/>
    <n v="566.4"/>
    <n v="566.4"/>
    <m/>
    <m/>
    <m/>
    <m/>
    <m/>
    <m/>
    <m/>
    <m/>
    <m/>
    <s v="VEROBROKER"/>
    <s v="INTACT INSURANCE (EUROPE) SA SUCURSAL EN ESPAÑA"/>
    <m/>
    <m/>
    <x v="1"/>
    <m/>
    <m/>
    <m/>
    <m/>
    <m/>
    <s v="NETWORK STEEL, S.L."/>
    <m/>
    <m/>
    <x v="4"/>
  </r>
  <r>
    <s v="1429969F01"/>
    <s v="5002765608"/>
    <s v="SP030-001084-24"/>
    <m/>
    <d v="2026-02-04T00:00:00"/>
    <d v="2025-01-05T00:00:00"/>
    <s v="MERCANCIAS"/>
    <s v="TRANSPORTE"/>
    <n v="5128.57"/>
    <n v="512.86"/>
    <n v="512.86"/>
    <m/>
    <m/>
    <m/>
    <m/>
    <m/>
    <m/>
    <m/>
    <m/>
    <m/>
    <s v="VEROBROKER"/>
    <s v="INTACT INSURANCE (EUROPE) SA SUCURSAL EN ESPAÑA"/>
    <m/>
    <m/>
    <x v="1"/>
    <m/>
    <m/>
    <m/>
    <m/>
    <m/>
    <s v="SANTANDER COATED SOLUTIONS, S.L."/>
    <m/>
    <m/>
    <x v="4"/>
  </r>
  <r>
    <s v="1437210F01"/>
    <s v="5002765611"/>
    <s v="SP030-001084-25"/>
    <m/>
    <d v="2026-02-04T00:00:00"/>
    <d v="2025-02-06T00:00:00"/>
    <s v="MERCANCIAS"/>
    <s v="TRANSPORTE"/>
    <n v="9399.9599999999991"/>
    <n v="940"/>
    <n v="940"/>
    <m/>
    <m/>
    <m/>
    <m/>
    <m/>
    <m/>
    <m/>
    <m/>
    <m/>
    <s v="VEROBROKER"/>
    <s v="INTACT INSURANCE (EUROPE) SA SUCURSAL EN ESPAÑA"/>
    <m/>
    <m/>
    <x v="1"/>
    <m/>
    <m/>
    <m/>
    <m/>
    <m/>
    <s v="SANTANDER COATED SOLUTIONS, S.L."/>
    <m/>
    <m/>
    <x v="4"/>
  </r>
  <r>
    <s v="1441350F01"/>
    <s v="5002765602"/>
    <s v="SP030-001981-25"/>
    <m/>
    <d v="2026-02-04T00:00:00"/>
    <d v="2025-02-19T00:00:00"/>
    <s v="MERCANCIAS"/>
    <s v="TRANSPORTE"/>
    <n v="10004.719999999999"/>
    <n v="1000.47"/>
    <n v="1000.47"/>
    <m/>
    <m/>
    <m/>
    <m/>
    <m/>
    <m/>
    <m/>
    <m/>
    <m/>
    <s v="VEROBROKER"/>
    <s v="INTACT INSURANCE (EUROPE) SA SUCURSAL EN ESPAÑA"/>
    <m/>
    <m/>
    <x v="1"/>
    <m/>
    <m/>
    <m/>
    <m/>
    <m/>
    <s v="LEON COATED SOLUTIONS, S.L."/>
    <m/>
    <m/>
    <x v="4"/>
  </r>
  <r>
    <s v="1437193F01"/>
    <s v="5002765610"/>
    <s v="SP030-001084-24"/>
    <m/>
    <d v="2026-02-04T00:00:00"/>
    <d v="2025-01-24T00:00:00"/>
    <s v="MERCANCIAS"/>
    <s v="TRANSPORTE"/>
    <n v="11735.92"/>
    <n v="1173.5899999999999"/>
    <n v="1173.5899999999999"/>
    <m/>
    <m/>
    <m/>
    <m/>
    <m/>
    <m/>
    <m/>
    <m/>
    <m/>
    <s v="VEROBROKER"/>
    <s v="INTACT INSURANCE (EUROPE) SA SUCURSAL EN ESPAÑA"/>
    <m/>
    <m/>
    <x v="1"/>
    <m/>
    <m/>
    <m/>
    <m/>
    <m/>
    <s v="SANTANDER COATED SOLUTIONS, S.L."/>
    <m/>
    <m/>
    <x v="4"/>
  </r>
  <r>
    <s v="1438366F01"/>
    <s v="5002765612"/>
    <s v="SP030-001084-25"/>
    <m/>
    <d v="2026-02-04T00:00:00"/>
    <d v="2025-03-21T00:00:00"/>
    <s v="MERCANCIAS"/>
    <s v="TRANSPORTE"/>
    <n v="11551.53"/>
    <n v="1155.1600000000001"/>
    <n v="1155.1600000000001"/>
    <m/>
    <m/>
    <m/>
    <m/>
    <m/>
    <m/>
    <m/>
    <m/>
    <m/>
    <s v="VEROBROKER"/>
    <s v="INTACT INSURANCE (EUROPE) SA SUCURSAL EN ESPAÑA"/>
    <m/>
    <m/>
    <x v="1"/>
    <m/>
    <m/>
    <m/>
    <m/>
    <m/>
    <s v="SANTANDER COATED SOLUTIONS, S.L."/>
    <m/>
    <m/>
    <x v="4"/>
  </r>
  <r>
    <s v="1429959F01"/>
    <s v="5002765599"/>
    <s v="SP030-000710-24"/>
    <m/>
    <d v="2026-02-04T00:00:00"/>
    <d v="2025-01-05T00:00:00"/>
    <s v="MERCANCIAS"/>
    <s v="TRANSPORTE"/>
    <n v="2837.23"/>
    <n v="283.72000000000003"/>
    <n v="283.72000000000003"/>
    <m/>
    <m/>
    <m/>
    <m/>
    <m/>
    <m/>
    <m/>
    <m/>
    <m/>
    <s v="VEROBROKER"/>
    <s v="INTACT INSURANCE (EUROPE) SA SUCURSAL EN ESPAÑA"/>
    <m/>
    <m/>
    <x v="1"/>
    <m/>
    <m/>
    <m/>
    <m/>
    <m/>
    <s v="ARANDA COATED SOLUTIONS, S.L"/>
    <m/>
    <m/>
    <x v="4"/>
  </r>
  <r>
    <s v="020122012026001A"/>
    <s v="5002767860"/>
    <s v="82774870-0"/>
    <m/>
    <d v="2026-02-04T00:00:00"/>
    <d v="2026-01-01T00:00:00"/>
    <s v="SALUD COLECTIVO"/>
    <s v="ASIST_SANI"/>
    <n v="266.2"/>
    <n v="11.31"/>
    <n v="11.31"/>
    <m/>
    <m/>
    <m/>
    <m/>
    <m/>
    <m/>
    <m/>
    <m/>
    <m/>
    <s v="VEROBROKER"/>
    <s v="SANITAS, S.A. DE SEGUROS"/>
    <m/>
    <m/>
    <x v="1"/>
    <m/>
    <m/>
    <m/>
    <m/>
    <m/>
    <s v="NETWORK STEEL RESOURCES, S.A"/>
    <m/>
    <m/>
    <x v="1"/>
  </r>
  <r>
    <s v="020122012026001A"/>
    <s v="5002767859"/>
    <s v="82774870-7"/>
    <m/>
    <d v="2026-02-04T00:00:00"/>
    <d v="2026-01-01T00:00:00"/>
    <s v="SALUD COLECTIVO"/>
    <s v="ASIST_SANI"/>
    <n v="-399.3"/>
    <n v="-16.63"/>
    <n v="-16.63"/>
    <m/>
    <m/>
    <m/>
    <m/>
    <m/>
    <m/>
    <m/>
    <m/>
    <m/>
    <s v="VEROBROKER"/>
    <s v="SANITAS, S.A. DE SEGUROS"/>
    <m/>
    <m/>
    <x v="1"/>
    <m/>
    <m/>
    <m/>
    <m/>
    <m/>
    <s v="NETWORK STEEL RESOURCES, S.A"/>
    <m/>
    <m/>
    <x v="1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  <r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x v="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2728330"/>
    <s v="5002690000"/>
    <x v="0"/>
    <m/>
    <d v="2026-01-02T00:00:00"/>
    <d v="2026-01-01T00:00:00"/>
    <s v="RIESGO"/>
    <s v="VI_RIESGO"/>
    <n v="3444.73"/>
    <n v="344.48"/>
    <n v="344.48"/>
    <m/>
    <m/>
    <m/>
    <m/>
    <m/>
    <m/>
    <m/>
    <m/>
    <m/>
    <s v="VEROBROKER"/>
    <s v="SURNE, MUTUA DE SEG. Y REAS. A PRIMA FIJA"/>
    <s v="AK_DIRCIA"/>
    <m/>
    <s v="Facturado"/>
    <m/>
    <m/>
    <m/>
    <m/>
    <m/>
    <s v="IBER STEEL, S.L."/>
    <m/>
    <m/>
    <s v="Vida Riesgo Particular"/>
    <m/>
    <s v="Vida Riesgo Particular"/>
  </r>
  <r>
    <s v="568458693"/>
    <s v="5002689485"/>
    <x v="1"/>
    <m/>
    <d v="2026-01-02T00:00:00"/>
    <d v="2026-01-15T00:00:00"/>
    <s v="CONVENIO"/>
    <s v="ACCIDENTES"/>
    <n v="5520.21"/>
    <n v="552.02"/>
    <n v="552.02"/>
    <m/>
    <m/>
    <m/>
    <m/>
    <m/>
    <m/>
    <m/>
    <m/>
    <m/>
    <s v="VEROBROKER"/>
    <s v="ALLIANZ, COMPAÑIA DE SEGUROS Y REASEGUROS,S.A."/>
    <s v="AK_BANCO"/>
    <m/>
    <s v="Liquid."/>
    <m/>
    <d v="2026-01-12T00:00:00"/>
    <m/>
    <m/>
    <m/>
    <s v="LEON COATED SOLUTIONS, S.L."/>
    <m/>
    <m/>
    <s v="Seguros Personales (No Vida) Colectivos"/>
    <m/>
    <s v="Accidentes Convenio"/>
  </r>
  <r>
    <s v="582497826"/>
    <s v="5002699648"/>
    <x v="2"/>
    <m/>
    <d v="2026-01-02T00:00:00"/>
    <d v="2026-01-01T00:00:00"/>
    <s v="CUADRO MEDICO INDIVIDUAL"/>
    <s v="ASIST_SANI"/>
    <n v="607.47"/>
    <n v="25.82"/>
    <n v="25.82"/>
    <m/>
    <m/>
    <m/>
    <m/>
    <m/>
    <m/>
    <m/>
    <m/>
    <m/>
    <s v="VEROBROKER"/>
    <s v="ALLIANZ PORTUGAL"/>
    <s v="AK_DIRCIA"/>
    <m/>
    <s v="Liquid."/>
    <m/>
    <d v="2026-02-04T00:00:00"/>
    <m/>
    <m/>
    <m/>
    <s v="PLANOS FERRICOS PORTUGAL PRODUCTOS SIDERÚRGICOS LD"/>
    <m/>
    <m/>
    <s v="Seguros Personales (No Vida) Particular"/>
    <m/>
    <s v="Salud Particular"/>
  </r>
  <r>
    <s v="8732115179"/>
    <s v="5002692228"/>
    <x v="3"/>
    <m/>
    <d v="2026-01-02T00:00:00"/>
    <d v="2026-01-01T00:00:00"/>
    <s v="TODO RIESGO"/>
    <s v="AUTOS"/>
    <n v="826.82"/>
    <n v="57.88"/>
    <n v="57.88"/>
    <m/>
    <m/>
    <m/>
    <m/>
    <m/>
    <m/>
    <m/>
    <m/>
    <m/>
    <s v="VEROBROKER"/>
    <s v="MAPFRE ESPAÑA, CIA. DE SEG. Y REASEG.,S.A."/>
    <s v="AK_DIRCIA"/>
    <m/>
    <s v="Cobrado"/>
    <m/>
    <d v="2025-12-30T00:00:00"/>
    <m/>
    <m/>
    <m/>
    <s v="ARANDA COATED SOLUTIONS, S.L"/>
    <m/>
    <m/>
    <s v="Autos"/>
    <m/>
    <s v="Autos Cat. 1"/>
  </r>
  <r>
    <s v="25123736"/>
    <s v="5002730989"/>
    <x v="4"/>
    <m/>
    <d v="2026-01-07T00:00:00"/>
    <d v="2025-12-21T00:00:00"/>
    <s v="PROTECCION E INDEMIZACION"/>
    <s v="TRANSPORTE"/>
    <n v="1143.8"/>
    <n v="114.38"/>
    <n v="114.38"/>
    <m/>
    <m/>
    <m/>
    <m/>
    <m/>
    <m/>
    <m/>
    <m/>
    <m/>
    <s v="VEROBROKER"/>
    <s v="MS AMLIN MARINE N.V."/>
    <s v="AK_CORRED"/>
    <m/>
    <s v="Facturado"/>
    <m/>
    <m/>
    <m/>
    <m/>
    <m/>
    <s v="NETWORK STEEL, S.L."/>
    <m/>
    <m/>
    <s v="Transporte"/>
    <m/>
    <s v="Transportes Mercancías"/>
  </r>
  <r>
    <s v="020122012025012A"/>
    <s v="5002732508"/>
    <x v="5"/>
    <m/>
    <d v="2026-01-07T00:00:00"/>
    <d v="2025-12-01T00:00:00"/>
    <s v="SALUD COLECTIVO"/>
    <s v="ASIST_SANI"/>
    <n v="1796.85"/>
    <n v="73.5"/>
    <n v="73.5"/>
    <m/>
    <m/>
    <m/>
    <m/>
    <m/>
    <m/>
    <m/>
    <m/>
    <m/>
    <s v="VEROBROKER"/>
    <s v="SANITAS, S.A. DE SEGUROS"/>
    <s v="AK_DIRCIA"/>
    <m/>
    <s v="Liquid."/>
    <m/>
    <d v="2026-01-07T00:00:00"/>
    <m/>
    <m/>
    <m/>
    <s v="NETWORK STEEL RESOURCES, S.A"/>
    <m/>
    <m/>
    <s v="Seguros Personales (No Vida) Colectivos"/>
    <m/>
    <s v="Salud Colectivo"/>
  </r>
  <r>
    <s v="020122012025012A"/>
    <s v="5002732493"/>
    <x v="6"/>
    <m/>
    <d v="2026-01-07T00:00:00"/>
    <d v="2025-12-01T00:00:00"/>
    <s v="SALUD COLECTIVO"/>
    <s v="ASIST_SANI"/>
    <n v="798.6"/>
    <n v="31.92"/>
    <n v="31.92"/>
    <m/>
    <m/>
    <m/>
    <m/>
    <m/>
    <m/>
    <m/>
    <m/>
    <m/>
    <s v="VEROBROKER"/>
    <s v="SANITAS, S.A. DE SEGUROS"/>
    <s v="AK_DIRCIA"/>
    <m/>
    <s v="Liquid."/>
    <m/>
    <d v="2026-01-07T00:00:00"/>
    <m/>
    <m/>
    <m/>
    <s v="NETWORK STEEL, S.L."/>
    <m/>
    <m/>
    <s v="Seguros Personales (No Vida) Colectivos"/>
    <m/>
    <s v="Salud Colectivo"/>
  </r>
  <r>
    <s v="020122012025012A"/>
    <s v="5002732500"/>
    <x v="7"/>
    <m/>
    <d v="2026-01-07T00:00:00"/>
    <d v="2025-12-01T00:00:00"/>
    <s v="SALUD COLECTIVO"/>
    <s v="ASIST_SANI"/>
    <n v="132.05000000000001"/>
    <n v="5.28"/>
    <n v="5.28"/>
    <m/>
    <m/>
    <m/>
    <m/>
    <m/>
    <m/>
    <m/>
    <m/>
    <m/>
    <s v="VEROBROKER"/>
    <s v="SANITAS, S.A. DE SEGUROS"/>
    <s v="AK_DIRCIA"/>
    <m/>
    <s v="Liquid."/>
    <m/>
    <d v="2026-01-07T00:00:00"/>
    <m/>
    <m/>
    <m/>
    <s v="NETWORK STEEL, S.L."/>
    <m/>
    <m/>
    <s v="Seguros Personales (No Vida) Colectivos"/>
    <m/>
    <s v="Salud Colectivo"/>
  </r>
  <r>
    <s v="020122012025012A"/>
    <s v="5002732504"/>
    <x v="8"/>
    <m/>
    <d v="2026-01-07T00:00:00"/>
    <d v="2025-12-01T00:00:00"/>
    <s v="SALUD COLECTIVO"/>
    <s v="ASIST_SANI"/>
    <n v="265.5"/>
    <n v="10.94"/>
    <n v="10.94"/>
    <m/>
    <m/>
    <m/>
    <m/>
    <m/>
    <m/>
    <m/>
    <m/>
    <m/>
    <s v="VEROBROKER"/>
    <s v="SANITAS, S.A. DE SEGUROS"/>
    <s v="AK_DIRCIA"/>
    <m/>
    <s v="Liquid."/>
    <m/>
    <d v="2026-01-07T00:00:00"/>
    <m/>
    <m/>
    <m/>
    <s v="NETWORK STEEL RESOURCES, S.A"/>
    <m/>
    <m/>
    <s v="Seguros Personales (No Vida) Colectivos"/>
    <m/>
    <s v="Salud Colectivo"/>
  </r>
  <r>
    <s v="020122012025012A"/>
    <s v="5002732506"/>
    <x v="9"/>
    <m/>
    <d v="2026-01-07T00:00:00"/>
    <d v="2025-12-01T00:00:00"/>
    <s v="SALUD COLECTIVO"/>
    <s v="ASIST_SANI"/>
    <n v="1397.55"/>
    <n v="57.2"/>
    <n v="57.2"/>
    <m/>
    <m/>
    <m/>
    <m/>
    <m/>
    <m/>
    <m/>
    <m/>
    <m/>
    <s v="VEROBROKER"/>
    <s v="SANITAS, S.A. DE SEGUROS"/>
    <s v="AK_DIRCIA"/>
    <m/>
    <s v="Liquid."/>
    <m/>
    <d v="2026-01-07T00:00:00"/>
    <m/>
    <m/>
    <m/>
    <s v="LEON COATED SOLUTIONS, S.L."/>
    <m/>
    <m/>
    <s v="Seguros Personales (No Vida) Colectivos"/>
    <m/>
    <s v="Salud Colectivo"/>
  </r>
  <r>
    <s v="020122012025012A"/>
    <s v="5002732494"/>
    <x v="10"/>
    <m/>
    <d v="2026-01-07T00:00:00"/>
    <d v="2025-12-01T00:00:00"/>
    <s v="SALUD COLECTIVO"/>
    <s v="ASIST_SANI"/>
    <n v="199.65"/>
    <n v="7.98"/>
    <n v="7.98"/>
    <m/>
    <m/>
    <m/>
    <m/>
    <m/>
    <m/>
    <m/>
    <m/>
    <m/>
    <s v="VEROBROKER"/>
    <s v="SANITAS, S.A. DE SEGUROS"/>
    <s v="AK_DIRCIA"/>
    <m/>
    <s v="Liquid."/>
    <m/>
    <d v="2026-01-07T00:00:00"/>
    <m/>
    <m/>
    <m/>
    <s v="NETWORK STEEL AFRICA S.L."/>
    <m/>
    <m/>
    <s v="Seguros Personales (No Vida) Colectivos"/>
    <m/>
    <s v="Salud Colectivo"/>
  </r>
  <r>
    <s v="020122012025012A"/>
    <s v="5002732498"/>
    <x v="11"/>
    <m/>
    <d v="2026-01-07T00:00:00"/>
    <d v="2025-12-01T00:00:00"/>
    <s v="SALUD COLECTIVO"/>
    <s v="ASIST_SANI"/>
    <n v="66.55"/>
    <n v="3"/>
    <n v="3"/>
    <m/>
    <m/>
    <m/>
    <m/>
    <m/>
    <m/>
    <m/>
    <m/>
    <m/>
    <s v="VEROBROKER"/>
    <s v="SANITAS, S.A. DE SEGUROS"/>
    <s v="AK_DIRCIA"/>
    <m/>
    <s v="Liquid."/>
    <m/>
    <d v="2026-01-07T00:00:00"/>
    <m/>
    <m/>
    <m/>
    <s v="ACEROS RECUBIERTOS IMPORTACION MEDITERRA"/>
    <m/>
    <m/>
    <s v="Seguros Personales (No Vida) Colectivos"/>
    <m/>
    <s v="Salud Colectivo"/>
  </r>
  <r>
    <s v="020122012025012A"/>
    <s v="5002732502"/>
    <x v="12"/>
    <m/>
    <d v="2026-01-07T00:00:00"/>
    <d v="2025-12-01T00:00:00"/>
    <s v="CUADRO MEDICO COLECTIVO"/>
    <s v="ASIST_SANI"/>
    <n v="318.81"/>
    <n v="12.75"/>
    <n v="12.75"/>
    <m/>
    <m/>
    <m/>
    <m/>
    <m/>
    <m/>
    <m/>
    <m/>
    <m/>
    <s v="VEROBROKER"/>
    <s v="SANITAS, S.A. DE SEGUROS"/>
    <s v="AK_DIRCIA"/>
    <m/>
    <s v="Liquid."/>
    <m/>
    <d v="2026-01-07T00:00:00"/>
    <m/>
    <m/>
    <m/>
    <s v="PLANOS FERRICOS SLU"/>
    <m/>
    <m/>
    <s v="Seguros Personales (No Vida) Colectivos"/>
    <m/>
    <s v="Salud Colectivo"/>
  </r>
  <r>
    <s v="020122012025012A"/>
    <s v="5002732496"/>
    <x v="13"/>
    <m/>
    <d v="2026-01-07T00:00:00"/>
    <d v="2025-12-01T00:00:00"/>
    <s v="SALUD COLECTIVO"/>
    <s v="ASIST_SANI"/>
    <n v="266.2"/>
    <n v="10.64"/>
    <n v="10.64"/>
    <m/>
    <m/>
    <m/>
    <m/>
    <m/>
    <m/>
    <m/>
    <m/>
    <m/>
    <s v="VEROBROKER"/>
    <s v="SANITAS, S.A. DE SEGUROS"/>
    <s v="AK_DIRCIA"/>
    <m/>
    <s v="Liquid."/>
    <m/>
    <d v="2026-01-07T00:00:00"/>
    <m/>
    <m/>
    <m/>
    <s v="SANTANDER COATED SOLUTIONS, S.L."/>
    <m/>
    <m/>
    <s v="Seguros Personales (No Vida) Colectivos"/>
    <m/>
    <s v="Salud Colectivo"/>
  </r>
  <r>
    <s v="020122012025012A"/>
    <s v="5002732495"/>
    <x v="14"/>
    <m/>
    <d v="2026-01-07T00:00:00"/>
    <d v="2025-12-01T00:00:00"/>
    <s v="SALUD COLECTIVO"/>
    <s v="ASIST_SANI"/>
    <n v="553.87"/>
    <n v="22.48"/>
    <n v="22.48"/>
    <m/>
    <m/>
    <m/>
    <m/>
    <m/>
    <m/>
    <m/>
    <m/>
    <m/>
    <s v="VEROBROKER"/>
    <s v="SANITAS, S.A. DE SEGUROS"/>
    <s v="AK_DIRCIA"/>
    <m/>
    <s v="Liquid."/>
    <m/>
    <d v="2026-01-07T00:00:00"/>
    <m/>
    <m/>
    <m/>
    <s v="ECO STEEL SOLUTIONS S.L."/>
    <m/>
    <m/>
    <s v="Seguros Personales (No Vida) Colectivos"/>
    <m/>
    <s v="Salud Colectivo"/>
  </r>
  <r>
    <s v="020122012025012A"/>
    <s v="5002732499"/>
    <x v="15"/>
    <m/>
    <d v="2026-01-07T00:00:00"/>
    <d v="2025-12-01T00:00:00"/>
    <s v="SALUD COLECTIVO"/>
    <s v="ASIST_SANI"/>
    <n v="931.7"/>
    <n v="37.24"/>
    <n v="37.24"/>
    <m/>
    <m/>
    <m/>
    <m/>
    <m/>
    <m/>
    <m/>
    <m/>
    <m/>
    <s v="VEROBROKER"/>
    <s v="SANITAS, S.A. DE SEGUROS"/>
    <s v="AK_DIRCIA"/>
    <m/>
    <s v="Liquid."/>
    <m/>
    <d v="2026-01-07T00:00:00"/>
    <m/>
    <m/>
    <m/>
    <s v="ARANDA COATED SOLUTIONS, S.L"/>
    <m/>
    <m/>
    <s v="Seguros Personales (No Vida) Colectivos"/>
    <m/>
    <s v="Salud Colectivo"/>
  </r>
  <r>
    <s v="020122012025012A"/>
    <s v="5002732507"/>
    <x v="16"/>
    <m/>
    <d v="2026-01-07T00:00:00"/>
    <d v="2025-12-01T00:00:00"/>
    <s v="SALUD COLECTIVO"/>
    <s v="ASIST_SANI"/>
    <n v="1264.45"/>
    <n v="51.21"/>
    <n v="51.21"/>
    <m/>
    <m/>
    <m/>
    <m/>
    <m/>
    <m/>
    <m/>
    <m/>
    <m/>
    <s v="VEROBROKER"/>
    <s v="SANITAS, S.A. DE SEGUROS"/>
    <s v="AK_DIRCIA"/>
    <m/>
    <s v="Liquid."/>
    <m/>
    <d v="2026-01-07T00:00:00"/>
    <m/>
    <m/>
    <m/>
    <s v="PLANOS FERRICOS SLU"/>
    <m/>
    <m/>
    <s v="Seguros Personales (No Vida) Colectivos"/>
    <m/>
    <s v="Salud Colectivo"/>
  </r>
  <r>
    <s v="020122012025012A"/>
    <s v="5002732505"/>
    <x v="17"/>
    <m/>
    <d v="2026-01-07T00:00:00"/>
    <d v="2025-12-01T00:00:00"/>
    <s v="SALUD COLECTIVO"/>
    <s v="ASIST_SANI"/>
    <n v="133.1"/>
    <n v="5.32"/>
    <n v="5.32"/>
    <m/>
    <m/>
    <m/>
    <m/>
    <m/>
    <m/>
    <m/>
    <m/>
    <m/>
    <s v="VEROBROKER"/>
    <s v="SANITAS, S.A. DE SEGUROS"/>
    <s v="AK_DIRCIA"/>
    <m/>
    <s v="Liquid."/>
    <m/>
    <d v="2026-01-07T00:00:00"/>
    <m/>
    <m/>
    <m/>
    <s v="IBER STEEL, S.L."/>
    <m/>
    <m/>
    <s v="Seguros Personales (No Vida) Colectivos"/>
    <m/>
    <s v="Salud Colectivo"/>
  </r>
  <r>
    <s v="020122012025012A"/>
    <s v="5002732503"/>
    <x v="18"/>
    <m/>
    <d v="2026-01-07T00:00:00"/>
    <d v="2025-12-01T00:00:00"/>
    <s v="SALUD COLECTIVO"/>
    <s v="ASIST_SANI"/>
    <n v="773.94"/>
    <n v="31.28"/>
    <n v="31.28"/>
    <m/>
    <m/>
    <m/>
    <m/>
    <m/>
    <m/>
    <m/>
    <m/>
    <m/>
    <s v="VEROBROKER"/>
    <s v="SANITAS, S.A. DE SEGUROS"/>
    <s v="AK_DIRCIA"/>
    <m/>
    <s v="Liquid."/>
    <m/>
    <d v="2026-01-07T00:00:00"/>
    <m/>
    <m/>
    <m/>
    <s v="NETWORK STEEL RESOURCES, S.A"/>
    <m/>
    <m/>
    <s v="Seguros Personales (No Vida) Colectivos"/>
    <m/>
    <s v="Salud Colectivo"/>
  </r>
  <r>
    <s v="020122012025012A"/>
    <s v="5002732501"/>
    <x v="19"/>
    <m/>
    <d v="2026-01-07T00:00:00"/>
    <d v="2025-12-01T00:00:00"/>
    <s v="SALUD COLECTIVO"/>
    <s v="ASIST_SANI"/>
    <n v="106.27"/>
    <n v="4.25"/>
    <n v="4.25"/>
    <m/>
    <m/>
    <m/>
    <m/>
    <m/>
    <m/>
    <m/>
    <m/>
    <m/>
    <s v="VEROBROKER"/>
    <s v="SANITAS, S.A. DE SEGUROS"/>
    <s v="AK_DIRCIA"/>
    <m/>
    <s v="Liquid."/>
    <m/>
    <d v="2026-01-07T00:00:00"/>
    <m/>
    <m/>
    <m/>
    <s v="SANTANDER COATED SOLUTIONS, S.L."/>
    <m/>
    <m/>
    <s v="Seguros Personales (No Vida) Colectivos"/>
    <m/>
    <s v="Salud Colectivo"/>
  </r>
  <r>
    <s v="1514126F01"/>
    <s v="5002727674"/>
    <x v="20"/>
    <m/>
    <d v="2026-01-07T00:00:00"/>
    <d v="2025-11-28T00:00:00"/>
    <s v="MERCANCIAS"/>
    <s v="TRANSPORTE"/>
    <n v="12259.18"/>
    <n v="1225.92"/>
    <n v="1225.92"/>
    <m/>
    <m/>
    <m/>
    <m/>
    <m/>
    <m/>
    <m/>
    <m/>
    <m/>
    <s v="VEROBROKER"/>
    <s v="RSA LUXEMBURGO, S.A. SUC. EN ESPAÑA"/>
    <s v="AK_CORRED"/>
    <m/>
    <s v="Facturado"/>
    <m/>
    <m/>
    <m/>
    <m/>
    <m/>
    <s v="SANTANDER COATED SOLUTIONS, S.L."/>
    <m/>
    <m/>
    <s v="Transporte"/>
    <m/>
    <s v="Transportes Mercancías"/>
  </r>
  <r>
    <s v="52772156"/>
    <s v="5002733042"/>
    <x v="21"/>
    <m/>
    <d v="2026-01-08T00:00:00"/>
    <d v="2026-01-01T00:00:00"/>
    <s v="AHORRO"/>
    <s v="VI_AHORRO"/>
    <n v="1534.91"/>
    <n v="115.12"/>
    <n v="115.12"/>
    <m/>
    <m/>
    <m/>
    <m/>
    <m/>
    <m/>
    <m/>
    <m/>
    <m/>
    <s v="VEROBROKER"/>
    <s v="ZURICH VIDA, CIA. DE SEGUROS Y REASEGUROS,S.A."/>
    <s v="AK_DIRCIA"/>
    <m/>
    <s v="Liquid."/>
    <m/>
    <d v="2026-01-08T00:00:00"/>
    <m/>
    <m/>
    <m/>
    <s v="ECO STEEL SOLUTIONS S.L."/>
    <m/>
    <m/>
    <s v="Vida Ahorro Particular"/>
    <m/>
    <s v="Vida Ahorro Particular"/>
  </r>
  <r>
    <s v="8764786996"/>
    <s v="5002738892"/>
    <x v="22"/>
    <m/>
    <d v="2026-01-08T00:00:00"/>
    <d v="2026-01-01T00:00:00"/>
    <s v="CUADRO MEDICO INDIVIDUAL"/>
    <s v="ASIST_SANI"/>
    <n v="13855.52"/>
    <n v="346.4"/>
    <n v="346.4"/>
    <m/>
    <m/>
    <m/>
    <m/>
    <m/>
    <m/>
    <m/>
    <m/>
    <m/>
    <s v="VEROBROKER"/>
    <s v="MAPFRE ESPAÑA, CIA. DE SEG. Y REASEG.,S.A."/>
    <s v="AK_DIRCIA"/>
    <m/>
    <s v="Cobrado"/>
    <m/>
    <d v="2026-02-04T00:00:00"/>
    <m/>
    <m/>
    <m/>
    <s v="NETWORK STEEL RESOURCES, S.A"/>
    <m/>
    <m/>
    <s v="Seguros Personales (No Vida) Particular"/>
    <m/>
    <s v="Salud Particular"/>
  </r>
  <r>
    <s v="1516169F01"/>
    <s v="5002732679"/>
    <x v="23"/>
    <m/>
    <d v="2026-01-08T00:00:00"/>
    <d v="2025-09-29T00:00:00"/>
    <s v="MERCANCIAS"/>
    <s v="TRANSPORTE"/>
    <n v="87.37"/>
    <n v="8.74"/>
    <n v="8.74"/>
    <m/>
    <m/>
    <m/>
    <m/>
    <m/>
    <m/>
    <m/>
    <m/>
    <m/>
    <s v="VEROBROKER"/>
    <s v="RSA LUXEMBURGO, S.A. SUC. EN ESPAÑA"/>
    <s v="AK_CORRED"/>
    <m/>
    <s v="Facturado"/>
    <m/>
    <m/>
    <m/>
    <m/>
    <m/>
    <s v="NETWORK STEEL, S.L."/>
    <m/>
    <m/>
    <s v="Transporte"/>
    <m/>
    <s v="Transportes Mercancías"/>
  </r>
  <r>
    <s v="1516577F01"/>
    <s v="5002732701"/>
    <x v="24"/>
    <m/>
    <d v="2026-01-08T00:00:00"/>
    <d v="2025-12-13T00:00:00"/>
    <s v="MERCANCIAS"/>
    <s v="TRANSPORTE"/>
    <n v="10842.12"/>
    <n v="1084.21"/>
    <n v="1084.21"/>
    <m/>
    <m/>
    <m/>
    <m/>
    <m/>
    <m/>
    <m/>
    <m/>
    <m/>
    <s v="VEROBROKER"/>
    <s v="RSA LUXEMBURGO, S.A. SUC. EN ESPAÑA"/>
    <s v="AK_CORRED"/>
    <m/>
    <s v="Facturado"/>
    <m/>
    <m/>
    <m/>
    <m/>
    <m/>
    <s v="AVEIRO COATED SOLUTIONS"/>
    <m/>
    <m/>
    <s v="Transporte"/>
    <m/>
    <s v="Transportes Mercancías"/>
  </r>
  <r>
    <s v="546215"/>
    <s v="5002739069"/>
    <x v="23"/>
    <m/>
    <d v="2026-01-09T00:00:00"/>
    <d v="2025-10-21T00:00:00"/>
    <s v="MERCANCIAS"/>
    <s v="TRANSPORTE"/>
    <n v="9341.94"/>
    <n v="934.2"/>
    <n v="934.2"/>
    <m/>
    <m/>
    <m/>
    <m/>
    <m/>
    <m/>
    <m/>
    <m/>
    <m/>
    <s v="VEROBROKER"/>
    <s v="RSA LUXEMBURGO, S.A. SUC. EN ESPAÑA"/>
    <s v="AK_CORRED"/>
    <m/>
    <s v="Facturado"/>
    <m/>
    <m/>
    <m/>
    <m/>
    <m/>
    <s v="NETWORK STEEL, S.L."/>
    <m/>
    <m/>
    <s v="Transporte"/>
    <m/>
    <s v="Transportes Mercancías"/>
  </r>
  <r>
    <s v="574622506"/>
    <s v="5002743242"/>
    <x v="25"/>
    <m/>
    <d v="2026-01-09T00:00:00"/>
    <d v="2025-12-01T00:00:00"/>
    <s v="CUADRO MEDICO INDIVIDUAL"/>
    <s v="ASIST_SANI"/>
    <n v="242.02"/>
    <n v="12.1"/>
    <n v="12.1"/>
    <m/>
    <m/>
    <m/>
    <m/>
    <m/>
    <m/>
    <m/>
    <m/>
    <m/>
    <s v="VEROBROKER"/>
    <s v="ALLIANZ PORTUGAL"/>
    <s v="AK_DIRCIA"/>
    <m/>
    <s v="Liquid."/>
    <m/>
    <d v="2026-01-09T00:00:00"/>
    <m/>
    <m/>
    <m/>
    <s v="PLANOS FERRICOS PORTUGAL PRODUCTOS SIDERÚRGICOS LD"/>
    <m/>
    <m/>
    <s v="Seguros Personales (No Vida) Particular"/>
    <m/>
    <s v="Salud Particular"/>
  </r>
  <r>
    <s v="574640904"/>
    <s v="5002743243"/>
    <x v="26"/>
    <m/>
    <d v="2026-01-09T00:00:00"/>
    <d v="2025-12-01T00:00:00"/>
    <s v="CUADRO MEDICO INDIVIDUAL"/>
    <s v="ASIST_SANI"/>
    <n v="308.14"/>
    <n v="15.4"/>
    <n v="15.4"/>
    <m/>
    <m/>
    <m/>
    <m/>
    <m/>
    <m/>
    <m/>
    <m/>
    <m/>
    <s v="VEROBROKER"/>
    <s v="ALLIANZ PORTUGAL"/>
    <s v="AK_DIRCIA"/>
    <m/>
    <s v="Liquid."/>
    <m/>
    <d v="2026-01-09T00:00:00"/>
    <m/>
    <m/>
    <m/>
    <s v="PLANOS FERRICOS PORTUGAL PRODUCTOS SIDERÚRGICOS LD"/>
    <m/>
    <m/>
    <s v="Seguros Personales (No Vida) Particular"/>
    <m/>
    <s v="Salud Particular"/>
  </r>
  <r>
    <s v="576539096"/>
    <s v="5002743241"/>
    <x v="27"/>
    <m/>
    <d v="2026-01-09T00:00:00"/>
    <d v="2025-12-01T00:00:00"/>
    <s v="CONVENIO"/>
    <s v="ACCIDENTES"/>
    <n v="526.4"/>
    <n v="24.76"/>
    <n v="24.76"/>
    <m/>
    <m/>
    <m/>
    <m/>
    <m/>
    <m/>
    <m/>
    <m/>
    <m/>
    <s v="VEROBROKER"/>
    <s v="ALLIANZ PORTUGAL"/>
    <s v="AK_DIRCIA"/>
    <m/>
    <s v="Liquid."/>
    <m/>
    <d v="2026-01-09T00:00:00"/>
    <m/>
    <m/>
    <m/>
    <s v="PLANOS FERRICOS PORTUGAL PRODUCTOS SIDERÚRGICOS LD"/>
    <m/>
    <m/>
    <s v="Seguros Personales (No Vida) Colectivos"/>
    <m/>
    <s v="Accidentes Convenio"/>
  </r>
  <r>
    <s v="1516629F01"/>
    <s v="5002739067"/>
    <x v="23"/>
    <m/>
    <d v="2026-01-09T00:00:00"/>
    <d v="2025-12-10T00:00:00"/>
    <s v="MERCANCIAS"/>
    <s v="TRANSPORTE"/>
    <n v="47102.55"/>
    <n v="4710.26"/>
    <n v="4710.26"/>
    <m/>
    <m/>
    <m/>
    <m/>
    <m/>
    <m/>
    <m/>
    <m/>
    <m/>
    <s v="VEROBROKER"/>
    <s v="RSA LUXEMBURGO, S.A. SUC. EN ESPAÑA"/>
    <s v="AK_CORRED"/>
    <m/>
    <s v="Facturado"/>
    <m/>
    <m/>
    <m/>
    <m/>
    <m/>
    <s v="NETWORK STEEL, S.L."/>
    <m/>
    <m/>
    <s v="Transporte"/>
    <m/>
    <s v="Transportes Mercancías"/>
  </r>
  <r>
    <s v="1516703F01"/>
    <s v="5002739073"/>
    <x v="28"/>
    <m/>
    <d v="2026-01-09T00:00:00"/>
    <d v="2025-10-21T00:00:00"/>
    <s v="MERCANCIAS"/>
    <s v="TRANSPORTE"/>
    <n v="33471.120000000003"/>
    <n v="3347.11"/>
    <n v="3347.11"/>
    <m/>
    <m/>
    <m/>
    <m/>
    <m/>
    <m/>
    <m/>
    <m/>
    <m/>
    <s v="VEROBROKER"/>
    <s v="RSA LUXEMBURGO, S.A. SUC. EN ESPAÑA"/>
    <s v="AK_CORRED"/>
    <m/>
    <s v="Facturado"/>
    <m/>
    <m/>
    <m/>
    <m/>
    <m/>
    <s v="LEON COATED SOLUTIONS, S.L."/>
    <m/>
    <m/>
    <s v="Transporte"/>
    <m/>
    <s v="Transportes Mercancías"/>
  </r>
  <r>
    <s v="1519702F01"/>
    <s v="5002748787"/>
    <x v="20"/>
    <m/>
    <d v="2026-01-20T00:00:00"/>
    <d v="2025-11-11T00:00:00"/>
    <s v="MERCANCIAS"/>
    <s v="TRANSPORTE"/>
    <n v="7025.13"/>
    <n v="702.52"/>
    <n v="702.52"/>
    <m/>
    <m/>
    <m/>
    <m/>
    <m/>
    <m/>
    <m/>
    <m/>
    <m/>
    <s v="VEROBROKER"/>
    <s v="RSA LUXEMBURGO, S.A. SUC. EN ESPAÑA"/>
    <s v="AK_CORRED"/>
    <m/>
    <s v="Facturado"/>
    <m/>
    <m/>
    <m/>
    <m/>
    <m/>
    <s v="SANTANDER COATED SOLUTIONS, S.L."/>
    <m/>
    <m/>
    <s v="Transporte"/>
    <m/>
    <s v="Transportes Mercancías"/>
  </r>
  <r>
    <s v="1519756F01"/>
    <s v="5002748788"/>
    <x v="23"/>
    <m/>
    <d v="2026-01-20T00:00:00"/>
    <d v="2025-11-11T00:00:00"/>
    <s v="MERCANCIAS"/>
    <s v="TRANSPORTE"/>
    <n v="916.37"/>
    <n v="91.64"/>
    <n v="91.64"/>
    <m/>
    <m/>
    <m/>
    <m/>
    <m/>
    <m/>
    <m/>
    <m/>
    <m/>
    <s v="VEROBROKER"/>
    <s v="RSA LUXEMBURGO, S.A. SUC. EN ESPAÑA"/>
    <s v="AK_CORRED"/>
    <m/>
    <s v="Facturado"/>
    <m/>
    <m/>
    <m/>
    <m/>
    <m/>
    <s v="NETWORK STEEL, S.L."/>
    <m/>
    <m/>
    <s v="Transporte"/>
    <m/>
    <s v="Transportes Mercancías"/>
  </r>
  <r>
    <s v="1520919F01"/>
    <s v="5002749058"/>
    <x v="20"/>
    <m/>
    <d v="2026-01-21T00:00:00"/>
    <d v="2025-09-29T00:00:00"/>
    <s v="MERCANCIAS"/>
    <s v="TRANSPORTE"/>
    <n v="12712.99"/>
    <n v="1271.3"/>
    <n v="1271.3"/>
    <m/>
    <m/>
    <m/>
    <m/>
    <m/>
    <m/>
    <m/>
    <m/>
    <m/>
    <s v="VEROBROKER"/>
    <s v="RSA LUXEMBURGO, S.A. SUC. EN ESPAÑA"/>
    <s v="AK_CORRED"/>
    <m/>
    <s v="Facturado"/>
    <m/>
    <m/>
    <m/>
    <m/>
    <m/>
    <s v="SANTANDER COATED SOLUTIONS, S.L."/>
    <m/>
    <m/>
    <s v="Transporte"/>
    <m/>
    <s v="Transportes Mercancías"/>
  </r>
  <r>
    <s v="1521105F01"/>
    <s v="5002749076"/>
    <x v="24"/>
    <m/>
    <d v="2026-01-21T00:00:00"/>
    <d v="2025-12-03T00:00:00"/>
    <s v="MERCANCIAS"/>
    <s v="TRANSPORTE"/>
    <n v="324.36"/>
    <n v="32.44"/>
    <n v="32.44"/>
    <m/>
    <m/>
    <m/>
    <m/>
    <m/>
    <m/>
    <m/>
    <m/>
    <m/>
    <s v="VEROBROKER"/>
    <s v="RSA LUXEMBURGO, S.A. SUC. EN ESPAÑA"/>
    <s v="AK_CORRED"/>
    <m/>
    <s v="Facturado"/>
    <m/>
    <m/>
    <m/>
    <m/>
    <m/>
    <s v="AVEIRO COATED SOLUTIONS"/>
    <m/>
    <m/>
    <s v="Transporte"/>
    <m/>
    <s v="Transportes Mercancías"/>
  </r>
  <r>
    <s v="580199507"/>
    <s v="5002765613"/>
    <x v="25"/>
    <m/>
    <d v="2026-02-04T00:00:00"/>
    <d v="2026-01-01T00:00:00"/>
    <s v="CUADRO MEDICO INDIVIDUAL"/>
    <s v="ASIST_SANI"/>
    <n v="253.2"/>
    <n v="11.6"/>
    <n v="11.6"/>
    <m/>
    <m/>
    <m/>
    <m/>
    <m/>
    <m/>
    <m/>
    <m/>
    <m/>
    <s v="VEROBROKER"/>
    <s v="ALLIANZ PORTUGAL"/>
    <m/>
    <m/>
    <s v="Liquid."/>
    <m/>
    <m/>
    <m/>
    <m/>
    <m/>
    <s v="PLANOS FERRICOS PORTUGAL PRODUCTOS SIDERÚRGICOS LD"/>
    <m/>
    <m/>
    <s v="Seguros Personales (No Vida) Particular"/>
    <m/>
    <s v="Salud Particular"/>
  </r>
  <r>
    <s v="588191837"/>
    <s v="5002755771"/>
    <x v="2"/>
    <m/>
    <d v="2026-02-02T00:00:00"/>
    <d v="2026-02-01T00:00:00"/>
    <s v="CUADRO MEDICO INDIVIDUAL"/>
    <s v="ASIST_SANI"/>
    <n v="607.47"/>
    <n v="25.82"/>
    <n v="25.82"/>
    <m/>
    <m/>
    <m/>
    <m/>
    <m/>
    <m/>
    <m/>
    <m/>
    <m/>
    <s v="VEROBROKER"/>
    <s v="ALLIANZ PORTUGAL"/>
    <m/>
    <m/>
    <s v="Liquid."/>
    <m/>
    <m/>
    <m/>
    <m/>
    <m/>
    <s v="PLANOS FERRICOS PORTUGAL PRODUCTOS SIDERÚRGICOS LD"/>
    <m/>
    <m/>
    <s v="Seguros Personales (No Vida) Particular"/>
    <m/>
    <s v="Salud Particular"/>
  </r>
  <r>
    <s v="580220485"/>
    <s v="5002765614"/>
    <x v="26"/>
    <m/>
    <d v="2026-02-04T00:00:00"/>
    <d v="2026-01-01T00:00:00"/>
    <s v="CUADRO MEDICO INDIVIDUAL"/>
    <s v="ASIST_SANI"/>
    <n v="308.14"/>
    <n v="15.4"/>
    <n v="15.4"/>
    <m/>
    <m/>
    <m/>
    <m/>
    <m/>
    <m/>
    <m/>
    <m/>
    <m/>
    <s v="VEROBROKER"/>
    <s v="ALLIANZ PORTUGAL"/>
    <m/>
    <m/>
    <s v="Liquid."/>
    <m/>
    <m/>
    <m/>
    <m/>
    <m/>
    <s v="PLANOS FERRICOS PORTUGAL PRODUCTOS SIDERÚRGICOS LD"/>
    <m/>
    <m/>
    <s v="Seguros Personales (No Vida) Particular"/>
    <m/>
    <s v="Salud Particular"/>
  </r>
  <r>
    <s v="585998010"/>
    <s v="5002769864"/>
    <x v="29"/>
    <m/>
    <d v="2026-02-09T00:00:00"/>
    <d v="2026-03-31T00:00:00"/>
    <s v="EMBARCACIONES RECREO"/>
    <s v="TRANSPORTE"/>
    <n v="11978.06"/>
    <n v="1048.08"/>
    <n v="1048.08"/>
    <m/>
    <m/>
    <m/>
    <m/>
    <m/>
    <m/>
    <m/>
    <m/>
    <m/>
    <s v="VEROBROKER"/>
    <s v="ALLIANZ, COMPAÑIA DE SEGUROS Y REASEGUROS,S.A."/>
    <m/>
    <m/>
    <s v="Anulado"/>
    <m/>
    <m/>
    <m/>
    <m/>
    <m/>
    <s v="ACEROS RECUBIERTOS IMPORTACION MEDITERRA"/>
    <m/>
    <m/>
    <s v="Náutica"/>
    <m/>
    <s v="Embarcaciones"/>
  </r>
  <r>
    <s v="571886534"/>
    <s v="5002753050"/>
    <x v="30"/>
    <m/>
    <d v="2026-02-02T00:00:00"/>
    <d v="2026-02-01T00:00:00"/>
    <s v="MULTIRRIESGO OFICINAS"/>
    <s v="MULT_COMER"/>
    <n v="219.59"/>
    <n v="21.96"/>
    <n v="21.96"/>
    <m/>
    <m/>
    <m/>
    <m/>
    <m/>
    <m/>
    <m/>
    <m/>
    <m/>
    <s v="VEROBROKER"/>
    <s v="ALLIANZ, COMPAÑIA DE SEGUROS Y REASEGUROS,S.A."/>
    <m/>
    <m/>
    <s v="Liquid."/>
    <m/>
    <m/>
    <m/>
    <m/>
    <m/>
    <s v="NETWORK STEEL AFRICA S.L."/>
    <m/>
    <m/>
    <s v="Property"/>
    <m/>
    <s v="Multirriesgo Ofinas y Despachos"/>
  </r>
  <r>
    <s v="26020827"/>
    <s v="5002769198"/>
    <x v="4"/>
    <m/>
    <d v="2026-02-06T00:00:00"/>
    <d v="2026-01-21T00:00:00"/>
    <s v="PROTECCION E INDEMIZACION"/>
    <s v="TRANSPORTE"/>
    <n v="1134.1400000000001"/>
    <n v="113.42"/>
    <n v="113.42"/>
    <m/>
    <m/>
    <m/>
    <m/>
    <m/>
    <m/>
    <m/>
    <m/>
    <m/>
    <s v="VEROBROKER"/>
    <s v="MS AMLIN MARINE N.V."/>
    <m/>
    <m/>
    <s v="Facturado"/>
    <m/>
    <m/>
    <m/>
    <m/>
    <m/>
    <s v="NETWORK STEEL, S.L."/>
    <m/>
    <m/>
    <s v="Transporte"/>
    <m/>
    <s v="Transportes Mercancías"/>
  </r>
  <r>
    <s v="1439264F01"/>
    <s v="5002765607"/>
    <x v="31"/>
    <m/>
    <d v="2026-02-04T00:00:00"/>
    <d v="2025-01-23T00:00:00"/>
    <s v="MERCANCIAS"/>
    <s v="TRANSPORTE"/>
    <n v="7463.87"/>
    <n v="746.38"/>
    <n v="746.38"/>
    <m/>
    <m/>
    <m/>
    <m/>
    <m/>
    <m/>
    <m/>
    <m/>
    <m/>
    <s v="VEROBROKER"/>
    <s v="INTACT INSURANCE (EUROPE) SA SUCURSAL EN ESPAÑA"/>
    <m/>
    <m/>
    <s v="Liquid."/>
    <m/>
    <m/>
    <m/>
    <m/>
    <m/>
    <s v="NETWORK STEEL, S.L."/>
    <m/>
    <m/>
    <s v="Transporte"/>
    <m/>
    <s v="Transportes Mercancías"/>
  </r>
  <r>
    <s v="1429985F01"/>
    <s v="5002765604"/>
    <x v="31"/>
    <m/>
    <d v="2026-02-04T00:00:00"/>
    <d v="2024-12-31T00:00:00"/>
    <s v="MERCANCIAS"/>
    <s v="TRANSPORTE"/>
    <n v="847.37"/>
    <n v="84.74"/>
    <n v="84.74"/>
    <m/>
    <m/>
    <m/>
    <m/>
    <m/>
    <m/>
    <m/>
    <m/>
    <m/>
    <s v="VEROBROKER"/>
    <s v="INTACT INSURANCE (EUROPE) SA SUCURSAL EN ESPAÑA"/>
    <m/>
    <m/>
    <s v="Liquid."/>
    <m/>
    <m/>
    <m/>
    <m/>
    <m/>
    <s v="NETWORK STEEL, S.L."/>
    <m/>
    <m/>
    <s v="Transporte"/>
    <m/>
    <s v="Transportes Mercancías"/>
  </r>
  <r>
    <s v="1434931F01"/>
    <s v="5002765601"/>
    <x v="32"/>
    <m/>
    <d v="2026-02-04T00:00:00"/>
    <d v="2025-02-28T00:00:00"/>
    <s v="MERCANCIAS"/>
    <s v="TRANSPORTE"/>
    <n v="3729.8"/>
    <n v="372.98"/>
    <n v="372.98"/>
    <m/>
    <m/>
    <m/>
    <m/>
    <m/>
    <m/>
    <m/>
    <m/>
    <m/>
    <s v="VEROBROKER"/>
    <s v="INTACT INSURANCE (EUROPE) SA SUCURSAL EN ESPAÑA"/>
    <m/>
    <m/>
    <s v="Liquid."/>
    <m/>
    <m/>
    <m/>
    <m/>
    <m/>
    <s v="ECO STEEL SOLUTIONS S.L."/>
    <m/>
    <m/>
    <s v="Transporte"/>
    <m/>
    <s v="Transportes Mercancías"/>
  </r>
  <r>
    <s v="1441388F01"/>
    <s v="5002765603"/>
    <x v="28"/>
    <m/>
    <d v="2026-02-04T00:00:00"/>
    <d v="2025-03-31T00:00:00"/>
    <s v="MERCANCIAS"/>
    <s v="TRANSPORTE"/>
    <n v="13404.14"/>
    <n v="1340.42"/>
    <n v="1340.42"/>
    <m/>
    <m/>
    <m/>
    <m/>
    <m/>
    <m/>
    <m/>
    <m/>
    <m/>
    <s v="VEROBROKER"/>
    <s v="INTACT INSURANCE (EUROPE) SA SUCURSAL EN ESPAÑA"/>
    <m/>
    <m/>
    <s v="Liquid."/>
    <m/>
    <m/>
    <m/>
    <m/>
    <m/>
    <s v="LEON COATED SOLUTIONS, S.L."/>
    <m/>
    <m/>
    <s v="Transporte"/>
    <m/>
    <s v="Transportes Mercancías"/>
  </r>
  <r>
    <s v="1434740F01"/>
    <s v="5002765606"/>
    <x v="23"/>
    <m/>
    <d v="2026-02-04T00:00:00"/>
    <d v="2025-02-28T00:00:00"/>
    <s v="MERCANCIAS"/>
    <s v="TRANSPORTE"/>
    <n v="10922.85"/>
    <n v="1092.28"/>
    <n v="1092.28"/>
    <m/>
    <m/>
    <m/>
    <m/>
    <m/>
    <m/>
    <m/>
    <m/>
    <m/>
    <s v="VEROBROKER"/>
    <s v="INTACT INSURANCE (EUROPE) SA SUCURSAL EN ESPAÑA"/>
    <m/>
    <m/>
    <s v="Liquid."/>
    <m/>
    <m/>
    <m/>
    <m/>
    <m/>
    <s v="NETWORK STEEL, S.L."/>
    <m/>
    <m/>
    <s v="Transporte"/>
    <m/>
    <s v="Transportes Mercancías"/>
  </r>
  <r>
    <s v="1437154F01"/>
    <s v="5002765600"/>
    <x v="33"/>
    <m/>
    <d v="2026-02-04T00:00:00"/>
    <d v="2025-01-26T00:00:00"/>
    <s v="MERCANCIAS"/>
    <s v="TRANSPORTE"/>
    <n v="715.66"/>
    <n v="71.56"/>
    <n v="71.56"/>
    <m/>
    <m/>
    <m/>
    <m/>
    <m/>
    <m/>
    <m/>
    <m/>
    <m/>
    <s v="VEROBROKER"/>
    <s v="INTACT INSURANCE (EUROPE) SA SUCURSAL EN ESPAÑA"/>
    <m/>
    <m/>
    <s v="Liquid."/>
    <m/>
    <m/>
    <m/>
    <m/>
    <m/>
    <s v="ARANDA COATED SOLUTIONS, S.L"/>
    <m/>
    <m/>
    <s v="Transporte"/>
    <m/>
    <s v="Transportes Mercancías"/>
  </r>
  <r>
    <s v="1431796F01"/>
    <s v="5002765609"/>
    <x v="20"/>
    <m/>
    <d v="2026-02-04T00:00:00"/>
    <d v="2025-02-27T00:00:00"/>
    <s v="MERCANCIAS"/>
    <s v="TRANSPORTE"/>
    <n v="8282.2900000000009"/>
    <n v="828.23"/>
    <n v="828.23"/>
    <m/>
    <m/>
    <m/>
    <m/>
    <m/>
    <m/>
    <m/>
    <m/>
    <m/>
    <s v="VEROBROKER"/>
    <s v="INTACT INSURANCE (EUROPE) SA SUCURSAL EN ESPAÑA"/>
    <m/>
    <m/>
    <s v="Liquid."/>
    <m/>
    <m/>
    <m/>
    <m/>
    <m/>
    <s v="SANTANDER COATED SOLUTIONS, S.L."/>
    <m/>
    <m/>
    <s v="Transporte"/>
    <m/>
    <s v="Transportes Mercancías"/>
  </r>
  <r>
    <s v="1430241F01"/>
    <s v="5002765605"/>
    <x v="31"/>
    <m/>
    <d v="2026-02-04T00:00:00"/>
    <d v="2024-12-26T00:00:00"/>
    <s v="MERCANCIAS"/>
    <s v="TRANSPORTE"/>
    <n v="5664.01"/>
    <n v="566.4"/>
    <n v="566.4"/>
    <m/>
    <m/>
    <m/>
    <m/>
    <m/>
    <m/>
    <m/>
    <m/>
    <m/>
    <s v="VEROBROKER"/>
    <s v="INTACT INSURANCE (EUROPE) SA SUCURSAL EN ESPAÑA"/>
    <m/>
    <m/>
    <s v="Liquid."/>
    <m/>
    <m/>
    <m/>
    <m/>
    <m/>
    <s v="NETWORK STEEL, S.L."/>
    <m/>
    <m/>
    <s v="Transporte"/>
    <m/>
    <s v="Transportes Mercancías"/>
  </r>
  <r>
    <s v="1429969F01"/>
    <s v="5002765608"/>
    <x v="34"/>
    <m/>
    <d v="2026-02-04T00:00:00"/>
    <d v="2025-01-05T00:00:00"/>
    <s v="MERCANCIAS"/>
    <s v="TRANSPORTE"/>
    <n v="5128.57"/>
    <n v="512.86"/>
    <n v="512.86"/>
    <m/>
    <m/>
    <m/>
    <m/>
    <m/>
    <m/>
    <m/>
    <m/>
    <m/>
    <s v="VEROBROKER"/>
    <s v="INTACT INSURANCE (EUROPE) SA SUCURSAL EN ESPAÑA"/>
    <m/>
    <m/>
    <s v="Liquid."/>
    <m/>
    <m/>
    <m/>
    <m/>
    <m/>
    <s v="SANTANDER COATED SOLUTIONS, S.L."/>
    <m/>
    <m/>
    <s v="Transporte"/>
    <m/>
    <s v="Transportes Mercancías"/>
  </r>
  <r>
    <s v="1437210F01"/>
    <s v="5002765611"/>
    <x v="20"/>
    <m/>
    <d v="2026-02-04T00:00:00"/>
    <d v="2025-02-06T00:00:00"/>
    <s v="MERCANCIAS"/>
    <s v="TRANSPORTE"/>
    <n v="9399.9599999999991"/>
    <n v="940"/>
    <n v="940"/>
    <m/>
    <m/>
    <m/>
    <m/>
    <m/>
    <m/>
    <m/>
    <m/>
    <m/>
    <s v="VEROBROKER"/>
    <s v="INTACT INSURANCE (EUROPE) SA SUCURSAL EN ESPAÑA"/>
    <m/>
    <m/>
    <s v="Liquid."/>
    <m/>
    <m/>
    <m/>
    <m/>
    <m/>
    <s v="SANTANDER COATED SOLUTIONS, S.L."/>
    <m/>
    <m/>
    <s v="Transporte"/>
    <m/>
    <s v="Transportes Mercancías"/>
  </r>
  <r>
    <s v="1441350F01"/>
    <s v="5002765602"/>
    <x v="28"/>
    <m/>
    <d v="2026-02-04T00:00:00"/>
    <d v="2025-02-19T00:00:00"/>
    <s v="MERCANCIAS"/>
    <s v="TRANSPORTE"/>
    <n v="10004.719999999999"/>
    <n v="1000.47"/>
    <n v="1000.47"/>
    <m/>
    <m/>
    <m/>
    <m/>
    <m/>
    <m/>
    <m/>
    <m/>
    <m/>
    <s v="VEROBROKER"/>
    <s v="INTACT INSURANCE (EUROPE) SA SUCURSAL EN ESPAÑA"/>
    <m/>
    <m/>
    <s v="Liquid."/>
    <m/>
    <m/>
    <m/>
    <m/>
    <m/>
    <s v="LEON COATED SOLUTIONS, S.L."/>
    <m/>
    <m/>
    <s v="Transporte"/>
    <m/>
    <s v="Transportes Mercancías"/>
  </r>
  <r>
    <s v="1437193F01"/>
    <s v="5002765610"/>
    <x v="34"/>
    <m/>
    <d v="2026-02-04T00:00:00"/>
    <d v="2025-01-24T00:00:00"/>
    <s v="MERCANCIAS"/>
    <s v="TRANSPORTE"/>
    <n v="11735.92"/>
    <n v="1173.5899999999999"/>
    <n v="1173.5899999999999"/>
    <m/>
    <m/>
    <m/>
    <m/>
    <m/>
    <m/>
    <m/>
    <m/>
    <m/>
    <s v="VEROBROKER"/>
    <s v="INTACT INSURANCE (EUROPE) SA SUCURSAL EN ESPAÑA"/>
    <m/>
    <m/>
    <s v="Liquid."/>
    <m/>
    <m/>
    <m/>
    <m/>
    <m/>
    <s v="SANTANDER COATED SOLUTIONS, S.L."/>
    <m/>
    <m/>
    <s v="Transporte"/>
    <m/>
    <s v="Transportes Mercancías"/>
  </r>
  <r>
    <s v="1438366F01"/>
    <s v="5002765612"/>
    <x v="20"/>
    <m/>
    <d v="2026-02-04T00:00:00"/>
    <d v="2025-03-21T00:00:00"/>
    <s v="MERCANCIAS"/>
    <s v="TRANSPORTE"/>
    <n v="11551.53"/>
    <n v="1155.1600000000001"/>
    <n v="1155.1600000000001"/>
    <m/>
    <m/>
    <m/>
    <m/>
    <m/>
    <m/>
    <m/>
    <m/>
    <m/>
    <s v="VEROBROKER"/>
    <s v="INTACT INSURANCE (EUROPE) SA SUCURSAL EN ESPAÑA"/>
    <m/>
    <m/>
    <s v="Liquid."/>
    <m/>
    <m/>
    <m/>
    <m/>
    <m/>
    <s v="SANTANDER COATED SOLUTIONS, S.L."/>
    <m/>
    <m/>
    <s v="Transporte"/>
    <m/>
    <s v="Transportes Mercancías"/>
  </r>
  <r>
    <s v="1429959F01"/>
    <s v="5002765599"/>
    <x v="33"/>
    <m/>
    <d v="2026-02-04T00:00:00"/>
    <d v="2025-01-05T00:00:00"/>
    <s v="MERCANCIAS"/>
    <s v="TRANSPORTE"/>
    <n v="2837.23"/>
    <n v="283.72000000000003"/>
    <n v="283.72000000000003"/>
    <m/>
    <m/>
    <m/>
    <m/>
    <m/>
    <m/>
    <m/>
    <m/>
    <m/>
    <s v="VEROBROKER"/>
    <s v="INTACT INSURANCE (EUROPE) SA SUCURSAL EN ESPAÑA"/>
    <m/>
    <m/>
    <s v="Liquid."/>
    <m/>
    <m/>
    <m/>
    <m/>
    <m/>
    <s v="ARANDA COATED SOLUTIONS, S.L"/>
    <m/>
    <m/>
    <s v="Transporte"/>
    <m/>
    <s v="Transportes Mercancías"/>
  </r>
  <r>
    <s v="020122012026001A"/>
    <s v="5002767860"/>
    <x v="5"/>
    <m/>
    <d v="2026-02-04T00:00:00"/>
    <d v="2026-01-01T00:00:00"/>
    <s v="SALUD COLECTIVO"/>
    <s v="ASIST_SANI"/>
    <n v="266.2"/>
    <n v="11.31"/>
    <n v="11.31"/>
    <m/>
    <m/>
    <m/>
    <m/>
    <m/>
    <m/>
    <m/>
    <m/>
    <m/>
    <s v="VEROBROKER"/>
    <s v="SANITAS, S.A. DE SEGUROS"/>
    <m/>
    <m/>
    <s v="Liquid."/>
    <m/>
    <m/>
    <m/>
    <m/>
    <m/>
    <s v="NETWORK STEEL RESOURCES, S.A"/>
    <m/>
    <m/>
    <s v="Seguros Personales (No Vida) Colectivos"/>
    <m/>
    <s v="Salud Colectivo"/>
  </r>
  <r>
    <s v="020122012026001A"/>
    <s v="5002767859"/>
    <x v="18"/>
    <m/>
    <d v="2026-02-04T00:00:00"/>
    <d v="2026-01-01T00:00:00"/>
    <s v="SALUD COLECTIVO"/>
    <s v="ASIST_SANI"/>
    <n v="-399.3"/>
    <n v="-16.63"/>
    <n v="-16.63"/>
    <m/>
    <m/>
    <m/>
    <m/>
    <m/>
    <m/>
    <m/>
    <m/>
    <m/>
    <s v="VEROBROKER"/>
    <s v="SANITAS, S.A. DE SEGUROS"/>
    <m/>
    <m/>
    <s v="Liquid."/>
    <m/>
    <m/>
    <m/>
    <m/>
    <m/>
    <s v="NETWORK STEEL RESOURCES, S.A"/>
    <m/>
    <m/>
    <s v="Seguros Personales (No Vida) Colectivos"/>
    <m/>
    <s v="Salud Colectiv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5BEFE-4494-4B52-839C-21E2A9C3F365}" name="TablaDinámica1" cacheId="34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39" firstHeaderRow="0" firstDataRow="1" firstDataCol="1"/>
  <pivotFields count="36">
    <pivotField showAll="0"/>
    <pivotField showAll="0"/>
    <pivotField axis="axisRow" showAll="0">
      <items count="36">
        <item x="29"/>
        <item x="1"/>
        <item x="30"/>
        <item x="21"/>
        <item x="3"/>
        <item x="0"/>
        <item x="27"/>
        <item x="2"/>
        <item x="25"/>
        <item x="26"/>
        <item x="2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31"/>
        <item x="23"/>
        <item x="33"/>
        <item x="32"/>
        <item x="34"/>
        <item x="20"/>
        <item x="24"/>
        <item x="28"/>
        <item t="default"/>
      </items>
    </pivotField>
    <pivotField showAll="0"/>
    <pivotField numFmtId="14" showAll="0"/>
    <pivotField numFmtId="14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Prima neta" fld="8" baseField="0" baseItem="0"/>
    <dataField name="Suma de Comisión Bruta" fld="9" baseField="0" baseItem="0"/>
    <dataField name="Suma de Comisión prima neta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91BDB-4778-4C54-8F4E-4356E5571568}" name="TablaDinámica2" cacheId="34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2:H53" firstHeaderRow="0" firstDataRow="1" firstDataCol="1" rowPageCount="2" colPageCount="1"/>
  <pivotFields count="35"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9">
        <item h="1" m="1" x="6"/>
        <item x="2"/>
        <item h="1" m="1" x="7"/>
        <item x="0"/>
        <item x="1"/>
        <item m="1" x="4"/>
        <item x="3"/>
        <item h="1"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ortType="ascending">
      <items count="21">
        <item x="3"/>
        <item m="1" x="16"/>
        <item m="1" x="7"/>
        <item m="1" x="11"/>
        <item m="1" x="9"/>
        <item m="1" x="17"/>
        <item m="1" x="14"/>
        <item m="1" x="19"/>
        <item m="1" x="13"/>
        <item m="1" x="12"/>
        <item m="1" x="15"/>
        <item m="1" x="8"/>
        <item m="1" x="10"/>
        <item m="1" x="18"/>
        <item x="1"/>
        <item x="2"/>
        <item x="4"/>
        <item x="5"/>
        <item x="0"/>
        <item x="6"/>
        <item t="default"/>
      </items>
    </pivotField>
    <pivotField axis="axisPage" multipleItemSelectionAllowed="1" showAll="0">
      <items count="14">
        <item h="1" m="1" x="1"/>
        <item h="1" m="1" x="3"/>
        <item h="1" m="1" x="2"/>
        <item h="1" m="1" x="4"/>
        <item h="1" m="1" x="5"/>
        <item h="1" m="1" x="6"/>
        <item h="1" m="1" x="8"/>
        <item h="1" m="1" x="7"/>
        <item h="1" m="1" x="9"/>
        <item h="1" x="0"/>
        <item h="1" m="1" x="10"/>
        <item h="1" m="1" x="11"/>
        <item m="1" x="12"/>
        <item t="default"/>
      </items>
    </pivotField>
  </pivotFields>
  <rowFields count="1">
    <field x="3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pageFields count="2">
    <pageField fld="24" hier="-1"/>
    <pageField fld="34" hier="-1"/>
  </pageFields>
  <dataFields count="2">
    <dataField name="Suma de Prima neta" fld="8" baseField="0" baseItem="0"/>
    <dataField name="Suma de Comisión Bruta" fld="9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F6635-7777-488C-BAC8-E54C214D0AAB}" name="TablaDinámica1" cacheId="34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" firstHeaderRow="0" firstDataRow="1" firstDataCol="1" rowPageCount="1" colPageCount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9">
        <item h="1" x="3"/>
        <item x="2"/>
        <item h="1" m="1" x="7"/>
        <item x="0"/>
        <item x="1"/>
        <item m="1" x="5"/>
        <item x="4"/>
        <item h="1"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3">
        <item x="3"/>
        <item m="1" x="16"/>
        <item m="1" x="9"/>
        <item m="1" x="12"/>
        <item m="1" x="10"/>
        <item m="1" x="17"/>
        <item m="1" x="14"/>
        <item m="1" x="21"/>
        <item m="1" x="13"/>
        <item x="6"/>
        <item m="1" x="15"/>
        <item x="7"/>
        <item m="1" x="11"/>
        <item m="1" x="18"/>
        <item x="1"/>
        <item x="2"/>
        <item x="4"/>
        <item x="5"/>
        <item m="1" x="20"/>
        <item x="0"/>
        <item m="1" x="19"/>
        <item h="1" x="8"/>
        <item t="default"/>
      </items>
    </pivotField>
  </pivotFields>
  <rowFields count="1">
    <field x="33"/>
  </rowFields>
  <rowItems count="8">
    <i>
      <x/>
    </i>
    <i>
      <x v="11"/>
    </i>
    <i>
      <x v="14"/>
    </i>
    <i>
      <x v="15"/>
    </i>
    <i>
      <x v="16"/>
    </i>
    <i>
      <x v="17"/>
    </i>
    <i>
      <x v="19"/>
    </i>
    <i t="grand">
      <x/>
    </i>
  </rowItems>
  <colFields count="1">
    <field x="-2"/>
  </colFields>
  <colItems count="2">
    <i>
      <x/>
    </i>
    <i i="1">
      <x v="1"/>
    </i>
  </colItems>
  <pageFields count="1">
    <pageField fld="24" hier="-1"/>
  </pageFields>
  <dataFields count="2">
    <dataField name="Suma de Prima neta" fld="8" baseField="0" baseItem="0"/>
    <dataField name="Suma de Comisión Bruta" fld="9" baseField="0" baseItem="0"/>
  </dataFields>
  <formats count="5">
    <format dxfId="0">
      <pivotArea field="3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33" count="11">
            <x v="0"/>
            <x v="2"/>
            <x v="4"/>
            <x v="8"/>
            <x v="11"/>
            <x v="12"/>
            <x v="14"/>
            <x v="15"/>
            <x v="16"/>
            <x v="17"/>
            <x v="19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33" count="11">
            <x v="0"/>
            <x v="2"/>
            <x v="4"/>
            <x v="8"/>
            <x v="11"/>
            <x v="12"/>
            <x v="14"/>
            <x v="15"/>
            <x v="16"/>
            <x v="17"/>
            <x v="19"/>
          </reference>
        </references>
      </pivotArea>
    </format>
    <format dxfId="3">
      <pivotArea field="3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c.anadon@sabseg.com" TargetMode="External"/><Relationship Id="rId2" Type="http://schemas.openxmlformats.org/officeDocument/2006/relationships/hyperlink" Target="mailto:pere.torres@sabseg.com" TargetMode="External"/><Relationship Id="rId1" Type="http://schemas.openxmlformats.org/officeDocument/2006/relationships/hyperlink" Target="mailto:carles.saez@sabseg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7E3B-4C39-4B40-A276-7423FFD64277}">
  <dimension ref="A5:AD31"/>
  <sheetViews>
    <sheetView showGridLines="0" zoomScale="110" zoomScaleNormal="110" workbookViewId="0">
      <selection activeCell="F30" sqref="F30"/>
    </sheetView>
  </sheetViews>
  <sheetFormatPr defaultColWidth="11.42578125" defaultRowHeight="15"/>
  <cols>
    <col min="2" max="2" width="5.28515625" customWidth="1"/>
    <col min="10" max="10" width="24.28515625" customWidth="1"/>
  </cols>
  <sheetData>
    <row r="5" spans="1:30">
      <c r="B5" s="86" t="s">
        <v>0</v>
      </c>
      <c r="C5" s="86"/>
      <c r="D5" s="86"/>
      <c r="E5" s="86"/>
      <c r="F5" s="86"/>
      <c r="G5" s="86"/>
      <c r="H5" s="86"/>
      <c r="I5" s="86"/>
      <c r="J5" s="86"/>
    </row>
    <row r="6" spans="1:30">
      <c r="A6" s="27"/>
      <c r="B6" s="10"/>
      <c r="C6" s="10"/>
      <c r="D6" s="10"/>
      <c r="E6" s="10"/>
      <c r="F6" s="10"/>
      <c r="G6" s="10"/>
      <c r="H6" s="10"/>
      <c r="I6" s="10"/>
      <c r="J6" s="1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>
      <c r="A7" s="27"/>
      <c r="B7" s="8"/>
      <c r="C7" s="8" t="s">
        <v>1</v>
      </c>
      <c r="D7" s="8"/>
      <c r="E7" s="8"/>
      <c r="F7" s="8"/>
      <c r="G7" s="8"/>
      <c r="H7" s="8"/>
      <c r="I7" s="8"/>
      <c r="J7" s="1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>
      <c r="A8" s="27"/>
      <c r="B8" s="8"/>
      <c r="C8" s="8" t="s">
        <v>2</v>
      </c>
      <c r="D8" s="8"/>
      <c r="E8" s="8"/>
      <c r="F8" s="8"/>
      <c r="G8" s="8"/>
      <c r="H8" s="8"/>
      <c r="I8" s="8"/>
      <c r="J8" s="1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>
      <c r="A9" s="27"/>
      <c r="B9" s="8"/>
      <c r="C9" s="8"/>
      <c r="D9" s="8"/>
      <c r="E9" s="8"/>
      <c r="F9" s="8"/>
      <c r="G9" s="8"/>
      <c r="H9" s="8"/>
      <c r="I9" s="8"/>
      <c r="J9" s="1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>
      <c r="A10" s="27"/>
      <c r="B10" s="8"/>
      <c r="C10" s="20" t="s">
        <v>3</v>
      </c>
      <c r="D10" s="8"/>
      <c r="E10" s="8"/>
      <c r="F10" s="8"/>
      <c r="G10" s="8"/>
      <c r="H10" s="8"/>
      <c r="I10" s="8"/>
      <c r="J10" s="1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>
      <c r="A11" s="27"/>
      <c r="B11" s="8"/>
      <c r="C11" s="8"/>
      <c r="D11" s="8"/>
      <c r="E11" s="8"/>
      <c r="F11" s="8"/>
      <c r="G11" s="8"/>
      <c r="H11" s="8"/>
      <c r="I11" s="8"/>
      <c r="J11" s="1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>
      <c r="A12" s="27"/>
      <c r="B12" s="8"/>
      <c r="C12" s="9" t="s">
        <v>4</v>
      </c>
      <c r="D12" s="8"/>
      <c r="E12" s="8"/>
      <c r="F12" s="8"/>
      <c r="G12" s="8"/>
      <c r="H12" s="8"/>
      <c r="I12" s="8"/>
      <c r="J12" s="19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>
      <c r="A13" s="27"/>
      <c r="B13" s="8"/>
      <c r="C13" s="9" t="s">
        <v>5</v>
      </c>
      <c r="D13" s="8"/>
      <c r="E13" s="8"/>
      <c r="F13" s="8"/>
      <c r="G13" s="8"/>
      <c r="H13" s="8"/>
      <c r="I13" s="8"/>
      <c r="J13" s="1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>
      <c r="A14" s="27"/>
      <c r="B14" s="8"/>
      <c r="D14" s="9" t="s">
        <v>6</v>
      </c>
      <c r="E14" s="8"/>
      <c r="F14" s="8"/>
      <c r="G14" s="8"/>
      <c r="H14" s="8"/>
      <c r="I14" s="8"/>
      <c r="J14" s="19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14.45" customHeight="1">
      <c r="A15" s="27"/>
      <c r="B15" s="8"/>
      <c r="D15" s="9" t="s">
        <v>7</v>
      </c>
      <c r="E15" s="8"/>
      <c r="F15" s="8"/>
      <c r="G15" s="8"/>
      <c r="H15" s="8"/>
      <c r="I15" s="8"/>
      <c r="J15" s="19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>
      <c r="A16" s="27"/>
      <c r="B16" s="8"/>
      <c r="C16" s="9" t="s">
        <v>8</v>
      </c>
      <c r="D16" s="8"/>
      <c r="E16" s="8"/>
      <c r="F16" s="8"/>
      <c r="G16" s="8"/>
      <c r="H16" s="8"/>
      <c r="I16" s="8"/>
      <c r="J16" s="19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>
      <c r="A17" s="27"/>
      <c r="B17" s="8"/>
      <c r="C17" s="9" t="s">
        <v>9</v>
      </c>
      <c r="D17" s="8"/>
      <c r="E17" s="8"/>
      <c r="F17" s="8"/>
      <c r="G17" s="8"/>
      <c r="H17" s="8"/>
      <c r="I17" s="8"/>
      <c r="J17" s="19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>
      <c r="A18" s="27"/>
      <c r="B18" s="8"/>
      <c r="C18" s="9" t="s">
        <v>10</v>
      </c>
      <c r="D18" s="8"/>
      <c r="E18" s="8"/>
      <c r="F18" s="8"/>
      <c r="G18" s="8"/>
      <c r="H18" s="8"/>
      <c r="I18" s="8"/>
      <c r="J18" s="19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>
      <c r="A19" s="27"/>
      <c r="B19" s="8"/>
      <c r="C19" s="9" t="s">
        <v>11</v>
      </c>
      <c r="D19" s="8"/>
      <c r="E19" s="8"/>
      <c r="F19" s="8"/>
      <c r="G19" s="8"/>
      <c r="H19" s="8"/>
      <c r="I19" s="8"/>
      <c r="J19" s="19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>
      <c r="A20" s="27"/>
      <c r="B20" s="8"/>
      <c r="C20" s="9" t="s">
        <v>12</v>
      </c>
      <c r="D20" s="8"/>
      <c r="E20" s="8"/>
      <c r="F20" s="8"/>
      <c r="G20" s="8"/>
      <c r="H20" s="8"/>
      <c r="I20" s="8"/>
      <c r="J20" s="19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>
      <c r="A21" s="27"/>
      <c r="B21" s="8"/>
      <c r="C21" s="9" t="s">
        <v>13</v>
      </c>
      <c r="D21" s="8"/>
      <c r="E21" s="8"/>
      <c r="F21" s="8"/>
      <c r="G21" s="8"/>
      <c r="H21" s="8"/>
      <c r="I21" s="8"/>
      <c r="J21" s="19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>
      <c r="A22" s="27"/>
      <c r="B22" s="8"/>
      <c r="C22" s="21" t="s">
        <v>14</v>
      </c>
      <c r="D22" s="8"/>
      <c r="E22" s="8"/>
      <c r="F22" s="8"/>
      <c r="G22" s="8"/>
      <c r="H22" s="8"/>
      <c r="I22" s="8"/>
      <c r="J22" s="19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>
      <c r="A23" s="27"/>
      <c r="B23" s="8"/>
      <c r="C23" s="8"/>
      <c r="D23" s="22" t="s">
        <v>15</v>
      </c>
      <c r="E23" s="8"/>
      <c r="F23" s="8"/>
      <c r="G23" s="8"/>
      <c r="H23" s="8"/>
      <c r="I23" s="8"/>
      <c r="J23" s="19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>
      <c r="A24" s="27"/>
      <c r="B24" s="8"/>
      <c r="C24" s="8"/>
      <c r="D24" s="22" t="s">
        <v>16</v>
      </c>
      <c r="E24" s="8"/>
      <c r="F24" s="8"/>
      <c r="G24" s="8"/>
      <c r="H24" s="8"/>
      <c r="I24" s="8"/>
      <c r="J24" s="19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>
      <c r="A25" s="27"/>
      <c r="B25" s="23"/>
      <c r="C25" s="23"/>
      <c r="D25" s="24" t="s">
        <v>17</v>
      </c>
      <c r="E25" s="23"/>
      <c r="F25" s="23"/>
      <c r="G25" s="23"/>
      <c r="H25" s="23"/>
      <c r="I25" s="23"/>
      <c r="J25" s="25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</sheetData>
  <mergeCells count="1">
    <mergeCell ref="B5:J5"/>
  </mergeCells>
  <hyperlinks>
    <hyperlink ref="D23" r:id="rId1" xr:uid="{F08D3C81-5E2A-4559-84A2-FEC20DDF9E7D}"/>
    <hyperlink ref="D24" r:id="rId2" xr:uid="{287FF756-0498-43ED-B342-DD76A82A2539}"/>
    <hyperlink ref="D25" r:id="rId3" xr:uid="{0D6B488C-58D3-431C-90B2-236C5015A843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61B1-1232-4C64-A4A0-828E30549AE1}">
  <dimension ref="A1:K40"/>
  <sheetViews>
    <sheetView showGridLines="0" topLeftCell="A11" workbookViewId="0">
      <selection activeCell="B39" sqref="B39"/>
    </sheetView>
  </sheetViews>
  <sheetFormatPr defaultColWidth="11.42578125" defaultRowHeight="15"/>
  <cols>
    <col min="1" max="1" width="34.85546875" style="4" customWidth="1"/>
    <col min="2" max="2" width="115.42578125" style="4" customWidth="1"/>
    <col min="3" max="3" width="16.7109375" customWidth="1"/>
    <col min="4" max="4" width="15.7109375" customWidth="1"/>
    <col min="8" max="8" width="17.85546875" customWidth="1"/>
    <col min="9" max="9" width="18.7109375" customWidth="1"/>
    <col min="10" max="10" width="15.5703125" customWidth="1"/>
    <col min="11" max="11" width="18.140625" customWidth="1"/>
    <col min="12" max="12" width="18" customWidth="1"/>
    <col min="13" max="13" width="12" customWidth="1"/>
    <col min="14" max="14" width="14" customWidth="1"/>
    <col min="15" max="15" width="12.42578125" customWidth="1"/>
    <col min="16" max="16" width="14.85546875" customWidth="1"/>
    <col min="17" max="17" width="15.85546875" customWidth="1"/>
  </cols>
  <sheetData>
    <row r="1" spans="1:11">
      <c r="A1" s="7" t="s">
        <v>18</v>
      </c>
      <c r="B1" s="7" t="s">
        <v>19</v>
      </c>
    </row>
    <row r="2" spans="1:11" ht="15" customHeight="1">
      <c r="A2" s="5" t="s">
        <v>20</v>
      </c>
      <c r="B2" s="2" t="s">
        <v>21</v>
      </c>
    </row>
    <row r="3" spans="1:11" ht="15" customHeight="1">
      <c r="A3" s="29" t="s">
        <v>22</v>
      </c>
      <c r="B3" s="2" t="s">
        <v>23</v>
      </c>
    </row>
    <row r="4" spans="1:11" ht="15" customHeight="1">
      <c r="A4" s="5" t="s">
        <v>24</v>
      </c>
      <c r="B4" s="2" t="s">
        <v>25</v>
      </c>
    </row>
    <row r="5" spans="1:11" ht="15" customHeight="1">
      <c r="A5" s="29" t="s">
        <v>26</v>
      </c>
      <c r="B5" s="2" t="s">
        <v>27</v>
      </c>
    </row>
    <row r="6" spans="1:11" ht="15" customHeight="1">
      <c r="A6" s="5" t="s">
        <v>28</v>
      </c>
      <c r="B6" s="2" t="s">
        <v>29</v>
      </c>
    </row>
    <row r="7" spans="1:11" ht="15" customHeight="1">
      <c r="A7" s="5" t="s">
        <v>30</v>
      </c>
      <c r="B7" s="2" t="s">
        <v>31</v>
      </c>
    </row>
    <row r="8" spans="1:11" ht="15" customHeight="1">
      <c r="A8" s="5" t="s">
        <v>32</v>
      </c>
      <c r="B8" s="2" t="s">
        <v>33</v>
      </c>
    </row>
    <row r="9" spans="1:11" ht="15" customHeight="1">
      <c r="A9" s="5" t="s">
        <v>34</v>
      </c>
      <c r="B9" s="2" t="s">
        <v>35</v>
      </c>
    </row>
    <row r="10" spans="1:11" ht="15" customHeight="1">
      <c r="A10" s="5" t="s">
        <v>36</v>
      </c>
      <c r="B10" s="2" t="s">
        <v>37</v>
      </c>
    </row>
    <row r="11" spans="1:11" ht="15" customHeight="1">
      <c r="A11" s="5" t="s">
        <v>38</v>
      </c>
      <c r="B11" s="2" t="s">
        <v>39</v>
      </c>
    </row>
    <row r="12" spans="1:11" ht="15" customHeight="1">
      <c r="A12" s="5" t="s">
        <v>40</v>
      </c>
      <c r="B12" s="2" t="s">
        <v>41</v>
      </c>
    </row>
    <row r="13" spans="1:11" ht="15" customHeight="1">
      <c r="A13" s="5" t="s">
        <v>42</v>
      </c>
      <c r="B13" s="2" t="s">
        <v>43</v>
      </c>
    </row>
    <row r="14" spans="1:11" ht="45.6" customHeight="1">
      <c r="A14" s="5" t="s">
        <v>44</v>
      </c>
      <c r="B14" s="2" t="s">
        <v>45</v>
      </c>
      <c r="C14" s="88"/>
      <c r="D14" s="88"/>
      <c r="E14" s="88"/>
      <c r="F14" s="88"/>
      <c r="G14" s="88"/>
      <c r="H14" s="88"/>
      <c r="K14" s="1" t="s">
        <v>46</v>
      </c>
    </row>
    <row r="15" spans="1:11" ht="45.6" customHeight="1">
      <c r="A15" s="29" t="s">
        <v>47</v>
      </c>
      <c r="B15" s="2" t="s">
        <v>45</v>
      </c>
      <c r="C15" s="88"/>
      <c r="D15" s="88"/>
      <c r="E15" s="88"/>
      <c r="F15" s="88"/>
      <c r="G15" s="88"/>
      <c r="H15" s="88"/>
      <c r="K15" s="1" t="s">
        <v>46</v>
      </c>
    </row>
    <row r="16" spans="1:11" ht="45.6" customHeight="1">
      <c r="A16" s="29" t="s">
        <v>48</v>
      </c>
      <c r="B16" s="2" t="s">
        <v>45</v>
      </c>
      <c r="C16" s="88"/>
      <c r="D16" s="88"/>
      <c r="E16" s="88"/>
      <c r="F16" s="88"/>
      <c r="G16" s="88"/>
      <c r="H16" s="88"/>
      <c r="K16" s="1" t="s">
        <v>46</v>
      </c>
    </row>
    <row r="17" spans="1:8" ht="19.5" customHeight="1">
      <c r="A17" s="5" t="s">
        <v>49</v>
      </c>
      <c r="B17" s="2" t="s">
        <v>50</v>
      </c>
    </row>
    <row r="18" spans="1:8" ht="19.5" customHeight="1">
      <c r="A18" s="29" t="s">
        <v>51</v>
      </c>
      <c r="B18" s="2" t="s">
        <v>50</v>
      </c>
    </row>
    <row r="19" spans="1:8" ht="19.5" customHeight="1">
      <c r="A19" s="29" t="s">
        <v>52</v>
      </c>
      <c r="B19" s="2" t="s">
        <v>50</v>
      </c>
    </row>
    <row r="20" spans="1:8" ht="19.5" customHeight="1">
      <c r="A20" s="29" t="s">
        <v>53</v>
      </c>
      <c r="B20" s="2" t="s">
        <v>54</v>
      </c>
    </row>
    <row r="21" spans="1:8" ht="15" customHeight="1">
      <c r="A21" s="5" t="s">
        <v>55</v>
      </c>
      <c r="B21" s="3" t="s">
        <v>56</v>
      </c>
      <c r="C21" s="88"/>
      <c r="D21" s="88"/>
      <c r="E21" s="88"/>
      <c r="F21" s="88"/>
      <c r="G21" s="88"/>
      <c r="H21" s="88"/>
    </row>
    <row r="22" spans="1:8" ht="15" customHeight="1">
      <c r="A22" s="5" t="s">
        <v>57</v>
      </c>
      <c r="B22" s="2" t="s">
        <v>58</v>
      </c>
    </row>
    <row r="23" spans="1:8" ht="15" customHeight="1">
      <c r="A23" s="5" t="s">
        <v>59</v>
      </c>
      <c r="B23" s="2" t="s">
        <v>60</v>
      </c>
    </row>
    <row r="24" spans="1:8" ht="30">
      <c r="A24" s="5" t="s">
        <v>61</v>
      </c>
      <c r="B24" s="2" t="s">
        <v>62</v>
      </c>
      <c r="C24" s="88"/>
      <c r="D24" s="88"/>
      <c r="E24" s="88"/>
      <c r="F24" s="88"/>
      <c r="G24" s="88"/>
      <c r="H24" s="88"/>
    </row>
    <row r="25" spans="1:8">
      <c r="A25" s="29" t="s">
        <v>63</v>
      </c>
      <c r="B25" s="2" t="s">
        <v>64</v>
      </c>
      <c r="C25" s="88"/>
      <c r="D25" s="88"/>
      <c r="E25" s="88"/>
      <c r="F25" s="88"/>
      <c r="G25" s="88"/>
      <c r="H25" s="88"/>
    </row>
    <row r="26" spans="1:8" ht="14.25" customHeight="1">
      <c r="A26" s="28" t="s">
        <v>65</v>
      </c>
      <c r="B26" s="3" t="s">
        <v>66</v>
      </c>
      <c r="C26" s="88"/>
      <c r="D26" s="88"/>
      <c r="E26" s="88"/>
      <c r="F26" s="88"/>
      <c r="G26" s="88"/>
      <c r="H26" s="88"/>
    </row>
    <row r="27" spans="1:8" ht="14.25" customHeight="1">
      <c r="A27" s="28" t="s">
        <v>67</v>
      </c>
      <c r="B27" s="87" t="s">
        <v>68</v>
      </c>
      <c r="C27" s="88"/>
      <c r="D27" s="88"/>
      <c r="E27" s="88"/>
      <c r="F27" s="88"/>
      <c r="G27" s="88"/>
      <c r="H27" s="88"/>
    </row>
    <row r="28" spans="1:8" ht="14.25" customHeight="1">
      <c r="A28" s="28" t="s">
        <v>69</v>
      </c>
      <c r="B28" s="87"/>
      <c r="C28" s="88"/>
      <c r="D28" s="88"/>
      <c r="E28" s="88"/>
      <c r="F28" s="88"/>
      <c r="G28" s="88"/>
      <c r="H28" s="88"/>
    </row>
    <row r="29" spans="1:8" ht="14.25" customHeight="1">
      <c r="A29" s="28" t="s">
        <v>70</v>
      </c>
      <c r="B29" s="87"/>
      <c r="C29" s="88"/>
      <c r="D29" s="88"/>
      <c r="E29" s="88"/>
      <c r="F29" s="88"/>
      <c r="G29" s="88"/>
      <c r="H29" s="88"/>
    </row>
    <row r="30" spans="1:8" ht="15" customHeight="1">
      <c r="A30" s="5" t="s">
        <v>71</v>
      </c>
      <c r="B30" s="87"/>
    </row>
    <row r="31" spans="1:8" ht="15" customHeight="1">
      <c r="A31" s="6" t="s">
        <v>72</v>
      </c>
      <c r="B31" s="2" t="s">
        <v>73</v>
      </c>
    </row>
    <row r="32" spans="1:8" ht="15" customHeight="1">
      <c r="A32" s="6" t="s">
        <v>74</v>
      </c>
      <c r="B32" s="2" t="s">
        <v>75</v>
      </c>
    </row>
    <row r="33" spans="1:2" ht="15" customHeight="1">
      <c r="A33" s="6" t="s">
        <v>76</v>
      </c>
      <c r="B33" s="3" t="s">
        <v>77</v>
      </c>
    </row>
    <row r="34" spans="1:2" ht="15" customHeight="1">
      <c r="A34" s="6" t="s">
        <v>78</v>
      </c>
      <c r="B34" s="2" t="s">
        <v>79</v>
      </c>
    </row>
    <row r="36" spans="1:2">
      <c r="A36" s="7" t="s">
        <v>80</v>
      </c>
      <c r="B36" s="7" t="s">
        <v>19</v>
      </c>
    </row>
    <row r="37" spans="1:2">
      <c r="A37" s="5" t="s">
        <v>81</v>
      </c>
      <c r="B37" s="4" t="s">
        <v>82</v>
      </c>
    </row>
    <row r="38" spans="1:2">
      <c r="A38" s="5" t="s">
        <v>83</v>
      </c>
      <c r="B38" s="4" t="s">
        <v>84</v>
      </c>
    </row>
    <row r="39" spans="1:2">
      <c r="A39" s="5" t="s">
        <v>85</v>
      </c>
      <c r="B39" s="4" t="s">
        <v>86</v>
      </c>
    </row>
    <row r="40" spans="1:2">
      <c r="A40" s="5" t="s">
        <v>87</v>
      </c>
      <c r="B40" s="4" t="s">
        <v>88</v>
      </c>
    </row>
  </sheetData>
  <mergeCells count="11">
    <mergeCell ref="B27:B30"/>
    <mergeCell ref="C14:H14"/>
    <mergeCell ref="C16:H16"/>
    <mergeCell ref="C21:H21"/>
    <mergeCell ref="C15:H15"/>
    <mergeCell ref="C24:H24"/>
    <mergeCell ref="C29:H29"/>
    <mergeCell ref="C28:H28"/>
    <mergeCell ref="C27:H27"/>
    <mergeCell ref="C26:H26"/>
    <mergeCell ref="C25:H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B386-03D9-4E75-9C52-FA7D2414CD5C}">
  <dimension ref="A1:G32"/>
  <sheetViews>
    <sheetView workbookViewId="0">
      <selection activeCell="E2" sqref="E2"/>
    </sheetView>
  </sheetViews>
  <sheetFormatPr defaultColWidth="11.42578125" defaultRowHeight="15"/>
  <cols>
    <col min="2" max="2" width="26.7109375" customWidth="1"/>
    <col min="3" max="3" width="27.7109375" customWidth="1"/>
    <col min="4" max="4" width="32.85546875" bestFit="1" customWidth="1"/>
    <col min="5" max="5" width="37.28515625" bestFit="1" customWidth="1"/>
    <col min="7" max="7" width="45.85546875" customWidth="1"/>
    <col min="8" max="8" width="21.28515625" customWidth="1"/>
    <col min="9" max="9" width="37.7109375" customWidth="1"/>
  </cols>
  <sheetData>
    <row r="1" spans="1:7">
      <c r="A1" s="54" t="s">
        <v>89</v>
      </c>
      <c r="B1" s="55" t="s">
        <v>90</v>
      </c>
      <c r="C1" s="55" t="s">
        <v>91</v>
      </c>
      <c r="D1" s="55" t="s">
        <v>92</v>
      </c>
      <c r="E1" s="56" t="s">
        <v>93</v>
      </c>
    </row>
    <row r="2" spans="1:7">
      <c r="A2" s="57" t="s">
        <v>94</v>
      </c>
      <c r="B2" s="35" t="s">
        <v>95</v>
      </c>
      <c r="C2" t="s">
        <v>96</v>
      </c>
      <c r="D2" t="s">
        <v>97</v>
      </c>
      <c r="E2" t="s">
        <v>98</v>
      </c>
      <c r="G2" s="35"/>
    </row>
    <row r="3" spans="1:7">
      <c r="A3" s="57" t="s">
        <v>94</v>
      </c>
      <c r="B3" s="35" t="s">
        <v>99</v>
      </c>
      <c r="C3" t="s">
        <v>100</v>
      </c>
      <c r="D3" t="s">
        <v>101</v>
      </c>
      <c r="E3" t="s">
        <v>101</v>
      </c>
      <c r="G3" s="35"/>
    </row>
    <row r="4" spans="1:7">
      <c r="A4" s="57" t="s">
        <v>94</v>
      </c>
      <c r="B4" s="35" t="s">
        <v>102</v>
      </c>
      <c r="C4" t="s">
        <v>102</v>
      </c>
      <c r="D4" t="s">
        <v>103</v>
      </c>
      <c r="E4" t="s">
        <v>104</v>
      </c>
      <c r="G4" s="35"/>
    </row>
    <row r="5" spans="1:7">
      <c r="A5" s="57" t="s">
        <v>94</v>
      </c>
      <c r="B5" s="35" t="s">
        <v>105</v>
      </c>
      <c r="C5" t="s">
        <v>106</v>
      </c>
      <c r="D5" t="s">
        <v>107</v>
      </c>
      <c r="E5" t="s">
        <v>108</v>
      </c>
      <c r="G5" s="35"/>
    </row>
    <row r="6" spans="1:7">
      <c r="A6" s="57" t="s">
        <v>94</v>
      </c>
      <c r="B6" s="35" t="s">
        <v>109</v>
      </c>
      <c r="C6" t="s">
        <v>110</v>
      </c>
      <c r="D6" t="s">
        <v>110</v>
      </c>
      <c r="E6" t="s">
        <v>110</v>
      </c>
      <c r="G6" s="35"/>
    </row>
    <row r="7" spans="1:7">
      <c r="A7" s="57" t="s">
        <v>94</v>
      </c>
      <c r="B7" s="35" t="s">
        <v>111</v>
      </c>
      <c r="C7" t="s">
        <v>112</v>
      </c>
      <c r="D7" t="s">
        <v>112</v>
      </c>
      <c r="E7" t="s">
        <v>112</v>
      </c>
      <c r="G7" s="35"/>
    </row>
    <row r="8" spans="1:7">
      <c r="A8" s="57" t="s">
        <v>94</v>
      </c>
      <c r="B8" s="35" t="s">
        <v>113</v>
      </c>
      <c r="C8" t="s">
        <v>114</v>
      </c>
      <c r="D8" t="s">
        <v>115</v>
      </c>
      <c r="E8" t="s">
        <v>116</v>
      </c>
      <c r="G8" s="35"/>
    </row>
    <row r="9" spans="1:7">
      <c r="A9" s="57" t="s">
        <v>94</v>
      </c>
      <c r="B9" s="35" t="s">
        <v>117</v>
      </c>
      <c r="C9" t="s">
        <v>102</v>
      </c>
      <c r="D9" t="s">
        <v>103</v>
      </c>
      <c r="E9" t="s">
        <v>104</v>
      </c>
      <c r="G9" s="35"/>
    </row>
    <row r="10" spans="1:7">
      <c r="A10" s="57" t="s">
        <v>94</v>
      </c>
      <c r="B10" s="35" t="s">
        <v>118</v>
      </c>
      <c r="C10" t="s">
        <v>114</v>
      </c>
      <c r="D10" t="s">
        <v>119</v>
      </c>
      <c r="E10" t="s">
        <v>116</v>
      </c>
      <c r="G10" s="35"/>
    </row>
    <row r="11" spans="1:7">
      <c r="A11" s="57" t="s">
        <v>94</v>
      </c>
      <c r="B11" s="35" t="s">
        <v>120</v>
      </c>
      <c r="C11" t="s">
        <v>120</v>
      </c>
      <c r="D11" t="s">
        <v>112</v>
      </c>
      <c r="E11" t="s">
        <v>112</v>
      </c>
      <c r="G11" s="35"/>
    </row>
    <row r="12" spans="1:7">
      <c r="A12" s="57" t="s">
        <v>94</v>
      </c>
      <c r="B12" s="35" t="s">
        <v>121</v>
      </c>
      <c r="C12" t="s">
        <v>122</v>
      </c>
      <c r="D12" t="s">
        <v>123</v>
      </c>
      <c r="E12" t="s">
        <v>116</v>
      </c>
      <c r="G12" s="35"/>
    </row>
    <row r="13" spans="1:7">
      <c r="A13" s="57" t="s">
        <v>94</v>
      </c>
      <c r="B13" s="35" t="s">
        <v>124</v>
      </c>
      <c r="C13" t="s">
        <v>122</v>
      </c>
      <c r="D13" t="s">
        <v>125</v>
      </c>
      <c r="E13" t="s">
        <v>126</v>
      </c>
      <c r="G13" s="35"/>
    </row>
    <row r="14" spans="1:7">
      <c r="A14" s="57" t="s">
        <v>94</v>
      </c>
      <c r="B14" s="35" t="s">
        <v>127</v>
      </c>
      <c r="C14" t="s">
        <v>128</v>
      </c>
      <c r="D14" t="s">
        <v>129</v>
      </c>
      <c r="E14" t="s">
        <v>130</v>
      </c>
      <c r="G14" s="35"/>
    </row>
    <row r="15" spans="1:7">
      <c r="A15" s="57" t="s">
        <v>94</v>
      </c>
      <c r="B15" s="35" t="s">
        <v>131</v>
      </c>
      <c r="C15" t="s">
        <v>102</v>
      </c>
      <c r="D15" t="s">
        <v>132</v>
      </c>
      <c r="E15" t="s">
        <v>132</v>
      </c>
      <c r="G15" s="35"/>
    </row>
    <row r="16" spans="1:7">
      <c r="A16" s="57" t="s">
        <v>94</v>
      </c>
      <c r="B16" s="35" t="s">
        <v>133</v>
      </c>
      <c r="C16" t="s">
        <v>134</v>
      </c>
      <c r="D16" t="s">
        <v>135</v>
      </c>
      <c r="E16" t="s">
        <v>135</v>
      </c>
      <c r="G16" s="35"/>
    </row>
    <row r="17" spans="1:7">
      <c r="A17" s="57" t="s">
        <v>94</v>
      </c>
      <c r="B17" s="35" t="s">
        <v>136</v>
      </c>
      <c r="C17" t="s">
        <v>128</v>
      </c>
      <c r="D17" t="s">
        <v>137</v>
      </c>
      <c r="E17" t="s">
        <v>138</v>
      </c>
      <c r="G17" s="35"/>
    </row>
    <row r="18" spans="1:7">
      <c r="A18" s="57" t="s">
        <v>94</v>
      </c>
      <c r="B18" s="35" t="s">
        <v>139</v>
      </c>
      <c r="C18" t="s">
        <v>134</v>
      </c>
      <c r="D18" t="s">
        <v>140</v>
      </c>
      <c r="E18" t="s">
        <v>141</v>
      </c>
      <c r="G18" s="35"/>
    </row>
    <row r="19" spans="1:7">
      <c r="A19" s="57" t="s">
        <v>94</v>
      </c>
      <c r="B19" s="35" t="s">
        <v>142</v>
      </c>
      <c r="C19" t="s">
        <v>134</v>
      </c>
      <c r="D19" t="s">
        <v>143</v>
      </c>
      <c r="E19" t="s">
        <v>141</v>
      </c>
      <c r="G19" s="35"/>
    </row>
    <row r="20" spans="1:7">
      <c r="A20" s="57" t="s">
        <v>94</v>
      </c>
      <c r="B20" s="35" t="s">
        <v>144</v>
      </c>
      <c r="C20" t="s">
        <v>134</v>
      </c>
      <c r="D20" t="s">
        <v>145</v>
      </c>
      <c r="E20" t="s">
        <v>141</v>
      </c>
      <c r="G20" s="35"/>
    </row>
    <row r="21" spans="1:7">
      <c r="A21" s="57" t="s">
        <v>94</v>
      </c>
      <c r="B21" s="35" t="s">
        <v>146</v>
      </c>
      <c r="C21" t="s">
        <v>147</v>
      </c>
      <c r="D21" t="s">
        <v>148</v>
      </c>
      <c r="E21" t="s">
        <v>149</v>
      </c>
      <c r="G21" s="35"/>
    </row>
    <row r="22" spans="1:7">
      <c r="A22" s="57" t="s">
        <v>94</v>
      </c>
      <c r="B22" s="35" t="s">
        <v>150</v>
      </c>
      <c r="C22" t="s">
        <v>128</v>
      </c>
      <c r="D22" t="s">
        <v>137</v>
      </c>
      <c r="E22" t="s">
        <v>138</v>
      </c>
      <c r="G22" s="35"/>
    </row>
    <row r="23" spans="1:7">
      <c r="A23" s="57" t="s">
        <v>94</v>
      </c>
      <c r="B23" s="35" t="s">
        <v>151</v>
      </c>
      <c r="C23" t="s">
        <v>96</v>
      </c>
      <c r="D23" t="s">
        <v>152</v>
      </c>
      <c r="E23" t="s">
        <v>153</v>
      </c>
      <c r="G23" s="35"/>
    </row>
    <row r="24" spans="1:7">
      <c r="A24" s="57" t="s">
        <v>94</v>
      </c>
      <c r="B24" s="35" t="s">
        <v>154</v>
      </c>
      <c r="C24" t="s">
        <v>96</v>
      </c>
      <c r="D24" t="s">
        <v>152</v>
      </c>
      <c r="E24" t="s">
        <v>153</v>
      </c>
      <c r="G24" s="35"/>
    </row>
    <row r="25" spans="1:7">
      <c r="A25" s="57" t="s">
        <v>94</v>
      </c>
      <c r="B25" s="35" t="s">
        <v>155</v>
      </c>
      <c r="C25" t="s">
        <v>96</v>
      </c>
      <c r="D25" t="s">
        <v>152</v>
      </c>
      <c r="E25" t="s">
        <v>153</v>
      </c>
      <c r="G25" s="35"/>
    </row>
    <row r="26" spans="1:7">
      <c r="A26" s="57" t="s">
        <v>94</v>
      </c>
      <c r="B26" s="35" t="s">
        <v>156</v>
      </c>
      <c r="C26" t="s">
        <v>100</v>
      </c>
      <c r="D26" t="s">
        <v>157</v>
      </c>
      <c r="E26" t="s">
        <v>157</v>
      </c>
      <c r="G26" s="35"/>
    </row>
    <row r="27" spans="1:7">
      <c r="A27" s="57" t="s">
        <v>94</v>
      </c>
      <c r="B27" s="35" t="s">
        <v>158</v>
      </c>
      <c r="C27" t="s">
        <v>122</v>
      </c>
      <c r="D27" t="s">
        <v>123</v>
      </c>
      <c r="E27" t="s">
        <v>116</v>
      </c>
      <c r="G27" s="35"/>
    </row>
    <row r="28" spans="1:7">
      <c r="A28" s="57" t="s">
        <v>94</v>
      </c>
      <c r="B28" s="35" t="s">
        <v>159</v>
      </c>
      <c r="C28" t="s">
        <v>102</v>
      </c>
      <c r="D28" t="s">
        <v>103</v>
      </c>
      <c r="E28" t="s">
        <v>104</v>
      </c>
      <c r="G28" s="35"/>
    </row>
    <row r="29" spans="1:7">
      <c r="A29" s="57" t="s">
        <v>94</v>
      </c>
      <c r="B29" s="35" t="s">
        <v>160</v>
      </c>
      <c r="C29" t="s">
        <v>102</v>
      </c>
      <c r="D29" t="s">
        <v>103</v>
      </c>
      <c r="E29" t="s">
        <v>104</v>
      </c>
      <c r="G29" s="35"/>
    </row>
    <row r="30" spans="1:7">
      <c r="A30" s="57" t="s">
        <v>94</v>
      </c>
      <c r="B30" s="35" t="s">
        <v>161</v>
      </c>
      <c r="C30" t="s">
        <v>112</v>
      </c>
      <c r="D30" t="s">
        <v>112</v>
      </c>
      <c r="E30" t="s">
        <v>112</v>
      </c>
      <c r="G30" s="35"/>
    </row>
    <row r="31" spans="1:7">
      <c r="A31" s="57" t="s">
        <v>94</v>
      </c>
      <c r="B31" s="35" t="s">
        <v>162</v>
      </c>
      <c r="C31" t="s">
        <v>112</v>
      </c>
      <c r="D31" t="s">
        <v>112</v>
      </c>
      <c r="E31" t="s">
        <v>112</v>
      </c>
      <c r="G31" s="35"/>
    </row>
    <row r="32" spans="1:7">
      <c r="A32" s="57" t="s">
        <v>94</v>
      </c>
      <c r="B32" s="35" t="s">
        <v>163</v>
      </c>
      <c r="C32" t="s">
        <v>112</v>
      </c>
      <c r="D32" t="s">
        <v>112</v>
      </c>
      <c r="E32" t="s">
        <v>112</v>
      </c>
      <c r="G32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ABE3-E00B-4904-860D-55908E75C8E9}">
  <dimension ref="A1:G4"/>
  <sheetViews>
    <sheetView workbookViewId="0">
      <selection activeCell="F36" sqref="F36"/>
    </sheetView>
  </sheetViews>
  <sheetFormatPr defaultColWidth="11.42578125" defaultRowHeight="15"/>
  <cols>
    <col min="2" max="2" width="13.7109375" customWidth="1"/>
    <col min="3" max="3" width="15" customWidth="1"/>
    <col min="4" max="4" width="23.85546875" customWidth="1"/>
    <col min="5" max="6" width="17.5703125" customWidth="1"/>
  </cols>
  <sheetData>
    <row r="1" spans="1:7">
      <c r="A1" t="s">
        <v>164</v>
      </c>
    </row>
    <row r="2" spans="1:7">
      <c r="A2" t="s">
        <v>165</v>
      </c>
    </row>
    <row r="4" spans="1:7" ht="30">
      <c r="A4" s="30" t="s">
        <v>166</v>
      </c>
      <c r="B4" s="30" t="s">
        <v>167</v>
      </c>
      <c r="C4" s="31" t="s">
        <v>81</v>
      </c>
      <c r="D4" s="31" t="s">
        <v>168</v>
      </c>
      <c r="E4" s="31" t="s">
        <v>85</v>
      </c>
      <c r="F4" s="32" t="s">
        <v>169</v>
      </c>
      <c r="G4" s="31" t="s">
        <v>170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A85C-259B-4CA9-99FC-E8335B1AF9C4}">
  <dimension ref="A3:L39"/>
  <sheetViews>
    <sheetView workbookViewId="0">
      <selection activeCell="C33" sqref="C33"/>
    </sheetView>
  </sheetViews>
  <sheetFormatPr defaultColWidth="11.42578125" defaultRowHeight="15"/>
  <cols>
    <col min="1" max="1" width="17.85546875" bestFit="1" customWidth="1"/>
    <col min="2" max="2" width="18.85546875" bestFit="1" customWidth="1"/>
    <col min="3" max="3" width="23.28515625" bestFit="1" customWidth="1"/>
    <col min="4" max="4" width="28.28515625" bestFit="1" customWidth="1"/>
    <col min="5" max="6" width="28.28515625" customWidth="1"/>
    <col min="8" max="8" width="53.42578125" customWidth="1"/>
    <col min="9" max="9" width="21.7109375" customWidth="1"/>
    <col min="10" max="11" width="41.7109375" customWidth="1"/>
    <col min="12" max="12" width="53.42578125" customWidth="1"/>
  </cols>
  <sheetData>
    <row r="3" spans="1:12">
      <c r="A3" s="34" t="s">
        <v>171</v>
      </c>
      <c r="B3" t="s">
        <v>172</v>
      </c>
      <c r="C3" t="s">
        <v>173</v>
      </c>
      <c r="D3" t="s">
        <v>174</v>
      </c>
    </row>
    <row r="4" spans="1:12">
      <c r="A4" s="35" t="s">
        <v>175</v>
      </c>
      <c r="B4">
        <v>11978.06</v>
      </c>
      <c r="C4">
        <v>1048.08</v>
      </c>
      <c r="D4">
        <v>1048.08</v>
      </c>
      <c r="E4" s="46">
        <f>+VLOOKUP(A4,'Modelo Datos'!C:AJ,4,0)</f>
        <v>46112</v>
      </c>
      <c r="H4" t="str">
        <f>+VLOOKUP(A4,'Modelo Datos'!C:AJ,5,0)</f>
        <v>EMBARCACIONES RECREO</v>
      </c>
      <c r="I4" t="str">
        <f>+VLOOKUP(A4,'Modelo Datos'!C:AJ,34,0)</f>
        <v>Embarcaciones</v>
      </c>
      <c r="J4" t="str">
        <f>+VLOOKUP(A4,'Modelo Datos'!C:AJ,32,0)</f>
        <v>Náutica</v>
      </c>
      <c r="K4" t="s">
        <v>176</v>
      </c>
      <c r="L4" t="str">
        <f>+VLOOKUP(A4,'Modelo Datos'!C:V,20,0)</f>
        <v>ALLIANZ, COMPAÑIA DE SEGUROS Y REASEGUROS,S.A.</v>
      </c>
    </row>
    <row r="5" spans="1:12">
      <c r="A5" s="35" t="s">
        <v>177</v>
      </c>
      <c r="B5">
        <v>5520.21</v>
      </c>
      <c r="C5">
        <v>552.02</v>
      </c>
      <c r="D5">
        <v>552.02</v>
      </c>
      <c r="E5" s="46">
        <f>+VLOOKUP(A5,'Modelo Datos'!C:AJ,4,0)</f>
        <v>46037</v>
      </c>
      <c r="H5" t="str">
        <f>+VLOOKUP(A5,'Modelo Datos'!C:AJ,5,0)</f>
        <v>CONVENIO</v>
      </c>
      <c r="I5" t="str">
        <f>+VLOOKUP(A5,'Modelo Datos'!C:AJ,34,0)</f>
        <v>Accidentes Convenio</v>
      </c>
      <c r="J5" t="str">
        <f>+VLOOKUP(A5,'Modelo Datos'!C:AJ,32,0)</f>
        <v>Seguros Personales (No Vida) Colectivos</v>
      </c>
      <c r="K5" t="s">
        <v>176</v>
      </c>
      <c r="L5" t="str">
        <f>+VLOOKUP(A5,'Modelo Datos'!C:V,20,0)</f>
        <v>ALLIANZ, COMPAÑIA DE SEGUROS Y REASEGUROS,S.A.</v>
      </c>
    </row>
    <row r="6" spans="1:12">
      <c r="A6" s="35" t="s">
        <v>178</v>
      </c>
      <c r="B6">
        <v>219.59</v>
      </c>
      <c r="C6">
        <v>21.96</v>
      </c>
      <c r="D6">
        <v>21.96</v>
      </c>
      <c r="E6" s="46">
        <f>+VLOOKUP(A6,'Modelo Datos'!C:AJ,4,0)</f>
        <v>46054</v>
      </c>
      <c r="H6" t="str">
        <f>+VLOOKUP(A6,'Modelo Datos'!C:AJ,5,0)</f>
        <v>MULTIRRIESGO OFICINAS</v>
      </c>
      <c r="I6" t="str">
        <f>+VLOOKUP(A6,'Modelo Datos'!C:AJ,34,0)</f>
        <v>Multirriesgo Ofinas y Despachos</v>
      </c>
      <c r="J6" t="str">
        <f>+VLOOKUP(A6,'Modelo Datos'!C:AJ,32,0)</f>
        <v>Property</v>
      </c>
      <c r="K6" t="s">
        <v>176</v>
      </c>
      <c r="L6" t="str">
        <f>+VLOOKUP(A6,'Modelo Datos'!C:V,20,0)</f>
        <v>ALLIANZ, COMPAÑIA DE SEGUROS Y REASEGUROS,S.A.</v>
      </c>
    </row>
    <row r="7" spans="1:12">
      <c r="A7" s="35" t="s">
        <v>179</v>
      </c>
      <c r="B7">
        <v>1534.91</v>
      </c>
      <c r="C7">
        <v>115.12</v>
      </c>
      <c r="D7">
        <v>115.12</v>
      </c>
      <c r="E7" s="46">
        <f>+VLOOKUP(A7,'Modelo Datos'!C:AJ,4,0)</f>
        <v>46023</v>
      </c>
      <c r="H7" t="str">
        <f>+VLOOKUP(A7,'Modelo Datos'!C:AJ,5,0)</f>
        <v>AHORRO</v>
      </c>
      <c r="I7" t="str">
        <f>+VLOOKUP(A7,'Modelo Datos'!C:AJ,34,0)</f>
        <v>Vida Ahorro Particular</v>
      </c>
      <c r="J7" t="str">
        <f>+VLOOKUP(A7,'Modelo Datos'!C:AJ,32,0)</f>
        <v>Vida Ahorro Particular</v>
      </c>
      <c r="K7" t="s">
        <v>180</v>
      </c>
      <c r="L7" t="str">
        <f>+VLOOKUP(A7,'Modelo Datos'!C:V,20,0)</f>
        <v>ZURICH VIDA, CIA. DE SEGUROS Y REASEGUROS,S.A.</v>
      </c>
    </row>
    <row r="8" spans="1:12">
      <c r="A8" s="35" t="s">
        <v>181</v>
      </c>
      <c r="B8">
        <v>826.82</v>
      </c>
      <c r="C8">
        <v>57.88</v>
      </c>
      <c r="D8">
        <v>57.88</v>
      </c>
      <c r="E8" s="46">
        <f>+VLOOKUP(A8,'Modelo Datos'!C:AJ,4,0)</f>
        <v>46023</v>
      </c>
      <c r="H8" t="str">
        <f>+VLOOKUP(A8,'Modelo Datos'!C:AJ,5,0)</f>
        <v>TODO RIESGO</v>
      </c>
      <c r="I8" t="str">
        <f>+VLOOKUP(A8,'Modelo Datos'!C:AJ,34,0)</f>
        <v>Autos Cat. 1</v>
      </c>
      <c r="J8" t="str">
        <f>+VLOOKUP(A8,'Modelo Datos'!C:AJ,32,0)</f>
        <v>Autos</v>
      </c>
      <c r="K8" t="s">
        <v>182</v>
      </c>
      <c r="L8" t="str">
        <f>+VLOOKUP(A8,'Modelo Datos'!C:V,20,0)</f>
        <v>MAPFRE ESPAÑA, CIA. DE SEG. Y REASEG.,S.A.</v>
      </c>
    </row>
    <row r="9" spans="1:12">
      <c r="A9" s="35" t="s">
        <v>183</v>
      </c>
      <c r="B9">
        <v>3444.73</v>
      </c>
      <c r="C9">
        <v>344.48</v>
      </c>
      <c r="D9">
        <v>344.48</v>
      </c>
      <c r="E9" s="46">
        <f>+VLOOKUP(A9,'Modelo Datos'!C:AJ,4,0)</f>
        <v>46023</v>
      </c>
      <c r="H9" t="str">
        <f>+VLOOKUP(A9,'Modelo Datos'!C:AJ,5,0)</f>
        <v>RIESGO</v>
      </c>
      <c r="I9" t="str">
        <f>+VLOOKUP(A9,'Modelo Datos'!C:AJ,34,0)</f>
        <v>Vida Riesgo Particular</v>
      </c>
      <c r="J9" t="str">
        <f>+VLOOKUP(A9,'Modelo Datos'!C:AJ,32,0)</f>
        <v>Vida Riesgo Particular</v>
      </c>
      <c r="K9" t="s">
        <v>184</v>
      </c>
      <c r="L9" t="str">
        <f>+VLOOKUP(A9,'Modelo Datos'!C:V,20,0)</f>
        <v>SURNE, MUTUA DE SEG. Y REAS. A PRIMA FIJA</v>
      </c>
    </row>
    <row r="10" spans="1:12">
      <c r="A10" s="35" t="s">
        <v>185</v>
      </c>
      <c r="B10">
        <v>526.4</v>
      </c>
      <c r="C10">
        <v>24.76</v>
      </c>
      <c r="D10">
        <v>24.76</v>
      </c>
      <c r="E10" s="46">
        <f>+VLOOKUP(A10,'Modelo Datos'!C:AJ,4,0)</f>
        <v>45992</v>
      </c>
      <c r="H10" t="str">
        <f>+VLOOKUP(A10,'Modelo Datos'!C:AJ,5,0)</f>
        <v>CONVENIO</v>
      </c>
      <c r="I10" t="str">
        <f>+VLOOKUP(A10,'Modelo Datos'!C:AJ,34,0)</f>
        <v>Accidentes Convenio</v>
      </c>
      <c r="J10" t="str">
        <f>+VLOOKUP(A10,'Modelo Datos'!C:AJ,32,0)</f>
        <v>Seguros Personales (No Vida) Colectivos</v>
      </c>
      <c r="K10" t="s">
        <v>176</v>
      </c>
      <c r="L10" t="str">
        <f>+VLOOKUP(A10,'Modelo Datos'!C:V,20,0)</f>
        <v>ALLIANZ PORTUGAL</v>
      </c>
    </row>
    <row r="11" spans="1:12">
      <c r="A11" s="35" t="s">
        <v>186</v>
      </c>
      <c r="B11">
        <v>1214.94</v>
      </c>
      <c r="C11">
        <v>51.64</v>
      </c>
      <c r="D11">
        <v>51.64</v>
      </c>
      <c r="E11" s="46">
        <f>+VLOOKUP(A11,'Modelo Datos'!C:AJ,4,0)</f>
        <v>46023</v>
      </c>
      <c r="H11" t="str">
        <f>+VLOOKUP(A11,'Modelo Datos'!C:AJ,5,0)</f>
        <v>CUADRO MEDICO INDIVIDUAL</v>
      </c>
      <c r="I11" t="str">
        <f>+VLOOKUP(A11,'Modelo Datos'!C:AJ,34,0)</f>
        <v>Salud Particular</v>
      </c>
      <c r="J11" t="str">
        <f>+VLOOKUP(A11,'Modelo Datos'!C:AJ,32,0)</f>
        <v>Seguros Personales (No Vida) Particular</v>
      </c>
      <c r="K11" t="s">
        <v>176</v>
      </c>
      <c r="L11" t="str">
        <f>+VLOOKUP(A11,'Modelo Datos'!C:V,20,0)</f>
        <v>ALLIANZ PORTUGAL</v>
      </c>
    </row>
    <row r="12" spans="1:12">
      <c r="A12" s="35" t="s">
        <v>187</v>
      </c>
      <c r="B12">
        <v>495.22</v>
      </c>
      <c r="C12">
        <v>23.7</v>
      </c>
      <c r="D12">
        <v>23.7</v>
      </c>
      <c r="E12" s="46">
        <f>+VLOOKUP(A12,'Modelo Datos'!C:AJ,4,0)</f>
        <v>45992</v>
      </c>
      <c r="H12" t="str">
        <f>+VLOOKUP(A12,'Modelo Datos'!C:AJ,5,0)</f>
        <v>CUADRO MEDICO INDIVIDUAL</v>
      </c>
      <c r="I12" t="str">
        <f>+VLOOKUP(A12,'Modelo Datos'!C:AJ,34,0)</f>
        <v>Salud Particular</v>
      </c>
      <c r="J12" t="str">
        <f>+VLOOKUP(A12,'Modelo Datos'!C:AJ,32,0)</f>
        <v>Seguros Personales (No Vida) Particular</v>
      </c>
      <c r="K12" t="s">
        <v>176</v>
      </c>
      <c r="L12" t="str">
        <f>+VLOOKUP(A12,'Modelo Datos'!C:V,20,0)</f>
        <v>ALLIANZ PORTUGAL</v>
      </c>
    </row>
    <row r="13" spans="1:12">
      <c r="A13" s="35" t="s">
        <v>188</v>
      </c>
      <c r="B13">
        <v>616.28</v>
      </c>
      <c r="C13">
        <v>30.8</v>
      </c>
      <c r="D13">
        <v>30.8</v>
      </c>
      <c r="E13" s="46">
        <f>+VLOOKUP(A13,'Modelo Datos'!C:AJ,4,0)</f>
        <v>45992</v>
      </c>
      <c r="H13" t="str">
        <f>+VLOOKUP(A13,'Modelo Datos'!C:AJ,5,0)</f>
        <v>CUADRO MEDICO INDIVIDUAL</v>
      </c>
      <c r="I13" t="str">
        <f>+VLOOKUP(A13,'Modelo Datos'!C:AJ,34,0)</f>
        <v>Salud Particular</v>
      </c>
      <c r="J13" t="str">
        <f>+VLOOKUP(A13,'Modelo Datos'!C:AJ,32,0)</f>
        <v>Seguros Personales (No Vida) Particular</v>
      </c>
      <c r="K13" t="s">
        <v>176</v>
      </c>
      <c r="L13" t="str">
        <f>+VLOOKUP(A13,'Modelo Datos'!C:V,20,0)</f>
        <v>ALLIANZ PORTUGAL</v>
      </c>
    </row>
    <row r="14" spans="1:12">
      <c r="A14" s="35" t="s">
        <v>189</v>
      </c>
      <c r="B14">
        <v>13855.52</v>
      </c>
      <c r="C14">
        <v>346.4</v>
      </c>
      <c r="D14">
        <v>346.4</v>
      </c>
      <c r="E14" s="46">
        <f>+VLOOKUP(A14,'Modelo Datos'!C:AJ,4,0)</f>
        <v>46023</v>
      </c>
      <c r="H14" t="str">
        <f>+VLOOKUP(A14,'Modelo Datos'!C:AJ,5,0)</f>
        <v>CUADRO MEDICO INDIVIDUAL</v>
      </c>
      <c r="I14" t="str">
        <f>+VLOOKUP(A14,'Modelo Datos'!C:AJ,34,0)</f>
        <v>Salud Particular</v>
      </c>
      <c r="J14" t="str">
        <f>+VLOOKUP(A14,'Modelo Datos'!C:AJ,32,0)</f>
        <v>Seguros Personales (No Vida) Particular</v>
      </c>
      <c r="K14" t="s">
        <v>182</v>
      </c>
      <c r="L14" t="str">
        <f>+VLOOKUP(A14,'Modelo Datos'!C:V,20,0)</f>
        <v>MAPFRE ESPAÑA, CIA. DE SEG. Y REASEG.,S.A.</v>
      </c>
    </row>
    <row r="15" spans="1:12">
      <c r="A15" s="35" t="s">
        <v>190</v>
      </c>
      <c r="B15">
        <v>2277.94</v>
      </c>
      <c r="C15">
        <v>227.8</v>
      </c>
      <c r="D15">
        <v>227.8</v>
      </c>
      <c r="E15" s="46">
        <f>+VLOOKUP(A15,'Modelo Datos'!C:AJ,4,0)</f>
        <v>46012</v>
      </c>
      <c r="H15" t="str">
        <f>+VLOOKUP(A15,'Modelo Datos'!C:AJ,5,0)</f>
        <v>PROTECCION E INDEMIZACION</v>
      </c>
      <c r="I15" t="str">
        <f>+VLOOKUP(A15,'Modelo Datos'!C:AJ,34,0)</f>
        <v>Transportes Mercancías</v>
      </c>
      <c r="J15" t="str">
        <f>+VLOOKUP(A15,'Modelo Datos'!C:AJ,32,0)</f>
        <v>Transporte</v>
      </c>
      <c r="K15" t="s">
        <v>191</v>
      </c>
      <c r="L15" t="str">
        <f>+VLOOKUP(A15,'Modelo Datos'!C:V,20,0)</f>
        <v>MS AMLIN MARINE N.V.</v>
      </c>
    </row>
    <row r="16" spans="1:12">
      <c r="A16" s="35" t="s">
        <v>192</v>
      </c>
      <c r="B16">
        <v>2063.0499999999997</v>
      </c>
      <c r="C16">
        <v>84.81</v>
      </c>
      <c r="D16">
        <v>84.81</v>
      </c>
      <c r="E16" s="46">
        <f>+VLOOKUP(A16,'Modelo Datos'!C:AJ,4,0)</f>
        <v>45992</v>
      </c>
      <c r="H16" t="str">
        <f>+VLOOKUP(A16,'Modelo Datos'!C:AJ,5,0)</f>
        <v>SALUD COLECTIVO</v>
      </c>
      <c r="I16" t="str">
        <f>+VLOOKUP(A16,'Modelo Datos'!C:AJ,34,0)</f>
        <v>Salud Colectivo</v>
      </c>
      <c r="J16" t="str">
        <f>+VLOOKUP(A16,'Modelo Datos'!C:AJ,32,0)</f>
        <v>Seguros Personales (No Vida) Colectivos</v>
      </c>
      <c r="K16" t="s">
        <v>193</v>
      </c>
      <c r="L16" t="str">
        <f>+VLOOKUP(A16,'Modelo Datos'!C:V,20,0)</f>
        <v>SANITAS, S.A. DE SEGUROS</v>
      </c>
    </row>
    <row r="17" spans="1:12">
      <c r="A17" s="35" t="s">
        <v>194</v>
      </c>
      <c r="B17">
        <v>798.6</v>
      </c>
      <c r="C17">
        <v>31.92</v>
      </c>
      <c r="D17">
        <v>31.92</v>
      </c>
      <c r="E17" s="46">
        <f>+VLOOKUP(A17,'Modelo Datos'!C:AJ,4,0)</f>
        <v>45992</v>
      </c>
      <c r="H17" t="str">
        <f>+VLOOKUP(A17,'Modelo Datos'!C:AJ,5,0)</f>
        <v>SALUD COLECTIVO</v>
      </c>
      <c r="I17" t="str">
        <f>+VLOOKUP(A17,'Modelo Datos'!C:AJ,34,0)</f>
        <v>Salud Colectivo</v>
      </c>
      <c r="J17" t="str">
        <f>+VLOOKUP(A17,'Modelo Datos'!C:AJ,32,0)</f>
        <v>Seguros Personales (No Vida) Colectivos</v>
      </c>
      <c r="K17" t="s">
        <v>193</v>
      </c>
      <c r="L17" t="str">
        <f>+VLOOKUP(A17,'Modelo Datos'!C:V,20,0)</f>
        <v>SANITAS, S.A. DE SEGUROS</v>
      </c>
    </row>
    <row r="18" spans="1:12">
      <c r="A18" s="35" t="s">
        <v>195</v>
      </c>
      <c r="B18">
        <v>132.05000000000001</v>
      </c>
      <c r="C18">
        <v>5.28</v>
      </c>
      <c r="D18">
        <v>5.28</v>
      </c>
      <c r="E18" s="46">
        <f>+VLOOKUP(A18,'Modelo Datos'!C:AJ,4,0)</f>
        <v>45992</v>
      </c>
      <c r="H18" t="str">
        <f>+VLOOKUP(A18,'Modelo Datos'!C:AJ,5,0)</f>
        <v>SALUD COLECTIVO</v>
      </c>
      <c r="I18" t="str">
        <f>+VLOOKUP(A18,'Modelo Datos'!C:AJ,34,0)</f>
        <v>Salud Colectivo</v>
      </c>
      <c r="J18" t="str">
        <f>+VLOOKUP(A18,'Modelo Datos'!C:AJ,32,0)</f>
        <v>Seguros Personales (No Vida) Colectivos</v>
      </c>
      <c r="K18" t="s">
        <v>193</v>
      </c>
      <c r="L18" t="str">
        <f>+VLOOKUP(A18,'Modelo Datos'!C:V,20,0)</f>
        <v>SANITAS, S.A. DE SEGUROS</v>
      </c>
    </row>
    <row r="19" spans="1:12">
      <c r="A19" s="35" t="s">
        <v>196</v>
      </c>
      <c r="B19">
        <v>265.5</v>
      </c>
      <c r="C19">
        <v>10.94</v>
      </c>
      <c r="D19">
        <v>10.94</v>
      </c>
      <c r="E19" s="46">
        <f>+VLOOKUP(A19,'Modelo Datos'!C:AJ,4,0)</f>
        <v>45992</v>
      </c>
      <c r="H19" t="str">
        <f>+VLOOKUP(A19,'Modelo Datos'!C:AJ,5,0)</f>
        <v>SALUD COLECTIVO</v>
      </c>
      <c r="I19" t="str">
        <f>+VLOOKUP(A19,'Modelo Datos'!C:AJ,34,0)</f>
        <v>Salud Colectivo</v>
      </c>
      <c r="J19" t="str">
        <f>+VLOOKUP(A19,'Modelo Datos'!C:AJ,32,0)</f>
        <v>Seguros Personales (No Vida) Colectivos</v>
      </c>
      <c r="K19" t="s">
        <v>193</v>
      </c>
      <c r="L19" t="str">
        <f>+VLOOKUP(A19,'Modelo Datos'!C:V,20,0)</f>
        <v>SANITAS, S.A. DE SEGUROS</v>
      </c>
    </row>
    <row r="20" spans="1:12">
      <c r="A20" s="35" t="s">
        <v>197</v>
      </c>
      <c r="B20">
        <v>1397.55</v>
      </c>
      <c r="C20">
        <v>57.2</v>
      </c>
      <c r="D20">
        <v>57.2</v>
      </c>
      <c r="E20" s="46">
        <f>+VLOOKUP(A20,'Modelo Datos'!C:AJ,4,0)</f>
        <v>45992</v>
      </c>
      <c r="H20" t="str">
        <f>+VLOOKUP(A20,'Modelo Datos'!C:AJ,5,0)</f>
        <v>SALUD COLECTIVO</v>
      </c>
      <c r="I20" t="str">
        <f>+VLOOKUP(A20,'Modelo Datos'!C:AJ,34,0)</f>
        <v>Salud Colectivo</v>
      </c>
      <c r="J20" t="str">
        <f>+VLOOKUP(A20,'Modelo Datos'!C:AJ,32,0)</f>
        <v>Seguros Personales (No Vida) Colectivos</v>
      </c>
      <c r="K20" t="s">
        <v>193</v>
      </c>
      <c r="L20" t="str">
        <f>+VLOOKUP(A20,'Modelo Datos'!C:V,20,0)</f>
        <v>SANITAS, S.A. DE SEGUROS</v>
      </c>
    </row>
    <row r="21" spans="1:12">
      <c r="A21" s="35" t="s">
        <v>198</v>
      </c>
      <c r="B21">
        <v>199.65</v>
      </c>
      <c r="C21">
        <v>7.98</v>
      </c>
      <c r="D21">
        <v>7.98</v>
      </c>
      <c r="E21" s="46">
        <f>+VLOOKUP(A21,'Modelo Datos'!C:AJ,4,0)</f>
        <v>45992</v>
      </c>
      <c r="H21" t="str">
        <f>+VLOOKUP(A21,'Modelo Datos'!C:AJ,5,0)</f>
        <v>SALUD COLECTIVO</v>
      </c>
      <c r="I21" t="str">
        <f>+VLOOKUP(A21,'Modelo Datos'!C:AJ,34,0)</f>
        <v>Salud Colectivo</v>
      </c>
      <c r="J21" t="str">
        <f>+VLOOKUP(A21,'Modelo Datos'!C:AJ,32,0)</f>
        <v>Seguros Personales (No Vida) Colectivos</v>
      </c>
      <c r="K21" t="s">
        <v>193</v>
      </c>
      <c r="L21" t="str">
        <f>+VLOOKUP(A21,'Modelo Datos'!C:V,20,0)</f>
        <v>SANITAS, S.A. DE SEGUROS</v>
      </c>
    </row>
    <row r="22" spans="1:12">
      <c r="A22" s="35" t="s">
        <v>199</v>
      </c>
      <c r="B22">
        <v>66.55</v>
      </c>
      <c r="C22">
        <v>3</v>
      </c>
      <c r="D22">
        <v>3</v>
      </c>
      <c r="E22" s="46">
        <f>+VLOOKUP(A22,'Modelo Datos'!C:AJ,4,0)</f>
        <v>45992</v>
      </c>
      <c r="H22" t="str">
        <f>+VLOOKUP(A22,'Modelo Datos'!C:AJ,5,0)</f>
        <v>SALUD COLECTIVO</v>
      </c>
      <c r="I22" t="str">
        <f>+VLOOKUP(A22,'Modelo Datos'!C:AJ,34,0)</f>
        <v>Salud Colectivo</v>
      </c>
      <c r="J22" t="str">
        <f>+VLOOKUP(A22,'Modelo Datos'!C:AJ,32,0)</f>
        <v>Seguros Personales (No Vida) Colectivos</v>
      </c>
      <c r="K22" t="s">
        <v>193</v>
      </c>
      <c r="L22" t="str">
        <f>+VLOOKUP(A22,'Modelo Datos'!C:V,20,0)</f>
        <v>SANITAS, S.A. DE SEGUROS</v>
      </c>
    </row>
    <row r="23" spans="1:12">
      <c r="A23" s="35" t="s">
        <v>200</v>
      </c>
      <c r="B23">
        <v>318.81</v>
      </c>
      <c r="C23">
        <v>12.75</v>
      </c>
      <c r="D23">
        <v>12.75</v>
      </c>
      <c r="E23" s="46">
        <f>+VLOOKUP(A23,'Modelo Datos'!C:AJ,4,0)</f>
        <v>45992</v>
      </c>
      <c r="H23" t="str">
        <f>+VLOOKUP(A23,'Modelo Datos'!C:AJ,5,0)</f>
        <v>CUADRO MEDICO COLECTIVO</v>
      </c>
      <c r="I23" t="str">
        <f>+VLOOKUP(A23,'Modelo Datos'!C:AJ,34,0)</f>
        <v>Salud Colectivo</v>
      </c>
      <c r="J23" t="str">
        <f>+VLOOKUP(A23,'Modelo Datos'!C:AJ,32,0)</f>
        <v>Seguros Personales (No Vida) Colectivos</v>
      </c>
      <c r="K23" t="s">
        <v>193</v>
      </c>
      <c r="L23" t="str">
        <f>+VLOOKUP(A23,'Modelo Datos'!C:V,20,0)</f>
        <v>SANITAS, S.A. DE SEGUROS</v>
      </c>
    </row>
    <row r="24" spans="1:12">
      <c r="A24" s="35" t="s">
        <v>201</v>
      </c>
      <c r="B24">
        <v>266.2</v>
      </c>
      <c r="C24">
        <v>10.64</v>
      </c>
      <c r="D24">
        <v>10.64</v>
      </c>
      <c r="E24" s="46">
        <f>+VLOOKUP(A24,'Modelo Datos'!C:AJ,4,0)</f>
        <v>45992</v>
      </c>
      <c r="H24" t="str">
        <f>+VLOOKUP(A24,'Modelo Datos'!C:AJ,5,0)</f>
        <v>SALUD COLECTIVO</v>
      </c>
      <c r="I24" t="str">
        <f>+VLOOKUP(A24,'Modelo Datos'!C:AJ,34,0)</f>
        <v>Salud Colectivo</v>
      </c>
      <c r="J24" t="str">
        <f>+VLOOKUP(A24,'Modelo Datos'!C:AJ,32,0)</f>
        <v>Seguros Personales (No Vida) Colectivos</v>
      </c>
      <c r="K24" t="s">
        <v>193</v>
      </c>
      <c r="L24" t="str">
        <f>+VLOOKUP(A24,'Modelo Datos'!C:V,20,0)</f>
        <v>SANITAS, S.A. DE SEGUROS</v>
      </c>
    </row>
    <row r="25" spans="1:12">
      <c r="A25" s="35" t="s">
        <v>202</v>
      </c>
      <c r="B25">
        <v>553.87</v>
      </c>
      <c r="C25">
        <v>22.48</v>
      </c>
      <c r="D25">
        <v>22.48</v>
      </c>
      <c r="E25" s="46">
        <f>+VLOOKUP(A25,'Modelo Datos'!C:AJ,4,0)</f>
        <v>45992</v>
      </c>
      <c r="H25" t="str">
        <f>+VLOOKUP(A25,'Modelo Datos'!C:AJ,5,0)</f>
        <v>SALUD COLECTIVO</v>
      </c>
      <c r="I25" t="str">
        <f>+VLOOKUP(A25,'Modelo Datos'!C:AJ,34,0)</f>
        <v>Salud Colectivo</v>
      </c>
      <c r="J25" t="str">
        <f>+VLOOKUP(A25,'Modelo Datos'!C:AJ,32,0)</f>
        <v>Seguros Personales (No Vida) Colectivos</v>
      </c>
      <c r="K25" t="s">
        <v>193</v>
      </c>
      <c r="L25" t="str">
        <f>+VLOOKUP(A25,'Modelo Datos'!C:V,20,0)</f>
        <v>SANITAS, S.A. DE SEGUROS</v>
      </c>
    </row>
    <row r="26" spans="1:12">
      <c r="A26" s="35" t="s">
        <v>203</v>
      </c>
      <c r="B26">
        <v>931.7</v>
      </c>
      <c r="C26">
        <v>37.24</v>
      </c>
      <c r="D26">
        <v>37.24</v>
      </c>
      <c r="E26" s="46">
        <f>+VLOOKUP(A26,'Modelo Datos'!C:AJ,4,0)</f>
        <v>45992</v>
      </c>
      <c r="H26" t="str">
        <f>+VLOOKUP(A26,'Modelo Datos'!C:AJ,5,0)</f>
        <v>SALUD COLECTIVO</v>
      </c>
      <c r="I26" t="str">
        <f>+VLOOKUP(A26,'Modelo Datos'!C:AJ,34,0)</f>
        <v>Salud Colectivo</v>
      </c>
      <c r="J26" t="str">
        <f>+VLOOKUP(A26,'Modelo Datos'!C:AJ,32,0)</f>
        <v>Seguros Personales (No Vida) Colectivos</v>
      </c>
      <c r="K26" t="s">
        <v>193</v>
      </c>
      <c r="L26" t="str">
        <f>+VLOOKUP(A26,'Modelo Datos'!C:V,20,0)</f>
        <v>SANITAS, S.A. DE SEGUROS</v>
      </c>
    </row>
    <row r="27" spans="1:12">
      <c r="A27" s="35" t="s">
        <v>204</v>
      </c>
      <c r="B27">
        <v>1264.45</v>
      </c>
      <c r="C27">
        <v>51.21</v>
      </c>
      <c r="D27">
        <v>51.21</v>
      </c>
      <c r="E27" s="46">
        <f>+VLOOKUP(A27,'Modelo Datos'!C:AJ,4,0)</f>
        <v>45992</v>
      </c>
      <c r="H27" t="str">
        <f>+VLOOKUP(A27,'Modelo Datos'!C:AJ,5,0)</f>
        <v>SALUD COLECTIVO</v>
      </c>
      <c r="I27" t="str">
        <f>+VLOOKUP(A27,'Modelo Datos'!C:AJ,34,0)</f>
        <v>Salud Colectivo</v>
      </c>
      <c r="J27" t="str">
        <f>+VLOOKUP(A27,'Modelo Datos'!C:AJ,32,0)</f>
        <v>Seguros Personales (No Vida) Colectivos</v>
      </c>
      <c r="K27" t="s">
        <v>193</v>
      </c>
      <c r="L27" t="str">
        <f>+VLOOKUP(A27,'Modelo Datos'!C:V,20,0)</f>
        <v>SANITAS, S.A. DE SEGUROS</v>
      </c>
    </row>
    <row r="28" spans="1:12">
      <c r="A28" s="35" t="s">
        <v>205</v>
      </c>
      <c r="B28">
        <v>133.1</v>
      </c>
      <c r="C28">
        <v>5.32</v>
      </c>
      <c r="D28">
        <v>5.32</v>
      </c>
      <c r="E28" s="46">
        <f>+VLOOKUP(A28,'Modelo Datos'!C:AJ,4,0)</f>
        <v>45992</v>
      </c>
      <c r="H28" t="str">
        <f>+VLOOKUP(A28,'Modelo Datos'!C:AJ,5,0)</f>
        <v>SALUD COLECTIVO</v>
      </c>
      <c r="I28" t="str">
        <f>+VLOOKUP(A28,'Modelo Datos'!C:AJ,34,0)</f>
        <v>Salud Colectivo</v>
      </c>
      <c r="J28" t="str">
        <f>+VLOOKUP(A28,'Modelo Datos'!C:AJ,32,0)</f>
        <v>Seguros Personales (No Vida) Colectivos</v>
      </c>
      <c r="K28" t="s">
        <v>193</v>
      </c>
      <c r="L28" t="str">
        <f>+VLOOKUP(A28,'Modelo Datos'!C:V,20,0)</f>
        <v>SANITAS, S.A. DE SEGUROS</v>
      </c>
    </row>
    <row r="29" spans="1:12">
      <c r="A29" s="35" t="s">
        <v>206</v>
      </c>
      <c r="B29">
        <v>374.64000000000004</v>
      </c>
      <c r="C29">
        <v>14.650000000000002</v>
      </c>
      <c r="D29">
        <v>14.650000000000002</v>
      </c>
      <c r="E29" s="46">
        <f>+VLOOKUP(A29,'Modelo Datos'!C:AJ,4,0)</f>
        <v>45992</v>
      </c>
      <c r="H29" t="str">
        <f>+VLOOKUP(A29,'Modelo Datos'!C:AJ,5,0)</f>
        <v>SALUD COLECTIVO</v>
      </c>
      <c r="I29" t="str">
        <f>+VLOOKUP(A29,'Modelo Datos'!C:AJ,34,0)</f>
        <v>Salud Colectivo</v>
      </c>
      <c r="J29" t="str">
        <f>+VLOOKUP(A29,'Modelo Datos'!C:AJ,32,0)</f>
        <v>Seguros Personales (No Vida) Colectivos</v>
      </c>
      <c r="K29" t="s">
        <v>193</v>
      </c>
      <c r="L29" t="str">
        <f>+VLOOKUP(A29,'Modelo Datos'!C:V,20,0)</f>
        <v>SANITAS, S.A. DE SEGUROS</v>
      </c>
    </row>
    <row r="30" spans="1:12">
      <c r="A30" s="35" t="s">
        <v>207</v>
      </c>
      <c r="B30">
        <v>106.27</v>
      </c>
      <c r="C30">
        <v>4.25</v>
      </c>
      <c r="D30">
        <v>4.25</v>
      </c>
      <c r="E30" s="46">
        <f>+VLOOKUP(A30,'Modelo Datos'!C:AJ,4,0)</f>
        <v>45992</v>
      </c>
      <c r="H30" t="str">
        <f>+VLOOKUP(A30,'Modelo Datos'!C:AJ,5,0)</f>
        <v>SALUD COLECTIVO</v>
      </c>
      <c r="I30" t="str">
        <f>+VLOOKUP(A30,'Modelo Datos'!C:AJ,34,0)</f>
        <v>Salud Colectivo</v>
      </c>
      <c r="J30" t="str">
        <f>+VLOOKUP(A30,'Modelo Datos'!C:AJ,32,0)</f>
        <v>Seguros Personales (No Vida) Colectivos</v>
      </c>
      <c r="K30" t="s">
        <v>193</v>
      </c>
      <c r="L30" t="str">
        <f>+VLOOKUP(A30,'Modelo Datos'!C:V,20,0)</f>
        <v>SANITAS, S.A. DE SEGUROS</v>
      </c>
    </row>
    <row r="31" spans="1:12">
      <c r="A31" s="35" t="s">
        <v>208</v>
      </c>
      <c r="B31">
        <v>13975.25</v>
      </c>
      <c r="C31">
        <v>1397.52</v>
      </c>
      <c r="D31">
        <v>1397.52</v>
      </c>
      <c r="E31" s="46">
        <f>+VLOOKUP(A31,'Modelo Datos'!C:AJ,4,0)</f>
        <v>45680</v>
      </c>
      <c r="H31" t="str">
        <f>+VLOOKUP(A31,'Modelo Datos'!C:AJ,5,0)</f>
        <v>MERCANCIAS</v>
      </c>
      <c r="I31" t="str">
        <f>+VLOOKUP(A31,'Modelo Datos'!C:AJ,34,0)</f>
        <v>Transportes Mercancías</v>
      </c>
      <c r="J31" t="str">
        <f>+VLOOKUP(A31,'Modelo Datos'!C:AJ,32,0)</f>
        <v>Transporte</v>
      </c>
      <c r="K31" t="s">
        <v>209</v>
      </c>
      <c r="L31" t="str">
        <f>+VLOOKUP(A31,'Modelo Datos'!C:V,20,0)</f>
        <v>INTACT INSURANCE (EUROPE) SA SUCURSAL EN ESPAÑA</v>
      </c>
    </row>
    <row r="32" spans="1:12">
      <c r="A32" s="35" t="s">
        <v>210</v>
      </c>
      <c r="B32">
        <v>68371.08</v>
      </c>
      <c r="C32">
        <v>6837.1200000000008</v>
      </c>
      <c r="D32">
        <v>6837.1200000000008</v>
      </c>
      <c r="E32" s="46">
        <f>+VLOOKUP(A32,'Modelo Datos'!C:AJ,4,0)</f>
        <v>45929</v>
      </c>
      <c r="H32" t="str">
        <f>+VLOOKUP(A32,'Modelo Datos'!C:AJ,5,0)</f>
        <v>MERCANCIAS</v>
      </c>
      <c r="I32" t="str">
        <f>+VLOOKUP(A32,'Modelo Datos'!C:AJ,34,0)</f>
        <v>Transportes Mercancías</v>
      </c>
      <c r="J32" t="str">
        <f>+VLOOKUP(A32,'Modelo Datos'!C:AJ,32,0)</f>
        <v>Transporte</v>
      </c>
      <c r="K32" t="s">
        <v>211</v>
      </c>
      <c r="L32" t="str">
        <f>+VLOOKUP(A32,'Modelo Datos'!C:V,20,0)</f>
        <v>RSA LUXEMBURGO, S.A. SUC. EN ESPAÑA</v>
      </c>
    </row>
    <row r="33" spans="1:12">
      <c r="A33" s="35" t="s">
        <v>212</v>
      </c>
      <c r="B33">
        <v>3552.89</v>
      </c>
      <c r="C33">
        <v>355.28000000000003</v>
      </c>
      <c r="D33">
        <v>355.28000000000003</v>
      </c>
      <c r="E33" s="46">
        <f>+VLOOKUP(A33,'Modelo Datos'!C:AJ,4,0)</f>
        <v>45683</v>
      </c>
      <c r="H33" t="str">
        <f>+VLOOKUP(A33,'Modelo Datos'!C:AJ,5,0)</f>
        <v>MERCANCIAS</v>
      </c>
      <c r="I33" t="str">
        <f>+VLOOKUP(A33,'Modelo Datos'!C:AJ,34,0)</f>
        <v>Transportes Mercancías</v>
      </c>
      <c r="J33" t="str">
        <f>+VLOOKUP(A33,'Modelo Datos'!C:AJ,32,0)</f>
        <v>Transporte</v>
      </c>
      <c r="K33" t="s">
        <v>209</v>
      </c>
      <c r="L33" t="str">
        <f>+VLOOKUP(A33,'Modelo Datos'!C:V,20,0)</f>
        <v>INTACT INSURANCE (EUROPE) SA SUCURSAL EN ESPAÑA</v>
      </c>
    </row>
    <row r="34" spans="1:12">
      <c r="A34" s="35" t="s">
        <v>213</v>
      </c>
      <c r="B34">
        <v>3729.8</v>
      </c>
      <c r="C34">
        <v>372.98</v>
      </c>
      <c r="D34">
        <v>372.98</v>
      </c>
      <c r="E34" s="46">
        <f>+VLOOKUP(A34,'Modelo Datos'!C:AJ,4,0)</f>
        <v>45716</v>
      </c>
      <c r="H34" t="str">
        <f>+VLOOKUP(A34,'Modelo Datos'!C:AJ,5,0)</f>
        <v>MERCANCIAS</v>
      </c>
      <c r="I34" t="str">
        <f>+VLOOKUP(A34,'Modelo Datos'!C:AJ,34,0)</f>
        <v>Transportes Mercancías</v>
      </c>
      <c r="J34" t="str">
        <f>+VLOOKUP(A34,'Modelo Datos'!C:AJ,32,0)</f>
        <v>Transporte</v>
      </c>
      <c r="K34" t="s">
        <v>209</v>
      </c>
      <c r="L34" t="str">
        <f>+VLOOKUP(A34,'Modelo Datos'!C:V,20,0)</f>
        <v>INTACT INSURANCE (EUROPE) SA SUCURSAL EN ESPAÑA</v>
      </c>
    </row>
    <row r="35" spans="1:12">
      <c r="A35" s="35" t="s">
        <v>214</v>
      </c>
      <c r="B35">
        <v>16864.489999999998</v>
      </c>
      <c r="C35">
        <v>1686.4499999999998</v>
      </c>
      <c r="D35">
        <v>1686.4499999999998</v>
      </c>
      <c r="E35" s="46">
        <f>+VLOOKUP(A35,'Modelo Datos'!C:AJ,4,0)</f>
        <v>45662</v>
      </c>
      <c r="H35" t="str">
        <f>+VLOOKUP(A35,'Modelo Datos'!C:AJ,5,0)</f>
        <v>MERCANCIAS</v>
      </c>
      <c r="I35" t="str">
        <f>+VLOOKUP(A35,'Modelo Datos'!C:AJ,34,0)</f>
        <v>Transportes Mercancías</v>
      </c>
      <c r="J35" t="str">
        <f>+VLOOKUP(A35,'Modelo Datos'!C:AJ,32,0)</f>
        <v>Transporte</v>
      </c>
      <c r="K35" t="s">
        <v>209</v>
      </c>
      <c r="L35" t="str">
        <f>+VLOOKUP(A35,'Modelo Datos'!C:V,20,0)</f>
        <v>INTACT INSURANCE (EUROPE) SA SUCURSAL EN ESPAÑA</v>
      </c>
    </row>
    <row r="36" spans="1:12">
      <c r="A36" s="35" t="s">
        <v>215</v>
      </c>
      <c r="B36">
        <v>61231.08</v>
      </c>
      <c r="C36">
        <v>6123.1299999999992</v>
      </c>
      <c r="D36">
        <v>6123.1299999999992</v>
      </c>
      <c r="E36" s="46">
        <f>+VLOOKUP(A36,'Modelo Datos'!C:AJ,4,0)</f>
        <v>45989</v>
      </c>
      <c r="H36" t="str">
        <f>+VLOOKUP(A36,'Modelo Datos'!C:AJ,5,0)</f>
        <v>MERCANCIAS</v>
      </c>
      <c r="I36" t="str">
        <f>+VLOOKUP(A36,'Modelo Datos'!C:AJ,34,0)</f>
        <v>Transportes Mercancías</v>
      </c>
      <c r="J36" t="str">
        <f>+VLOOKUP(A36,'Modelo Datos'!C:AJ,32,0)</f>
        <v>Transporte</v>
      </c>
      <c r="K36" t="s">
        <v>211</v>
      </c>
      <c r="L36" t="str">
        <f>+VLOOKUP(A36,'Modelo Datos'!C:V,20,0)</f>
        <v>RSA LUXEMBURGO, S.A. SUC. EN ESPAÑA</v>
      </c>
    </row>
    <row r="37" spans="1:12">
      <c r="A37" s="35" t="s">
        <v>216</v>
      </c>
      <c r="B37">
        <v>11166.480000000001</v>
      </c>
      <c r="C37">
        <v>1116.6500000000001</v>
      </c>
      <c r="D37">
        <v>1116.6500000000001</v>
      </c>
      <c r="E37" s="46">
        <f>+VLOOKUP(A37,'Modelo Datos'!C:AJ,4,0)</f>
        <v>46004</v>
      </c>
      <c r="H37" t="str">
        <f>+VLOOKUP(A37,'Modelo Datos'!C:AJ,5,0)</f>
        <v>MERCANCIAS</v>
      </c>
      <c r="I37" t="str">
        <f>+VLOOKUP(A37,'Modelo Datos'!C:AJ,34,0)</f>
        <v>Transportes Mercancías</v>
      </c>
      <c r="J37" t="str">
        <f>+VLOOKUP(A37,'Modelo Datos'!C:AJ,32,0)</f>
        <v>Transporte</v>
      </c>
      <c r="K37" t="s">
        <v>211</v>
      </c>
      <c r="L37" t="str">
        <f>+VLOOKUP(A37,'Modelo Datos'!C:V,20,0)</f>
        <v>RSA LUXEMBURGO, S.A. SUC. EN ESPAÑA</v>
      </c>
    </row>
    <row r="38" spans="1:12">
      <c r="A38" s="35" t="s">
        <v>217</v>
      </c>
      <c r="B38">
        <v>56879.98</v>
      </c>
      <c r="C38">
        <v>5688.0000000000009</v>
      </c>
      <c r="D38">
        <v>5688.0000000000009</v>
      </c>
      <c r="E38" s="46">
        <f>+VLOOKUP(A38,'Modelo Datos'!C:AJ,4,0)</f>
        <v>45951</v>
      </c>
      <c r="H38" t="str">
        <f>+VLOOKUP(A38,'Modelo Datos'!C:AJ,5,0)</f>
        <v>MERCANCIAS</v>
      </c>
      <c r="I38" t="str">
        <f>+VLOOKUP(A38,'Modelo Datos'!C:AJ,34,0)</f>
        <v>Transportes Mercancías</v>
      </c>
      <c r="J38" t="str">
        <f>+VLOOKUP(A38,'Modelo Datos'!C:AJ,32,0)</f>
        <v>Transporte</v>
      </c>
      <c r="K38" t="s">
        <v>211</v>
      </c>
      <c r="L38" t="str">
        <f>+VLOOKUP(A38,'Modelo Datos'!C:V,20,0)</f>
        <v>RSA LUXEMBURGO, S.A. SUC. EN ESPAÑA</v>
      </c>
    </row>
    <row r="39" spans="1:12">
      <c r="A39" s="35" t="s">
        <v>218</v>
      </c>
      <c r="B39">
        <v>287153.66000000003</v>
      </c>
      <c r="C39">
        <v>26781.440000000002</v>
      </c>
      <c r="D39">
        <v>26781.440000000002</v>
      </c>
      <c r="E39" s="46" t="e">
        <f>+VLOOKUP(A39,'Modelo Datos'!C:AJ,4,0)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0D49-8D65-45C4-BF76-8C6A07DD4334}">
  <dimension ref="A1:AJ827"/>
  <sheetViews>
    <sheetView tabSelected="1" workbookViewId="0">
      <pane ySplit="1" topLeftCell="A31" activePane="bottomLeft" state="frozen"/>
      <selection pane="bottomLeft" activeCell="I2" sqref="I2:K58"/>
    </sheetView>
  </sheetViews>
  <sheetFormatPr defaultColWidth="10.85546875" defaultRowHeight="15"/>
  <cols>
    <col min="1" max="6" width="16" style="15" customWidth="1"/>
    <col min="7" max="7" width="31.42578125" style="15" customWidth="1"/>
    <col min="8" max="23" width="16" style="15" customWidth="1"/>
    <col min="24" max="24" width="18.42578125" style="15" customWidth="1"/>
    <col min="25" max="25" width="16.7109375" style="15" customWidth="1"/>
    <col min="26" max="27" width="16" style="15" customWidth="1"/>
    <col min="28" max="28" width="16.42578125" style="15" customWidth="1"/>
    <col min="29" max="33" width="16" style="15" customWidth="1"/>
    <col min="34" max="34" width="36.5703125" style="75" bestFit="1" customWidth="1"/>
    <col min="35" max="35" width="21.28515625" style="75" customWidth="1"/>
    <col min="36" max="36" width="34.28515625" style="75" customWidth="1"/>
    <col min="37" max="16384" width="10.85546875" style="75"/>
  </cols>
  <sheetData>
    <row r="1" spans="1:36" customFormat="1">
      <c r="A1" s="69" t="s">
        <v>20</v>
      </c>
      <c r="B1" s="70" t="s">
        <v>219</v>
      </c>
      <c r="C1" s="69" t="s">
        <v>24</v>
      </c>
      <c r="D1" s="70" t="s">
        <v>26</v>
      </c>
      <c r="E1" s="69" t="s">
        <v>28</v>
      </c>
      <c r="F1" s="69" t="s">
        <v>30</v>
      </c>
      <c r="G1" s="69" t="s">
        <v>32</v>
      </c>
      <c r="H1" s="69" t="s">
        <v>34</v>
      </c>
      <c r="I1" s="69" t="s">
        <v>36</v>
      </c>
      <c r="J1" s="69" t="s">
        <v>220</v>
      </c>
      <c r="K1" s="69" t="s">
        <v>40</v>
      </c>
      <c r="L1" s="69" t="s">
        <v>42</v>
      </c>
      <c r="M1" s="69" t="s">
        <v>44</v>
      </c>
      <c r="N1" s="70" t="s">
        <v>47</v>
      </c>
      <c r="O1" s="70" t="s">
        <v>48</v>
      </c>
      <c r="P1" s="69" t="s">
        <v>49</v>
      </c>
      <c r="Q1" s="70" t="s">
        <v>51</v>
      </c>
      <c r="R1" s="70" t="s">
        <v>52</v>
      </c>
      <c r="S1" s="70" t="s">
        <v>53</v>
      </c>
      <c r="T1" s="69" t="s">
        <v>55</v>
      </c>
      <c r="U1" s="69" t="s">
        <v>57</v>
      </c>
      <c r="V1" s="69" t="s">
        <v>59</v>
      </c>
      <c r="W1" s="69" t="s">
        <v>61</v>
      </c>
      <c r="X1" s="70" t="s">
        <v>63</v>
      </c>
      <c r="Y1" s="71" t="s">
        <v>65</v>
      </c>
      <c r="Z1" s="71" t="s">
        <v>67</v>
      </c>
      <c r="AA1" s="71" t="s">
        <v>69</v>
      </c>
      <c r="AB1" s="71" t="s">
        <v>70</v>
      </c>
      <c r="AC1" s="69" t="s">
        <v>71</v>
      </c>
      <c r="AD1" s="72" t="s">
        <v>72</v>
      </c>
      <c r="AE1" s="72" t="s">
        <v>74</v>
      </c>
      <c r="AF1" s="72" t="s">
        <v>76</v>
      </c>
      <c r="AG1" s="72" t="s">
        <v>78</v>
      </c>
      <c r="AH1" s="73" t="s">
        <v>221</v>
      </c>
      <c r="AI1" s="74" t="s">
        <v>222</v>
      </c>
      <c r="AJ1" t="s">
        <v>223</v>
      </c>
    </row>
    <row r="2" spans="1:36">
      <c r="A2" t="s">
        <v>224</v>
      </c>
      <c r="B2" t="s">
        <v>225</v>
      </c>
      <c r="C2" t="s">
        <v>183</v>
      </c>
      <c r="D2" s="75"/>
      <c r="E2" s="46">
        <v>46024</v>
      </c>
      <c r="F2" s="46">
        <v>46023</v>
      </c>
      <c r="G2" t="s">
        <v>156</v>
      </c>
      <c r="H2" t="s">
        <v>226</v>
      </c>
      <c r="I2">
        <v>3444.73</v>
      </c>
      <c r="J2">
        <v>344.48</v>
      </c>
      <c r="K2">
        <v>344.48</v>
      </c>
      <c r="U2" s="15" t="s">
        <v>94</v>
      </c>
      <c r="V2" t="s">
        <v>227</v>
      </c>
      <c r="W2" t="s">
        <v>228</v>
      </c>
      <c r="Y2" t="s">
        <v>229</v>
      </c>
      <c r="AA2" s="46"/>
      <c r="AB2" s="46"/>
      <c r="AC2" s="46"/>
      <c r="AE2" t="s">
        <v>230</v>
      </c>
      <c r="AG2" s="75"/>
      <c r="AH2" s="75" t="str">
        <f>+VLOOKUP(G2,'Mapeo de Ramos'!B:E,4,0)</f>
        <v>Vida Riesgo Particular</v>
      </c>
      <c r="AJ2" s="75" t="str">
        <f>+VLOOKUP(G2,'Mapeo de Ramos'!B:D,3,0)</f>
        <v>Vida Riesgo Particular</v>
      </c>
    </row>
    <row r="3" spans="1:36">
      <c r="A3" t="s">
        <v>231</v>
      </c>
      <c r="B3" t="s">
        <v>232</v>
      </c>
      <c r="C3" t="s">
        <v>177</v>
      </c>
      <c r="D3" s="75"/>
      <c r="E3" s="46">
        <v>46024</v>
      </c>
      <c r="F3" s="46">
        <v>46037</v>
      </c>
      <c r="G3" t="s">
        <v>118</v>
      </c>
      <c r="H3" t="s">
        <v>114</v>
      </c>
      <c r="I3">
        <v>5520.21</v>
      </c>
      <c r="J3">
        <v>552.02</v>
      </c>
      <c r="K3">
        <v>552.02</v>
      </c>
      <c r="U3" s="15" t="s">
        <v>94</v>
      </c>
      <c r="V3" t="s">
        <v>233</v>
      </c>
      <c r="W3" t="s">
        <v>234</v>
      </c>
      <c r="X3" s="75"/>
      <c r="Y3" t="s">
        <v>235</v>
      </c>
      <c r="AA3" s="46">
        <v>46034</v>
      </c>
      <c r="AB3" s="46"/>
      <c r="AC3" s="46"/>
      <c r="AE3" t="s">
        <v>236</v>
      </c>
      <c r="AG3" s="75"/>
      <c r="AH3" s="75" t="str">
        <f>+VLOOKUP(G3,'Mapeo de Ramos'!B:E,4,0)</f>
        <v>Seguros Personales (No Vida) Colectivos</v>
      </c>
      <c r="AJ3" s="75" t="str">
        <f>+VLOOKUP(G3,'Mapeo de Ramos'!B:D,3,0)</f>
        <v>Accidentes Convenio</v>
      </c>
    </row>
    <row r="4" spans="1:36">
      <c r="A4" t="s">
        <v>237</v>
      </c>
      <c r="B4" t="s">
        <v>238</v>
      </c>
      <c r="C4" t="s">
        <v>186</v>
      </c>
      <c r="D4" s="75"/>
      <c r="E4" s="46">
        <v>46024</v>
      </c>
      <c r="F4" s="46">
        <v>46023</v>
      </c>
      <c r="G4" t="s">
        <v>124</v>
      </c>
      <c r="H4" t="s">
        <v>239</v>
      </c>
      <c r="I4">
        <v>607.47</v>
      </c>
      <c r="J4">
        <v>25.82</v>
      </c>
      <c r="K4">
        <v>25.82</v>
      </c>
      <c r="U4" s="15" t="s">
        <v>94</v>
      </c>
      <c r="V4" t="s">
        <v>240</v>
      </c>
      <c r="W4" t="s">
        <v>228</v>
      </c>
      <c r="X4" s="75"/>
      <c r="Y4" t="s">
        <v>235</v>
      </c>
      <c r="AA4" s="46">
        <v>46057</v>
      </c>
      <c r="AB4" s="46"/>
      <c r="AC4" s="46"/>
      <c r="AE4" t="s">
        <v>241</v>
      </c>
      <c r="AG4" s="75"/>
      <c r="AH4" s="75" t="str">
        <f>+VLOOKUP(G4,'Mapeo de Ramos'!B:E,4,0)</f>
        <v>Seguros Personales (No Vida) Particular</v>
      </c>
      <c r="AJ4" s="75" t="str">
        <f>+VLOOKUP(G4,'Mapeo de Ramos'!B:D,3,0)</f>
        <v>Salud Particular</v>
      </c>
    </row>
    <row r="5" spans="1:36">
      <c r="A5" t="s">
        <v>242</v>
      </c>
      <c r="B5" t="s">
        <v>243</v>
      </c>
      <c r="C5" t="s">
        <v>181</v>
      </c>
      <c r="D5" s="75"/>
      <c r="E5" s="46">
        <v>46024</v>
      </c>
      <c r="F5" s="46">
        <v>46023</v>
      </c>
      <c r="G5" t="s">
        <v>160</v>
      </c>
      <c r="H5" t="s">
        <v>102</v>
      </c>
      <c r="I5">
        <v>826.82</v>
      </c>
      <c r="J5">
        <v>57.88</v>
      </c>
      <c r="K5">
        <v>57.88</v>
      </c>
      <c r="U5" s="15" t="s">
        <v>94</v>
      </c>
      <c r="V5" t="s">
        <v>244</v>
      </c>
      <c r="W5" t="s">
        <v>228</v>
      </c>
      <c r="X5" s="75"/>
      <c r="Y5" t="s">
        <v>245</v>
      </c>
      <c r="AA5" s="46">
        <v>46021</v>
      </c>
      <c r="AB5" s="46"/>
      <c r="AC5" s="46"/>
      <c r="AE5" t="s">
        <v>246</v>
      </c>
      <c r="AG5" s="75"/>
      <c r="AH5" s="75" t="str">
        <f>+VLOOKUP(G5,'Mapeo de Ramos'!B:E,4,0)</f>
        <v>Autos</v>
      </c>
      <c r="AJ5" s="75" t="str">
        <f>+VLOOKUP(G5,'Mapeo de Ramos'!B:D,3,0)</f>
        <v>Autos Cat. 1</v>
      </c>
    </row>
    <row r="6" spans="1:36">
      <c r="A6" t="s">
        <v>247</v>
      </c>
      <c r="B6" t="s">
        <v>248</v>
      </c>
      <c r="C6" t="s">
        <v>190</v>
      </c>
      <c r="D6" s="75"/>
      <c r="E6" s="46">
        <v>46029</v>
      </c>
      <c r="F6" s="46">
        <v>46012</v>
      </c>
      <c r="G6" t="s">
        <v>150</v>
      </c>
      <c r="H6" t="s">
        <v>128</v>
      </c>
      <c r="I6">
        <v>1143.8</v>
      </c>
      <c r="J6">
        <v>114.38</v>
      </c>
      <c r="K6">
        <v>114.38</v>
      </c>
      <c r="U6" s="15" t="s">
        <v>94</v>
      </c>
      <c r="V6" t="s">
        <v>249</v>
      </c>
      <c r="W6" t="s">
        <v>250</v>
      </c>
      <c r="X6" s="75"/>
      <c r="Y6" t="s">
        <v>229</v>
      </c>
      <c r="AA6" s="46"/>
      <c r="AB6" s="46"/>
      <c r="AC6" s="46"/>
      <c r="AE6" t="s">
        <v>251</v>
      </c>
      <c r="AG6" s="75"/>
      <c r="AH6" s="75" t="str">
        <f>+VLOOKUP(G6,'Mapeo de Ramos'!B:E,4,0)</f>
        <v>Transporte</v>
      </c>
      <c r="AJ6" s="75" t="str">
        <f>+VLOOKUP(G6,'Mapeo de Ramos'!B:D,3,0)</f>
        <v>Transportes Mercancías</v>
      </c>
    </row>
    <row r="7" spans="1:36">
      <c r="A7" t="s">
        <v>252</v>
      </c>
      <c r="B7" t="s">
        <v>253</v>
      </c>
      <c r="C7" t="s">
        <v>192</v>
      </c>
      <c r="D7" s="75"/>
      <c r="E7" s="46">
        <v>46029</v>
      </c>
      <c r="F7" s="46">
        <v>45992</v>
      </c>
      <c r="G7" t="s">
        <v>158</v>
      </c>
      <c r="H7" t="s">
        <v>239</v>
      </c>
      <c r="I7">
        <v>1796.85</v>
      </c>
      <c r="J7">
        <v>73.5</v>
      </c>
      <c r="K7">
        <v>73.5</v>
      </c>
      <c r="U7" s="15" t="s">
        <v>94</v>
      </c>
      <c r="V7" t="s">
        <v>254</v>
      </c>
      <c r="W7" t="s">
        <v>228</v>
      </c>
      <c r="X7" s="75"/>
      <c r="Y7" t="s">
        <v>235</v>
      </c>
      <c r="AA7" s="46">
        <v>46029</v>
      </c>
      <c r="AB7" s="46"/>
      <c r="AC7" s="46"/>
      <c r="AE7" t="s">
        <v>255</v>
      </c>
      <c r="AG7" s="75"/>
      <c r="AH7" s="75" t="str">
        <f>+VLOOKUP(G7,'Mapeo de Ramos'!B:E,4,0)</f>
        <v>Seguros Personales (No Vida) Colectivos</v>
      </c>
      <c r="AJ7" s="75" t="str">
        <f>+VLOOKUP(G7,'Mapeo de Ramos'!B:D,3,0)</f>
        <v>Salud Colectivo</v>
      </c>
    </row>
    <row r="8" spans="1:36">
      <c r="A8" t="s">
        <v>252</v>
      </c>
      <c r="B8" t="s">
        <v>256</v>
      </c>
      <c r="C8" t="s">
        <v>194</v>
      </c>
      <c r="D8" s="75"/>
      <c r="E8" s="46">
        <v>46029</v>
      </c>
      <c r="F8" s="46">
        <v>45992</v>
      </c>
      <c r="G8" t="s">
        <v>158</v>
      </c>
      <c r="H8" t="s">
        <v>239</v>
      </c>
      <c r="I8">
        <v>798.6</v>
      </c>
      <c r="J8">
        <v>31.92</v>
      </c>
      <c r="K8">
        <v>31.92</v>
      </c>
      <c r="U8" s="15" t="s">
        <v>94</v>
      </c>
      <c r="V8" t="s">
        <v>254</v>
      </c>
      <c r="W8" t="s">
        <v>228</v>
      </c>
      <c r="X8" s="75"/>
      <c r="Y8" t="s">
        <v>235</v>
      </c>
      <c r="AA8" s="46">
        <v>46029</v>
      </c>
      <c r="AB8" s="46"/>
      <c r="AC8" s="46"/>
      <c r="AE8" t="s">
        <v>251</v>
      </c>
      <c r="AG8" s="75"/>
      <c r="AH8" s="75" t="str">
        <f>+VLOOKUP(G8,'Mapeo de Ramos'!B:E,4,0)</f>
        <v>Seguros Personales (No Vida) Colectivos</v>
      </c>
      <c r="AJ8" s="75" t="str">
        <f>+VLOOKUP(G8,'Mapeo de Ramos'!B:D,3,0)</f>
        <v>Salud Colectivo</v>
      </c>
    </row>
    <row r="9" spans="1:36">
      <c r="A9" t="s">
        <v>252</v>
      </c>
      <c r="B9" t="s">
        <v>257</v>
      </c>
      <c r="C9" t="s">
        <v>195</v>
      </c>
      <c r="D9" s="75"/>
      <c r="E9" s="46">
        <v>46029</v>
      </c>
      <c r="F9" s="46">
        <v>45992</v>
      </c>
      <c r="G9" t="s">
        <v>158</v>
      </c>
      <c r="H9" t="s">
        <v>239</v>
      </c>
      <c r="I9">
        <v>132.05000000000001</v>
      </c>
      <c r="J9">
        <v>5.28</v>
      </c>
      <c r="K9">
        <v>5.28</v>
      </c>
      <c r="U9" s="15" t="s">
        <v>94</v>
      </c>
      <c r="V9" t="s">
        <v>254</v>
      </c>
      <c r="W9" t="s">
        <v>228</v>
      </c>
      <c r="X9" s="75"/>
      <c r="Y9" t="s">
        <v>235</v>
      </c>
      <c r="AA9" s="46">
        <v>46029</v>
      </c>
      <c r="AB9" s="46"/>
      <c r="AC9" s="46"/>
      <c r="AE9" t="s">
        <v>251</v>
      </c>
      <c r="AG9" s="75"/>
      <c r="AH9" s="75" t="str">
        <f>+VLOOKUP(G9,'Mapeo de Ramos'!B:E,4,0)</f>
        <v>Seguros Personales (No Vida) Colectivos</v>
      </c>
      <c r="AJ9" s="75" t="str">
        <f>+VLOOKUP(G9,'Mapeo de Ramos'!B:D,3,0)</f>
        <v>Salud Colectivo</v>
      </c>
    </row>
    <row r="10" spans="1:36">
      <c r="A10" t="s">
        <v>252</v>
      </c>
      <c r="B10" t="s">
        <v>258</v>
      </c>
      <c r="C10" t="s">
        <v>196</v>
      </c>
      <c r="D10" s="75"/>
      <c r="E10" s="46">
        <v>46029</v>
      </c>
      <c r="F10" s="46">
        <v>45992</v>
      </c>
      <c r="G10" t="s">
        <v>158</v>
      </c>
      <c r="H10" t="s">
        <v>239</v>
      </c>
      <c r="I10">
        <v>265.5</v>
      </c>
      <c r="J10">
        <v>10.94</v>
      </c>
      <c r="K10">
        <v>10.94</v>
      </c>
      <c r="U10" s="15" t="s">
        <v>94</v>
      </c>
      <c r="V10" t="s">
        <v>254</v>
      </c>
      <c r="W10" t="s">
        <v>228</v>
      </c>
      <c r="X10" s="75"/>
      <c r="Y10" t="s">
        <v>235</v>
      </c>
      <c r="AA10" s="46">
        <v>46029</v>
      </c>
      <c r="AB10" s="46"/>
      <c r="AC10" s="46"/>
      <c r="AE10" t="s">
        <v>255</v>
      </c>
      <c r="AG10" s="75"/>
      <c r="AH10" s="75" t="str">
        <f>+VLOOKUP(G10,'Mapeo de Ramos'!B:E,4,0)</f>
        <v>Seguros Personales (No Vida) Colectivos</v>
      </c>
      <c r="AJ10" s="75" t="str">
        <f>+VLOOKUP(G10,'Mapeo de Ramos'!B:D,3,0)</f>
        <v>Salud Colectivo</v>
      </c>
    </row>
    <row r="11" spans="1:36">
      <c r="A11" t="s">
        <v>252</v>
      </c>
      <c r="B11" t="s">
        <v>259</v>
      </c>
      <c r="C11" t="s">
        <v>197</v>
      </c>
      <c r="D11" s="75"/>
      <c r="E11" s="46">
        <v>46029</v>
      </c>
      <c r="F11" s="46">
        <v>45992</v>
      </c>
      <c r="G11" t="s">
        <v>158</v>
      </c>
      <c r="H11" t="s">
        <v>239</v>
      </c>
      <c r="I11">
        <v>1397.55</v>
      </c>
      <c r="J11">
        <v>57.2</v>
      </c>
      <c r="K11">
        <v>57.2</v>
      </c>
      <c r="U11" s="15" t="s">
        <v>94</v>
      </c>
      <c r="V11" t="s">
        <v>254</v>
      </c>
      <c r="W11" t="s">
        <v>228</v>
      </c>
      <c r="X11" s="75"/>
      <c r="Y11" t="s">
        <v>235</v>
      </c>
      <c r="AA11" s="46">
        <v>46029</v>
      </c>
      <c r="AB11" s="46"/>
      <c r="AC11" s="46"/>
      <c r="AE11" t="s">
        <v>236</v>
      </c>
      <c r="AG11" s="75"/>
      <c r="AH11" s="75" t="str">
        <f>+VLOOKUP(G11,'Mapeo de Ramos'!B:E,4,0)</f>
        <v>Seguros Personales (No Vida) Colectivos</v>
      </c>
      <c r="AJ11" s="75" t="str">
        <f>+VLOOKUP(G11,'Mapeo de Ramos'!B:D,3,0)</f>
        <v>Salud Colectivo</v>
      </c>
    </row>
    <row r="12" spans="1:36">
      <c r="A12" t="s">
        <v>252</v>
      </c>
      <c r="B12" t="s">
        <v>260</v>
      </c>
      <c r="C12" t="s">
        <v>198</v>
      </c>
      <c r="D12" s="75"/>
      <c r="E12" s="46">
        <v>46029</v>
      </c>
      <c r="F12" s="46">
        <v>45992</v>
      </c>
      <c r="G12" t="s">
        <v>158</v>
      </c>
      <c r="H12" t="s">
        <v>239</v>
      </c>
      <c r="I12">
        <v>199.65</v>
      </c>
      <c r="J12">
        <v>7.98</v>
      </c>
      <c r="K12">
        <v>7.98</v>
      </c>
      <c r="U12" s="15" t="s">
        <v>94</v>
      </c>
      <c r="V12" t="s">
        <v>254</v>
      </c>
      <c r="W12" t="s">
        <v>228</v>
      </c>
      <c r="X12" s="75"/>
      <c r="Y12" t="s">
        <v>235</v>
      </c>
      <c r="AA12" s="46">
        <v>46029</v>
      </c>
      <c r="AB12" s="46"/>
      <c r="AC12" s="46"/>
      <c r="AE12" t="s">
        <v>261</v>
      </c>
      <c r="AG12" s="75"/>
      <c r="AH12" s="75" t="str">
        <f>+VLOOKUP(G12,'Mapeo de Ramos'!B:E,4,0)</f>
        <v>Seguros Personales (No Vida) Colectivos</v>
      </c>
      <c r="AJ12" s="75" t="str">
        <f>+VLOOKUP(G12,'Mapeo de Ramos'!B:D,3,0)</f>
        <v>Salud Colectivo</v>
      </c>
    </row>
    <row r="13" spans="1:36">
      <c r="A13" t="s">
        <v>252</v>
      </c>
      <c r="B13" t="s">
        <v>262</v>
      </c>
      <c r="C13" t="s">
        <v>199</v>
      </c>
      <c r="D13" s="75"/>
      <c r="E13" s="46">
        <v>46029</v>
      </c>
      <c r="F13" s="46">
        <v>45992</v>
      </c>
      <c r="G13" t="s">
        <v>158</v>
      </c>
      <c r="H13" t="s">
        <v>239</v>
      </c>
      <c r="I13">
        <v>66.55</v>
      </c>
      <c r="J13">
        <v>3</v>
      </c>
      <c r="K13">
        <v>3</v>
      </c>
      <c r="U13" s="15" t="s">
        <v>94</v>
      </c>
      <c r="V13" t="s">
        <v>254</v>
      </c>
      <c r="W13" t="s">
        <v>228</v>
      </c>
      <c r="X13" s="75"/>
      <c r="Y13" t="s">
        <v>235</v>
      </c>
      <c r="AA13" s="46">
        <v>46029</v>
      </c>
      <c r="AB13" s="46"/>
      <c r="AC13" s="46"/>
      <c r="AE13" t="s">
        <v>263</v>
      </c>
      <c r="AG13" s="75"/>
      <c r="AH13" s="75" t="str">
        <f>+VLOOKUP(G13,'Mapeo de Ramos'!B:E,4,0)</f>
        <v>Seguros Personales (No Vida) Colectivos</v>
      </c>
      <c r="AJ13" s="75" t="str">
        <f>+VLOOKUP(G13,'Mapeo de Ramos'!B:D,3,0)</f>
        <v>Salud Colectivo</v>
      </c>
    </row>
    <row r="14" spans="1:36">
      <c r="A14" t="s">
        <v>252</v>
      </c>
      <c r="B14" t="s">
        <v>264</v>
      </c>
      <c r="C14" t="s">
        <v>200</v>
      </c>
      <c r="D14" s="75"/>
      <c r="E14" s="46">
        <v>46029</v>
      </c>
      <c r="F14" s="46">
        <v>45992</v>
      </c>
      <c r="G14" t="s">
        <v>121</v>
      </c>
      <c r="H14" t="s">
        <v>239</v>
      </c>
      <c r="I14">
        <v>318.81</v>
      </c>
      <c r="J14">
        <v>12.75</v>
      </c>
      <c r="K14">
        <v>12.75</v>
      </c>
      <c r="U14" s="15" t="s">
        <v>94</v>
      </c>
      <c r="V14" t="s">
        <v>254</v>
      </c>
      <c r="W14" t="s">
        <v>228</v>
      </c>
      <c r="X14" s="75"/>
      <c r="Y14" t="s">
        <v>235</v>
      </c>
      <c r="AA14" s="46">
        <v>46029</v>
      </c>
      <c r="AB14" s="46"/>
      <c r="AC14" s="46"/>
      <c r="AE14" t="s">
        <v>265</v>
      </c>
      <c r="AG14" s="75"/>
      <c r="AH14" s="75" t="str">
        <f>+VLOOKUP(G14,'Mapeo de Ramos'!B:E,4,0)</f>
        <v>Seguros Personales (No Vida) Colectivos</v>
      </c>
      <c r="AJ14" s="75" t="str">
        <f>+VLOOKUP(G14,'Mapeo de Ramos'!B:D,3,0)</f>
        <v>Salud Colectivo</v>
      </c>
    </row>
    <row r="15" spans="1:36">
      <c r="A15" t="s">
        <v>252</v>
      </c>
      <c r="B15" t="s">
        <v>266</v>
      </c>
      <c r="C15" t="s">
        <v>201</v>
      </c>
      <c r="D15" s="75"/>
      <c r="E15" s="46">
        <v>46029</v>
      </c>
      <c r="F15" s="46">
        <v>45992</v>
      </c>
      <c r="G15" t="s">
        <v>158</v>
      </c>
      <c r="H15" t="s">
        <v>239</v>
      </c>
      <c r="I15">
        <v>266.2</v>
      </c>
      <c r="J15">
        <v>10.64</v>
      </c>
      <c r="K15">
        <v>10.64</v>
      </c>
      <c r="U15" s="15" t="s">
        <v>94</v>
      </c>
      <c r="V15" t="s">
        <v>254</v>
      </c>
      <c r="W15" t="s">
        <v>228</v>
      </c>
      <c r="X15" s="75"/>
      <c r="Y15" t="s">
        <v>235</v>
      </c>
      <c r="AA15" s="46">
        <v>46029</v>
      </c>
      <c r="AB15" s="46"/>
      <c r="AC15" s="46"/>
      <c r="AE15" t="s">
        <v>267</v>
      </c>
      <c r="AG15" s="75"/>
      <c r="AH15" s="75" t="str">
        <f>+VLOOKUP(G15,'Mapeo de Ramos'!B:E,4,0)</f>
        <v>Seguros Personales (No Vida) Colectivos</v>
      </c>
      <c r="AJ15" s="75" t="str">
        <f>+VLOOKUP(G15,'Mapeo de Ramos'!B:D,3,0)</f>
        <v>Salud Colectivo</v>
      </c>
    </row>
    <row r="16" spans="1:36">
      <c r="A16" t="s">
        <v>252</v>
      </c>
      <c r="B16" t="s">
        <v>268</v>
      </c>
      <c r="C16" t="s">
        <v>202</v>
      </c>
      <c r="D16" s="75"/>
      <c r="E16" s="46">
        <v>46029</v>
      </c>
      <c r="F16" s="46">
        <v>45992</v>
      </c>
      <c r="G16" t="s">
        <v>158</v>
      </c>
      <c r="H16" t="s">
        <v>239</v>
      </c>
      <c r="I16">
        <v>553.87</v>
      </c>
      <c r="J16">
        <v>22.48</v>
      </c>
      <c r="K16">
        <v>22.48</v>
      </c>
      <c r="U16" s="15" t="s">
        <v>94</v>
      </c>
      <c r="V16" t="s">
        <v>254</v>
      </c>
      <c r="W16" t="s">
        <v>228</v>
      </c>
      <c r="X16" s="75"/>
      <c r="Y16" t="s">
        <v>235</v>
      </c>
      <c r="AA16" s="46">
        <v>46029</v>
      </c>
      <c r="AB16" s="46"/>
      <c r="AC16" s="46"/>
      <c r="AE16" t="s">
        <v>269</v>
      </c>
      <c r="AG16" s="75"/>
      <c r="AH16" s="75" t="str">
        <f>+VLOOKUP(G16,'Mapeo de Ramos'!B:E,4,0)</f>
        <v>Seguros Personales (No Vida) Colectivos</v>
      </c>
      <c r="AJ16" s="75" t="str">
        <f>+VLOOKUP(G16,'Mapeo de Ramos'!B:D,3,0)</f>
        <v>Salud Colectivo</v>
      </c>
    </row>
    <row r="17" spans="1:36">
      <c r="A17" t="s">
        <v>252</v>
      </c>
      <c r="B17" t="s">
        <v>270</v>
      </c>
      <c r="C17" t="s">
        <v>203</v>
      </c>
      <c r="D17" s="75"/>
      <c r="E17" s="46">
        <v>46029</v>
      </c>
      <c r="F17" s="46">
        <v>45992</v>
      </c>
      <c r="G17" t="s">
        <v>158</v>
      </c>
      <c r="H17" t="s">
        <v>239</v>
      </c>
      <c r="I17">
        <v>931.7</v>
      </c>
      <c r="J17">
        <v>37.24</v>
      </c>
      <c r="K17">
        <v>37.24</v>
      </c>
      <c r="U17" s="15" t="s">
        <v>94</v>
      </c>
      <c r="V17" t="s">
        <v>254</v>
      </c>
      <c r="W17" t="s">
        <v>228</v>
      </c>
      <c r="X17" s="75"/>
      <c r="Y17" t="s">
        <v>235</v>
      </c>
      <c r="AA17" s="46">
        <v>46029</v>
      </c>
      <c r="AB17" s="46"/>
      <c r="AC17" s="46"/>
      <c r="AE17" t="s">
        <v>246</v>
      </c>
      <c r="AG17" s="75"/>
      <c r="AH17" s="75" t="str">
        <f>+VLOOKUP(G17,'Mapeo de Ramos'!B:E,4,0)</f>
        <v>Seguros Personales (No Vida) Colectivos</v>
      </c>
      <c r="AJ17" s="75" t="str">
        <f>+VLOOKUP(G17,'Mapeo de Ramos'!B:D,3,0)</f>
        <v>Salud Colectivo</v>
      </c>
    </row>
    <row r="18" spans="1:36">
      <c r="A18" t="s">
        <v>252</v>
      </c>
      <c r="B18" t="s">
        <v>271</v>
      </c>
      <c r="C18" t="s">
        <v>204</v>
      </c>
      <c r="D18" s="75"/>
      <c r="E18" s="46">
        <v>46029</v>
      </c>
      <c r="F18" s="46">
        <v>45992</v>
      </c>
      <c r="G18" t="s">
        <v>158</v>
      </c>
      <c r="H18" t="s">
        <v>239</v>
      </c>
      <c r="I18">
        <v>1264.45</v>
      </c>
      <c r="J18">
        <v>51.21</v>
      </c>
      <c r="K18">
        <v>51.21</v>
      </c>
      <c r="U18" s="15" t="s">
        <v>94</v>
      </c>
      <c r="V18" t="s">
        <v>254</v>
      </c>
      <c r="W18" t="s">
        <v>228</v>
      </c>
      <c r="X18" s="75"/>
      <c r="Y18" t="s">
        <v>235</v>
      </c>
      <c r="AA18" s="46">
        <v>46029</v>
      </c>
      <c r="AB18" s="46"/>
      <c r="AC18" s="46"/>
      <c r="AE18" t="s">
        <v>265</v>
      </c>
      <c r="AG18" s="75"/>
      <c r="AH18" s="75" t="str">
        <f>+VLOOKUP(G18,'Mapeo de Ramos'!B:E,4,0)</f>
        <v>Seguros Personales (No Vida) Colectivos</v>
      </c>
      <c r="AJ18" s="75" t="str">
        <f>+VLOOKUP(G18,'Mapeo de Ramos'!B:D,3,0)</f>
        <v>Salud Colectivo</v>
      </c>
    </row>
    <row r="19" spans="1:36">
      <c r="A19" t="s">
        <v>252</v>
      </c>
      <c r="B19" t="s">
        <v>272</v>
      </c>
      <c r="C19" t="s">
        <v>205</v>
      </c>
      <c r="D19" s="75"/>
      <c r="E19" s="46">
        <v>46029</v>
      </c>
      <c r="F19" s="46">
        <v>45992</v>
      </c>
      <c r="G19" t="s">
        <v>158</v>
      </c>
      <c r="H19" t="s">
        <v>239</v>
      </c>
      <c r="I19">
        <v>133.1</v>
      </c>
      <c r="J19">
        <v>5.32</v>
      </c>
      <c r="K19">
        <v>5.32</v>
      </c>
      <c r="U19" s="15" t="s">
        <v>94</v>
      </c>
      <c r="V19" t="s">
        <v>254</v>
      </c>
      <c r="W19" t="s">
        <v>228</v>
      </c>
      <c r="X19" s="75"/>
      <c r="Y19" t="s">
        <v>235</v>
      </c>
      <c r="AA19" s="46">
        <v>46029</v>
      </c>
      <c r="AB19" s="46"/>
      <c r="AC19" s="46"/>
      <c r="AE19" t="s">
        <v>230</v>
      </c>
      <c r="AG19" s="75"/>
      <c r="AH19" s="75" t="str">
        <f>+VLOOKUP(G19,'Mapeo de Ramos'!B:E,4,0)</f>
        <v>Seguros Personales (No Vida) Colectivos</v>
      </c>
      <c r="AJ19" s="75" t="str">
        <f>+VLOOKUP(G19,'Mapeo de Ramos'!B:D,3,0)</f>
        <v>Salud Colectivo</v>
      </c>
    </row>
    <row r="20" spans="1:36">
      <c r="A20" t="s">
        <v>252</v>
      </c>
      <c r="B20" t="s">
        <v>273</v>
      </c>
      <c r="C20" t="s">
        <v>206</v>
      </c>
      <c r="D20" s="75"/>
      <c r="E20" s="46">
        <v>46029</v>
      </c>
      <c r="F20" s="46">
        <v>45992</v>
      </c>
      <c r="G20" t="s">
        <v>158</v>
      </c>
      <c r="H20" t="s">
        <v>239</v>
      </c>
      <c r="I20">
        <v>773.94</v>
      </c>
      <c r="J20">
        <v>31.28</v>
      </c>
      <c r="K20">
        <v>31.28</v>
      </c>
      <c r="U20" s="15" t="s">
        <v>94</v>
      </c>
      <c r="V20" t="s">
        <v>254</v>
      </c>
      <c r="W20" t="s">
        <v>228</v>
      </c>
      <c r="X20" s="75"/>
      <c r="Y20" t="s">
        <v>235</v>
      </c>
      <c r="AA20" s="46">
        <v>46029</v>
      </c>
      <c r="AB20" s="46"/>
      <c r="AC20" s="46"/>
      <c r="AE20" t="s">
        <v>255</v>
      </c>
      <c r="AG20" s="75"/>
      <c r="AH20" s="75" t="str">
        <f>+VLOOKUP(G20,'Mapeo de Ramos'!B:E,4,0)</f>
        <v>Seguros Personales (No Vida) Colectivos</v>
      </c>
      <c r="AJ20" s="75" t="str">
        <f>+VLOOKUP(G20,'Mapeo de Ramos'!B:D,3,0)</f>
        <v>Salud Colectivo</v>
      </c>
    </row>
    <row r="21" spans="1:36">
      <c r="A21" t="s">
        <v>252</v>
      </c>
      <c r="B21" t="s">
        <v>274</v>
      </c>
      <c r="C21" t="s">
        <v>207</v>
      </c>
      <c r="D21" s="75"/>
      <c r="E21" s="46">
        <v>46029</v>
      </c>
      <c r="F21" s="46">
        <v>45992</v>
      </c>
      <c r="G21" t="s">
        <v>158</v>
      </c>
      <c r="H21" t="s">
        <v>239</v>
      </c>
      <c r="I21">
        <v>106.27</v>
      </c>
      <c r="J21">
        <v>4.25</v>
      </c>
      <c r="K21">
        <v>4.25</v>
      </c>
      <c r="U21" s="15" t="s">
        <v>94</v>
      </c>
      <c r="V21" t="s">
        <v>254</v>
      </c>
      <c r="W21" t="s">
        <v>228</v>
      </c>
      <c r="X21" s="75"/>
      <c r="Y21" t="s">
        <v>235</v>
      </c>
      <c r="AA21" s="46">
        <v>46029</v>
      </c>
      <c r="AB21" s="46"/>
      <c r="AC21" s="46"/>
      <c r="AE21" t="s">
        <v>267</v>
      </c>
      <c r="AG21" s="75"/>
      <c r="AH21" s="75" t="str">
        <f>+VLOOKUP(G21,'Mapeo de Ramos'!B:E,4,0)</f>
        <v>Seguros Personales (No Vida) Colectivos</v>
      </c>
      <c r="AJ21" s="75" t="str">
        <f>+VLOOKUP(G21,'Mapeo de Ramos'!B:D,3,0)</f>
        <v>Salud Colectivo</v>
      </c>
    </row>
    <row r="22" spans="1:36">
      <c r="A22" t="s">
        <v>275</v>
      </c>
      <c r="B22" t="s">
        <v>276</v>
      </c>
      <c r="C22" t="s">
        <v>215</v>
      </c>
      <c r="D22" s="75"/>
      <c r="E22" s="46">
        <v>46029</v>
      </c>
      <c r="F22" s="46">
        <v>45989</v>
      </c>
      <c r="G22" t="s">
        <v>136</v>
      </c>
      <c r="H22" t="s">
        <v>128</v>
      </c>
      <c r="I22">
        <v>12259.18</v>
      </c>
      <c r="J22">
        <v>1225.92</v>
      </c>
      <c r="K22">
        <v>1225.92</v>
      </c>
      <c r="U22" s="15" t="s">
        <v>94</v>
      </c>
      <c r="V22" t="s">
        <v>277</v>
      </c>
      <c r="W22" t="s">
        <v>250</v>
      </c>
      <c r="X22" s="75"/>
      <c r="Y22" t="s">
        <v>229</v>
      </c>
      <c r="AA22" s="46"/>
      <c r="AB22" s="46"/>
      <c r="AC22" s="46"/>
      <c r="AE22" t="s">
        <v>267</v>
      </c>
      <c r="AG22" s="75"/>
      <c r="AH22" s="75" t="str">
        <f>+VLOOKUP(G22,'Mapeo de Ramos'!B:E,4,0)</f>
        <v>Transporte</v>
      </c>
      <c r="AJ22" s="75" t="str">
        <f>+VLOOKUP(G22,'Mapeo de Ramos'!B:D,3,0)</f>
        <v>Transportes Mercancías</v>
      </c>
    </row>
    <row r="23" spans="1:36">
      <c r="A23" t="s">
        <v>278</v>
      </c>
      <c r="B23" t="s">
        <v>279</v>
      </c>
      <c r="C23" t="s">
        <v>179</v>
      </c>
      <c r="D23" s="75"/>
      <c r="E23" s="46">
        <v>46030</v>
      </c>
      <c r="F23" s="46">
        <v>46023</v>
      </c>
      <c r="G23" t="s">
        <v>99</v>
      </c>
      <c r="H23" t="s">
        <v>280</v>
      </c>
      <c r="I23">
        <v>1534.91</v>
      </c>
      <c r="J23">
        <v>115.12</v>
      </c>
      <c r="K23">
        <v>115.12</v>
      </c>
      <c r="U23" s="15" t="s">
        <v>94</v>
      </c>
      <c r="V23" t="s">
        <v>281</v>
      </c>
      <c r="W23" t="s">
        <v>228</v>
      </c>
      <c r="X23" s="75"/>
      <c r="Y23" t="s">
        <v>235</v>
      </c>
      <c r="AA23" s="46">
        <v>46030</v>
      </c>
      <c r="AB23" s="46"/>
      <c r="AC23" s="46"/>
      <c r="AE23" t="s">
        <v>269</v>
      </c>
      <c r="AG23" s="75"/>
      <c r="AH23" s="75" t="str">
        <f>+VLOOKUP(G23,'Mapeo de Ramos'!B:E,4,0)</f>
        <v>Vida Ahorro Particular</v>
      </c>
      <c r="AJ23" s="75" t="str">
        <f>+VLOOKUP(G23,'Mapeo de Ramos'!B:D,3,0)</f>
        <v>Vida Ahorro Particular</v>
      </c>
    </row>
    <row r="24" spans="1:36">
      <c r="A24" t="s">
        <v>282</v>
      </c>
      <c r="B24" t="s">
        <v>283</v>
      </c>
      <c r="C24" t="s">
        <v>189</v>
      </c>
      <c r="D24" s="75"/>
      <c r="E24" s="46">
        <v>46030</v>
      </c>
      <c r="F24" s="46">
        <v>46023</v>
      </c>
      <c r="G24" t="s">
        <v>124</v>
      </c>
      <c r="H24" t="s">
        <v>239</v>
      </c>
      <c r="I24">
        <v>13855.52</v>
      </c>
      <c r="J24">
        <v>346.4</v>
      </c>
      <c r="K24">
        <v>346.4</v>
      </c>
      <c r="U24" s="15" t="s">
        <v>94</v>
      </c>
      <c r="V24" t="s">
        <v>244</v>
      </c>
      <c r="W24" t="s">
        <v>228</v>
      </c>
      <c r="X24" s="75"/>
      <c r="Y24" t="s">
        <v>245</v>
      </c>
      <c r="AA24" s="46">
        <v>46057</v>
      </c>
      <c r="AB24" s="46"/>
      <c r="AC24" s="46"/>
      <c r="AE24" t="s">
        <v>255</v>
      </c>
      <c r="AG24" s="75"/>
      <c r="AH24" s="75" t="str">
        <f>+VLOOKUP(G24,'Mapeo de Ramos'!B:E,4,0)</f>
        <v>Seguros Personales (No Vida) Particular</v>
      </c>
      <c r="AJ24" s="75" t="str">
        <f>+VLOOKUP(G24,'Mapeo de Ramos'!B:D,3,0)</f>
        <v>Salud Particular</v>
      </c>
    </row>
    <row r="25" spans="1:36">
      <c r="A25" t="s">
        <v>284</v>
      </c>
      <c r="B25" t="s">
        <v>285</v>
      </c>
      <c r="C25" t="s">
        <v>210</v>
      </c>
      <c r="D25" s="75"/>
      <c r="E25" s="46">
        <v>46030</v>
      </c>
      <c r="F25" s="46">
        <v>45929</v>
      </c>
      <c r="G25" t="s">
        <v>136</v>
      </c>
      <c r="H25" t="s">
        <v>128</v>
      </c>
      <c r="I25">
        <v>87.37</v>
      </c>
      <c r="J25">
        <v>8.74</v>
      </c>
      <c r="K25">
        <v>8.74</v>
      </c>
      <c r="U25" s="15" t="s">
        <v>94</v>
      </c>
      <c r="V25" t="s">
        <v>277</v>
      </c>
      <c r="W25" t="s">
        <v>250</v>
      </c>
      <c r="X25" s="75"/>
      <c r="Y25" t="s">
        <v>229</v>
      </c>
      <c r="AA25" s="46"/>
      <c r="AB25" s="46"/>
      <c r="AC25" s="46"/>
      <c r="AE25" t="s">
        <v>251</v>
      </c>
      <c r="AG25" s="75"/>
      <c r="AH25" s="75" t="str">
        <f>+VLOOKUP(G25,'Mapeo de Ramos'!B:E,4,0)</f>
        <v>Transporte</v>
      </c>
      <c r="AJ25" s="75" t="str">
        <f>+VLOOKUP(G25,'Mapeo de Ramos'!B:D,3,0)</f>
        <v>Transportes Mercancías</v>
      </c>
    </row>
    <row r="26" spans="1:36">
      <c r="A26" t="s">
        <v>286</v>
      </c>
      <c r="B26" t="s">
        <v>287</v>
      </c>
      <c r="C26" t="s">
        <v>216</v>
      </c>
      <c r="D26" s="75"/>
      <c r="E26" s="46">
        <v>46030</v>
      </c>
      <c r="F26" s="46">
        <v>46004</v>
      </c>
      <c r="G26" t="s">
        <v>136</v>
      </c>
      <c r="H26" t="s">
        <v>128</v>
      </c>
      <c r="I26">
        <v>10842.12</v>
      </c>
      <c r="J26">
        <v>1084.21</v>
      </c>
      <c r="K26">
        <v>1084.21</v>
      </c>
      <c r="U26" s="15" t="s">
        <v>94</v>
      </c>
      <c r="V26" t="s">
        <v>277</v>
      </c>
      <c r="W26" t="s">
        <v>250</v>
      </c>
      <c r="X26" s="75"/>
      <c r="Y26" t="s">
        <v>229</v>
      </c>
      <c r="AA26" s="46"/>
      <c r="AB26" s="46"/>
      <c r="AC26" s="46"/>
      <c r="AE26" t="s">
        <v>288</v>
      </c>
      <c r="AG26" s="75"/>
      <c r="AH26" s="75" t="str">
        <f>+VLOOKUP(G26,'Mapeo de Ramos'!B:E,4,0)</f>
        <v>Transporte</v>
      </c>
      <c r="AJ26" s="75" t="str">
        <f>+VLOOKUP(G26,'Mapeo de Ramos'!B:D,3,0)</f>
        <v>Transportes Mercancías</v>
      </c>
    </row>
    <row r="27" spans="1:36">
      <c r="A27" t="s">
        <v>289</v>
      </c>
      <c r="B27" t="s">
        <v>290</v>
      </c>
      <c r="C27" t="s">
        <v>210</v>
      </c>
      <c r="D27" s="75"/>
      <c r="E27" s="46">
        <v>46031</v>
      </c>
      <c r="F27" s="46">
        <v>45951</v>
      </c>
      <c r="G27" t="s">
        <v>136</v>
      </c>
      <c r="H27" t="s">
        <v>128</v>
      </c>
      <c r="I27">
        <v>9341.94</v>
      </c>
      <c r="J27">
        <v>934.2</v>
      </c>
      <c r="K27">
        <v>934.2</v>
      </c>
      <c r="U27" s="15" t="s">
        <v>94</v>
      </c>
      <c r="V27" t="s">
        <v>277</v>
      </c>
      <c r="W27" t="s">
        <v>250</v>
      </c>
      <c r="X27" s="75"/>
      <c r="Y27" t="s">
        <v>229</v>
      </c>
      <c r="AA27" s="46"/>
      <c r="AB27" s="46"/>
      <c r="AC27" s="46"/>
      <c r="AE27" t="s">
        <v>251</v>
      </c>
      <c r="AG27" s="75"/>
      <c r="AH27" s="75" t="str">
        <f>+VLOOKUP(G27,'Mapeo de Ramos'!B:E,4,0)</f>
        <v>Transporte</v>
      </c>
      <c r="AJ27" s="75" t="str">
        <f>+VLOOKUP(G27,'Mapeo de Ramos'!B:D,3,0)</f>
        <v>Transportes Mercancías</v>
      </c>
    </row>
    <row r="28" spans="1:36">
      <c r="A28" t="s">
        <v>291</v>
      </c>
      <c r="B28" t="s">
        <v>292</v>
      </c>
      <c r="C28" t="s">
        <v>187</v>
      </c>
      <c r="D28" s="75"/>
      <c r="E28" s="46">
        <v>46031</v>
      </c>
      <c r="F28" s="46">
        <v>45992</v>
      </c>
      <c r="G28" t="s">
        <v>124</v>
      </c>
      <c r="H28" t="s">
        <v>239</v>
      </c>
      <c r="I28">
        <v>242.02</v>
      </c>
      <c r="J28">
        <v>12.1</v>
      </c>
      <c r="K28">
        <v>12.1</v>
      </c>
      <c r="U28" s="15" t="s">
        <v>94</v>
      </c>
      <c r="V28" t="s">
        <v>240</v>
      </c>
      <c r="W28" t="s">
        <v>228</v>
      </c>
      <c r="X28" s="75"/>
      <c r="Y28" t="s">
        <v>235</v>
      </c>
      <c r="AA28" s="46">
        <v>46031</v>
      </c>
      <c r="AB28" s="46"/>
      <c r="AC28" s="46"/>
      <c r="AE28" t="s">
        <v>241</v>
      </c>
      <c r="AG28" s="75"/>
      <c r="AH28" s="75" t="str">
        <f>+VLOOKUP(G28,'Mapeo de Ramos'!B:E,4,0)</f>
        <v>Seguros Personales (No Vida) Particular</v>
      </c>
      <c r="AJ28" s="75" t="str">
        <f>+VLOOKUP(G28,'Mapeo de Ramos'!B:D,3,0)</f>
        <v>Salud Particular</v>
      </c>
    </row>
    <row r="29" spans="1:36">
      <c r="A29" t="s">
        <v>293</v>
      </c>
      <c r="B29" t="s">
        <v>294</v>
      </c>
      <c r="C29" t="s">
        <v>188</v>
      </c>
      <c r="D29" s="75"/>
      <c r="E29" s="46">
        <v>46031</v>
      </c>
      <c r="F29" s="46">
        <v>45992</v>
      </c>
      <c r="G29" t="s">
        <v>124</v>
      </c>
      <c r="H29" t="s">
        <v>239</v>
      </c>
      <c r="I29">
        <v>308.14</v>
      </c>
      <c r="J29">
        <v>15.4</v>
      </c>
      <c r="K29">
        <v>15.4</v>
      </c>
      <c r="U29" s="15" t="s">
        <v>94</v>
      </c>
      <c r="V29" t="s">
        <v>240</v>
      </c>
      <c r="W29" t="s">
        <v>228</v>
      </c>
      <c r="X29" s="75"/>
      <c r="Y29" t="s">
        <v>235</v>
      </c>
      <c r="AA29" s="46">
        <v>46031</v>
      </c>
      <c r="AB29" s="46"/>
      <c r="AC29" s="46"/>
      <c r="AE29" t="s">
        <v>241</v>
      </c>
      <c r="AG29" s="75"/>
      <c r="AH29" s="75" t="str">
        <f>+VLOOKUP(G29,'Mapeo de Ramos'!B:E,4,0)</f>
        <v>Seguros Personales (No Vida) Particular</v>
      </c>
      <c r="AJ29" s="75" t="str">
        <f>+VLOOKUP(G29,'Mapeo de Ramos'!B:D,3,0)</f>
        <v>Salud Particular</v>
      </c>
    </row>
    <row r="30" spans="1:36">
      <c r="A30" t="s">
        <v>295</v>
      </c>
      <c r="B30" t="s">
        <v>296</v>
      </c>
      <c r="C30" t="s">
        <v>185</v>
      </c>
      <c r="D30" s="75"/>
      <c r="E30" s="46">
        <v>46031</v>
      </c>
      <c r="F30" s="46">
        <v>45992</v>
      </c>
      <c r="G30" t="s">
        <v>118</v>
      </c>
      <c r="H30" t="s">
        <v>114</v>
      </c>
      <c r="I30">
        <v>526.4</v>
      </c>
      <c r="J30">
        <v>24.76</v>
      </c>
      <c r="K30">
        <v>24.76</v>
      </c>
      <c r="U30" s="15" t="s">
        <v>94</v>
      </c>
      <c r="V30" t="s">
        <v>240</v>
      </c>
      <c r="W30" t="s">
        <v>228</v>
      </c>
      <c r="X30" s="75"/>
      <c r="Y30" t="s">
        <v>235</v>
      </c>
      <c r="AA30" s="46">
        <v>46031</v>
      </c>
      <c r="AB30" s="46"/>
      <c r="AC30" s="46"/>
      <c r="AE30" t="s">
        <v>241</v>
      </c>
      <c r="AG30" s="75"/>
      <c r="AH30" s="75" t="str">
        <f>+VLOOKUP(G30,'Mapeo de Ramos'!B:E,4,0)</f>
        <v>Seguros Personales (No Vida) Colectivos</v>
      </c>
      <c r="AJ30" s="75" t="str">
        <f>+VLOOKUP(G30,'Mapeo de Ramos'!B:D,3,0)</f>
        <v>Accidentes Convenio</v>
      </c>
    </row>
    <row r="31" spans="1:36">
      <c r="A31" t="s">
        <v>297</v>
      </c>
      <c r="B31" t="s">
        <v>298</v>
      </c>
      <c r="C31" t="s">
        <v>210</v>
      </c>
      <c r="D31" s="75"/>
      <c r="E31" s="46">
        <v>46031</v>
      </c>
      <c r="F31" s="46">
        <v>46001</v>
      </c>
      <c r="G31" t="s">
        <v>136</v>
      </c>
      <c r="H31" t="s">
        <v>128</v>
      </c>
      <c r="I31">
        <v>47102.55</v>
      </c>
      <c r="J31">
        <v>4710.26</v>
      </c>
      <c r="K31">
        <v>4710.26</v>
      </c>
      <c r="U31" s="15" t="s">
        <v>94</v>
      </c>
      <c r="V31" t="s">
        <v>277</v>
      </c>
      <c r="W31" t="s">
        <v>250</v>
      </c>
      <c r="X31" s="75"/>
      <c r="Y31" t="s">
        <v>229</v>
      </c>
      <c r="AA31" s="46"/>
      <c r="AB31" s="46"/>
      <c r="AC31" s="46"/>
      <c r="AE31" t="s">
        <v>251</v>
      </c>
      <c r="AG31" s="75"/>
      <c r="AH31" s="75" t="str">
        <f>+VLOOKUP(G31,'Mapeo de Ramos'!B:E,4,0)</f>
        <v>Transporte</v>
      </c>
      <c r="AJ31" s="75" t="str">
        <f>+VLOOKUP(G31,'Mapeo de Ramos'!B:D,3,0)</f>
        <v>Transportes Mercancías</v>
      </c>
    </row>
    <row r="32" spans="1:36">
      <c r="A32" t="s">
        <v>299</v>
      </c>
      <c r="B32" t="s">
        <v>300</v>
      </c>
      <c r="C32" t="s">
        <v>217</v>
      </c>
      <c r="D32" s="75"/>
      <c r="E32" s="46">
        <v>46031</v>
      </c>
      <c r="F32" s="46">
        <v>45951</v>
      </c>
      <c r="G32" t="s">
        <v>136</v>
      </c>
      <c r="H32" t="s">
        <v>128</v>
      </c>
      <c r="I32">
        <v>33471.120000000003</v>
      </c>
      <c r="J32">
        <v>3347.11</v>
      </c>
      <c r="K32">
        <v>3347.11</v>
      </c>
      <c r="U32" s="15" t="s">
        <v>94</v>
      </c>
      <c r="V32" t="s">
        <v>277</v>
      </c>
      <c r="W32" t="s">
        <v>250</v>
      </c>
      <c r="X32" s="75"/>
      <c r="Y32" t="s">
        <v>229</v>
      </c>
      <c r="AA32" s="46"/>
      <c r="AB32" s="46"/>
      <c r="AC32" s="46"/>
      <c r="AE32" t="s">
        <v>236</v>
      </c>
      <c r="AG32" s="75"/>
      <c r="AH32" s="75" t="str">
        <f>+VLOOKUP(G32,'Mapeo de Ramos'!B:E,4,0)</f>
        <v>Transporte</v>
      </c>
      <c r="AJ32" s="75" t="str">
        <f>+VLOOKUP(G32,'Mapeo de Ramos'!B:D,3,0)</f>
        <v>Transportes Mercancías</v>
      </c>
    </row>
    <row r="33" spans="1:36">
      <c r="A33" t="s">
        <v>301</v>
      </c>
      <c r="B33" t="s">
        <v>302</v>
      </c>
      <c r="C33" t="s">
        <v>215</v>
      </c>
      <c r="D33" s="75"/>
      <c r="E33" s="46">
        <v>46042</v>
      </c>
      <c r="F33" s="46">
        <v>45972</v>
      </c>
      <c r="G33" t="s">
        <v>136</v>
      </c>
      <c r="H33" t="s">
        <v>128</v>
      </c>
      <c r="I33">
        <v>7025.13</v>
      </c>
      <c r="J33">
        <v>702.52</v>
      </c>
      <c r="K33">
        <v>702.52</v>
      </c>
      <c r="U33" s="15" t="s">
        <v>94</v>
      </c>
      <c r="V33" t="s">
        <v>277</v>
      </c>
      <c r="W33" t="s">
        <v>250</v>
      </c>
      <c r="X33" s="75"/>
      <c r="Y33" t="s">
        <v>229</v>
      </c>
      <c r="AA33" s="46"/>
      <c r="AB33" s="46"/>
      <c r="AC33" s="46"/>
      <c r="AE33" t="s">
        <v>267</v>
      </c>
      <c r="AG33" s="75"/>
      <c r="AH33" s="75" t="str">
        <f>+VLOOKUP(G33,'Mapeo de Ramos'!B:E,4,0)</f>
        <v>Transporte</v>
      </c>
      <c r="AJ33" s="75" t="str">
        <f>+VLOOKUP(G33,'Mapeo de Ramos'!B:D,3,0)</f>
        <v>Transportes Mercancías</v>
      </c>
    </row>
    <row r="34" spans="1:36">
      <c r="A34" t="s">
        <v>303</v>
      </c>
      <c r="B34" t="s">
        <v>304</v>
      </c>
      <c r="C34" t="s">
        <v>210</v>
      </c>
      <c r="D34" s="75"/>
      <c r="E34" s="46">
        <v>46042</v>
      </c>
      <c r="F34" s="46">
        <v>45972</v>
      </c>
      <c r="G34" t="s">
        <v>136</v>
      </c>
      <c r="H34" t="s">
        <v>128</v>
      </c>
      <c r="I34">
        <v>916.37</v>
      </c>
      <c r="J34">
        <v>91.64</v>
      </c>
      <c r="K34">
        <v>91.64</v>
      </c>
      <c r="U34" s="15" t="s">
        <v>94</v>
      </c>
      <c r="V34" t="s">
        <v>277</v>
      </c>
      <c r="W34" t="s">
        <v>250</v>
      </c>
      <c r="X34" s="75"/>
      <c r="Y34" t="s">
        <v>229</v>
      </c>
      <c r="AA34" s="46"/>
      <c r="AB34" s="46"/>
      <c r="AC34" s="46"/>
      <c r="AE34" t="s">
        <v>251</v>
      </c>
      <c r="AG34" s="75"/>
      <c r="AH34" s="75" t="str">
        <f>+VLOOKUP(G34,'Mapeo de Ramos'!B:E,4,0)</f>
        <v>Transporte</v>
      </c>
      <c r="AJ34" s="75" t="str">
        <f>+VLOOKUP(G34,'Mapeo de Ramos'!B:D,3,0)</f>
        <v>Transportes Mercancías</v>
      </c>
    </row>
    <row r="35" spans="1:36">
      <c r="A35" t="s">
        <v>305</v>
      </c>
      <c r="B35" t="s">
        <v>306</v>
      </c>
      <c r="C35" t="s">
        <v>215</v>
      </c>
      <c r="D35" s="75"/>
      <c r="E35" s="46">
        <v>46043</v>
      </c>
      <c r="F35" s="46">
        <v>45929</v>
      </c>
      <c r="G35" t="s">
        <v>136</v>
      </c>
      <c r="H35" t="s">
        <v>128</v>
      </c>
      <c r="I35">
        <v>12712.99</v>
      </c>
      <c r="J35">
        <v>1271.3</v>
      </c>
      <c r="K35">
        <v>1271.3</v>
      </c>
      <c r="U35" s="15" t="s">
        <v>94</v>
      </c>
      <c r="V35" t="s">
        <v>277</v>
      </c>
      <c r="W35" t="s">
        <v>250</v>
      </c>
      <c r="X35" s="75"/>
      <c r="Y35" t="s">
        <v>229</v>
      </c>
      <c r="AA35" s="46"/>
      <c r="AB35" s="46"/>
      <c r="AC35" s="46"/>
      <c r="AE35" t="s">
        <v>267</v>
      </c>
      <c r="AG35" s="75"/>
      <c r="AH35" s="75" t="str">
        <f>+VLOOKUP(G35,'Mapeo de Ramos'!B:E,4,0)</f>
        <v>Transporte</v>
      </c>
      <c r="AJ35" s="75" t="str">
        <f>+VLOOKUP(G35,'Mapeo de Ramos'!B:D,3,0)</f>
        <v>Transportes Mercancías</v>
      </c>
    </row>
    <row r="36" spans="1:36">
      <c r="A36" t="s">
        <v>307</v>
      </c>
      <c r="B36" t="s">
        <v>308</v>
      </c>
      <c r="C36" t="s">
        <v>216</v>
      </c>
      <c r="D36" s="75"/>
      <c r="E36" s="46">
        <v>46043</v>
      </c>
      <c r="F36" s="46">
        <v>45994</v>
      </c>
      <c r="G36" t="s">
        <v>136</v>
      </c>
      <c r="H36" t="s">
        <v>128</v>
      </c>
      <c r="I36">
        <v>324.36</v>
      </c>
      <c r="J36">
        <v>32.44</v>
      </c>
      <c r="K36">
        <v>32.44</v>
      </c>
      <c r="U36" s="15" t="s">
        <v>94</v>
      </c>
      <c r="V36" t="s">
        <v>277</v>
      </c>
      <c r="W36" t="s">
        <v>250</v>
      </c>
      <c r="X36" s="75"/>
      <c r="Y36" t="s">
        <v>229</v>
      </c>
      <c r="AA36" s="46"/>
      <c r="AB36" s="46"/>
      <c r="AC36" s="46"/>
      <c r="AE36" t="s">
        <v>288</v>
      </c>
      <c r="AG36" s="75"/>
      <c r="AH36" s="75" t="str">
        <f>+VLOOKUP(G36,'Mapeo de Ramos'!B:E,4,0)</f>
        <v>Transporte</v>
      </c>
      <c r="AJ36" s="75" t="str">
        <f>+VLOOKUP(G36,'Mapeo de Ramos'!B:D,3,0)</f>
        <v>Transportes Mercancías</v>
      </c>
    </row>
    <row r="37" spans="1:36">
      <c r="A37" t="s">
        <v>309</v>
      </c>
      <c r="B37" t="s">
        <v>310</v>
      </c>
      <c r="C37" t="s">
        <v>187</v>
      </c>
      <c r="D37" s="75"/>
      <c r="E37" s="46">
        <v>46057</v>
      </c>
      <c r="F37" s="46">
        <v>46023</v>
      </c>
      <c r="G37" t="s">
        <v>124</v>
      </c>
      <c r="H37" t="s">
        <v>239</v>
      </c>
      <c r="I37">
        <v>253.2</v>
      </c>
      <c r="J37">
        <v>11.6</v>
      </c>
      <c r="K37">
        <v>11.6</v>
      </c>
      <c r="U37" s="15" t="s">
        <v>94</v>
      </c>
      <c r="V37" t="s">
        <v>240</v>
      </c>
      <c r="X37" s="75"/>
      <c r="Y37" t="s">
        <v>235</v>
      </c>
      <c r="AA37" s="46"/>
      <c r="AB37" s="46"/>
      <c r="AC37" s="46"/>
      <c r="AE37" t="s">
        <v>241</v>
      </c>
      <c r="AG37" s="75"/>
      <c r="AH37" s="75" t="str">
        <f>+VLOOKUP(G37,'Mapeo de Ramos'!B:E,4,0)</f>
        <v>Seguros Personales (No Vida) Particular</v>
      </c>
      <c r="AJ37" s="75" t="str">
        <f>+VLOOKUP(G37,'Mapeo de Ramos'!B:D,3,0)</f>
        <v>Salud Particular</v>
      </c>
    </row>
    <row r="38" spans="1:36">
      <c r="A38" t="s">
        <v>311</v>
      </c>
      <c r="B38" t="s">
        <v>312</v>
      </c>
      <c r="C38" t="s">
        <v>186</v>
      </c>
      <c r="D38" s="75"/>
      <c r="E38" s="46">
        <v>46055</v>
      </c>
      <c r="F38" s="46">
        <v>46054</v>
      </c>
      <c r="G38" t="s">
        <v>124</v>
      </c>
      <c r="H38" t="s">
        <v>239</v>
      </c>
      <c r="I38">
        <v>607.47</v>
      </c>
      <c r="J38">
        <v>25.82</v>
      </c>
      <c r="K38">
        <v>25.82</v>
      </c>
      <c r="U38" s="15" t="s">
        <v>94</v>
      </c>
      <c r="V38" t="s">
        <v>240</v>
      </c>
      <c r="X38" s="75"/>
      <c r="Y38" t="s">
        <v>235</v>
      </c>
      <c r="AA38" s="75"/>
      <c r="AB38" s="46"/>
      <c r="AC38" s="46"/>
      <c r="AE38" t="s">
        <v>241</v>
      </c>
      <c r="AG38" s="75"/>
      <c r="AH38" s="75" t="str">
        <f>+VLOOKUP(G38,'Mapeo de Ramos'!B:E,4,0)</f>
        <v>Seguros Personales (No Vida) Particular</v>
      </c>
      <c r="AJ38" s="75" t="str">
        <f>+VLOOKUP(G38,'Mapeo de Ramos'!B:D,3,0)</f>
        <v>Salud Particular</v>
      </c>
    </row>
    <row r="39" spans="1:36">
      <c r="A39" t="s">
        <v>313</v>
      </c>
      <c r="B39" t="s">
        <v>314</v>
      </c>
      <c r="C39" t="s">
        <v>188</v>
      </c>
      <c r="D39" s="75"/>
      <c r="E39" s="46">
        <v>46057</v>
      </c>
      <c r="F39" s="46">
        <v>46023</v>
      </c>
      <c r="G39" t="s">
        <v>124</v>
      </c>
      <c r="H39" t="s">
        <v>239</v>
      </c>
      <c r="I39">
        <v>308.14</v>
      </c>
      <c r="J39">
        <v>15.4</v>
      </c>
      <c r="K39">
        <v>15.4</v>
      </c>
      <c r="U39" s="15" t="s">
        <v>94</v>
      </c>
      <c r="V39" t="s">
        <v>240</v>
      </c>
      <c r="X39" s="75"/>
      <c r="Y39" t="s">
        <v>235</v>
      </c>
      <c r="AA39" s="75"/>
      <c r="AB39" s="46"/>
      <c r="AC39" s="46"/>
      <c r="AE39" t="s">
        <v>241</v>
      </c>
      <c r="AG39" s="75"/>
      <c r="AH39" s="75" t="str">
        <f>+VLOOKUP(G39,'Mapeo de Ramos'!B:E,4,0)</f>
        <v>Seguros Personales (No Vida) Particular</v>
      </c>
      <c r="AJ39" s="75" t="str">
        <f>+VLOOKUP(G39,'Mapeo de Ramos'!B:D,3,0)</f>
        <v>Salud Particular</v>
      </c>
    </row>
    <row r="40" spans="1:36">
      <c r="A40" t="s">
        <v>315</v>
      </c>
      <c r="B40" t="s">
        <v>316</v>
      </c>
      <c r="C40" t="s">
        <v>175</v>
      </c>
      <c r="D40" s="75"/>
      <c r="E40" s="46">
        <v>46062</v>
      </c>
      <c r="F40" s="46">
        <v>46112</v>
      </c>
      <c r="G40" t="s">
        <v>127</v>
      </c>
      <c r="H40" t="s">
        <v>128</v>
      </c>
      <c r="I40">
        <v>11978.06</v>
      </c>
      <c r="J40">
        <v>1048.08</v>
      </c>
      <c r="K40">
        <v>1048.08</v>
      </c>
      <c r="U40" s="15" t="s">
        <v>94</v>
      </c>
      <c r="V40" t="s">
        <v>233</v>
      </c>
      <c r="X40" s="75"/>
      <c r="Y40" t="s">
        <v>317</v>
      </c>
      <c r="AA40" s="75"/>
      <c r="AB40" s="46"/>
      <c r="AC40" s="46"/>
      <c r="AE40" t="s">
        <v>263</v>
      </c>
      <c r="AG40" s="75"/>
      <c r="AH40" s="75" t="str">
        <f>+VLOOKUP(G40,'Mapeo de Ramos'!B:E,4,0)</f>
        <v>Náutica</v>
      </c>
      <c r="AJ40" s="75" t="str">
        <f>+VLOOKUP(G40,'Mapeo de Ramos'!B:D,3,0)</f>
        <v>Embarcaciones</v>
      </c>
    </row>
    <row r="41" spans="1:36">
      <c r="A41" t="s">
        <v>318</v>
      </c>
      <c r="B41" t="s">
        <v>319</v>
      </c>
      <c r="C41" t="s">
        <v>178</v>
      </c>
      <c r="D41" s="75"/>
      <c r="E41" s="46">
        <v>46055</v>
      </c>
      <c r="F41" s="46">
        <v>46054</v>
      </c>
      <c r="G41" t="s">
        <v>144</v>
      </c>
      <c r="H41" t="s">
        <v>320</v>
      </c>
      <c r="I41">
        <v>219.59</v>
      </c>
      <c r="J41">
        <v>21.96</v>
      </c>
      <c r="K41">
        <v>21.96</v>
      </c>
      <c r="U41" s="15" t="s">
        <v>94</v>
      </c>
      <c r="V41" t="s">
        <v>233</v>
      </c>
      <c r="X41" s="75"/>
      <c r="Y41" t="s">
        <v>235</v>
      </c>
      <c r="AA41" s="75"/>
      <c r="AB41" s="46"/>
      <c r="AC41" s="46"/>
      <c r="AE41" t="s">
        <v>261</v>
      </c>
      <c r="AG41" s="75"/>
      <c r="AH41" s="75" t="str">
        <f>+VLOOKUP(G41,'Mapeo de Ramos'!B:E,4,0)</f>
        <v>Property</v>
      </c>
      <c r="AJ41" s="75" t="str">
        <f>+VLOOKUP(G41,'Mapeo de Ramos'!B:D,3,0)</f>
        <v>Multirriesgo Ofinas y Despachos</v>
      </c>
    </row>
    <row r="42" spans="1:36">
      <c r="A42" t="s">
        <v>321</v>
      </c>
      <c r="B42" t="s">
        <v>322</v>
      </c>
      <c r="C42" t="s">
        <v>190</v>
      </c>
      <c r="D42" s="75"/>
      <c r="E42" s="46">
        <v>46059</v>
      </c>
      <c r="F42" s="46">
        <v>46043</v>
      </c>
      <c r="G42" t="s">
        <v>150</v>
      </c>
      <c r="H42" t="s">
        <v>128</v>
      </c>
      <c r="I42">
        <v>1134.1400000000001</v>
      </c>
      <c r="J42">
        <v>113.42</v>
      </c>
      <c r="K42">
        <v>113.42</v>
      </c>
      <c r="U42" s="15" t="s">
        <v>94</v>
      </c>
      <c r="V42" t="s">
        <v>249</v>
      </c>
      <c r="X42" s="75"/>
      <c r="Y42" t="s">
        <v>229</v>
      </c>
      <c r="AA42" s="75"/>
      <c r="AB42" s="46"/>
      <c r="AC42" s="46"/>
      <c r="AE42" t="s">
        <v>251</v>
      </c>
      <c r="AG42" s="75"/>
      <c r="AH42" s="75" t="str">
        <f>+VLOOKUP(G42,'Mapeo de Ramos'!B:E,4,0)</f>
        <v>Transporte</v>
      </c>
      <c r="AJ42" s="75" t="str">
        <f>+VLOOKUP(G42,'Mapeo de Ramos'!B:D,3,0)</f>
        <v>Transportes Mercancías</v>
      </c>
    </row>
    <row r="43" spans="1:36">
      <c r="A43" t="s">
        <v>323</v>
      </c>
      <c r="B43" t="s">
        <v>324</v>
      </c>
      <c r="C43" t="s">
        <v>208</v>
      </c>
      <c r="D43" s="75"/>
      <c r="E43" s="46">
        <v>46057</v>
      </c>
      <c r="F43" s="46">
        <v>45680</v>
      </c>
      <c r="G43" t="s">
        <v>136</v>
      </c>
      <c r="H43" t="s">
        <v>128</v>
      </c>
      <c r="I43">
        <v>7463.87</v>
      </c>
      <c r="J43">
        <v>746.38</v>
      </c>
      <c r="K43">
        <v>746.38</v>
      </c>
      <c r="U43" s="15" t="s">
        <v>94</v>
      </c>
      <c r="V43" t="s">
        <v>325</v>
      </c>
      <c r="X43" s="75"/>
      <c r="Y43" t="s">
        <v>235</v>
      </c>
      <c r="AA43" s="75"/>
      <c r="AB43" s="46"/>
      <c r="AC43" s="46"/>
      <c r="AE43" t="s">
        <v>251</v>
      </c>
      <c r="AG43" s="75"/>
      <c r="AH43" s="75" t="str">
        <f>+VLOOKUP(G43,'Mapeo de Ramos'!B:E,4,0)</f>
        <v>Transporte</v>
      </c>
      <c r="AJ43" s="75" t="str">
        <f>+VLOOKUP(G43,'Mapeo de Ramos'!B:D,3,0)</f>
        <v>Transportes Mercancías</v>
      </c>
    </row>
    <row r="44" spans="1:36">
      <c r="A44" t="s">
        <v>326</v>
      </c>
      <c r="B44" t="s">
        <v>327</v>
      </c>
      <c r="C44" t="s">
        <v>208</v>
      </c>
      <c r="D44" s="75"/>
      <c r="E44" s="46">
        <v>46057</v>
      </c>
      <c r="F44" s="46">
        <v>45657</v>
      </c>
      <c r="G44" t="s">
        <v>136</v>
      </c>
      <c r="H44" t="s">
        <v>128</v>
      </c>
      <c r="I44">
        <v>847.37</v>
      </c>
      <c r="J44">
        <v>84.74</v>
      </c>
      <c r="K44">
        <v>84.74</v>
      </c>
      <c r="U44" s="15" t="s">
        <v>94</v>
      </c>
      <c r="V44" t="s">
        <v>325</v>
      </c>
      <c r="X44" s="75"/>
      <c r="Y44" t="s">
        <v>235</v>
      </c>
      <c r="AA44" s="75"/>
      <c r="AB44" s="46"/>
      <c r="AC44" s="46"/>
      <c r="AE44" t="s">
        <v>251</v>
      </c>
      <c r="AG44" s="75"/>
      <c r="AH44" s="75" t="str">
        <f>+VLOOKUP(G44,'Mapeo de Ramos'!B:E,4,0)</f>
        <v>Transporte</v>
      </c>
      <c r="AJ44" s="75" t="str">
        <f>+VLOOKUP(G44,'Mapeo de Ramos'!B:D,3,0)</f>
        <v>Transportes Mercancías</v>
      </c>
    </row>
    <row r="45" spans="1:36">
      <c r="A45" t="s">
        <v>328</v>
      </c>
      <c r="B45" t="s">
        <v>329</v>
      </c>
      <c r="C45" t="s">
        <v>213</v>
      </c>
      <c r="D45" s="75"/>
      <c r="E45" s="46">
        <v>46057</v>
      </c>
      <c r="F45" s="46">
        <v>45716</v>
      </c>
      <c r="G45" t="s">
        <v>136</v>
      </c>
      <c r="H45" t="s">
        <v>128</v>
      </c>
      <c r="I45">
        <v>3729.8</v>
      </c>
      <c r="J45">
        <v>372.98</v>
      </c>
      <c r="K45">
        <v>372.98</v>
      </c>
      <c r="U45" s="15" t="s">
        <v>94</v>
      </c>
      <c r="V45" t="s">
        <v>325</v>
      </c>
      <c r="Y45" t="s">
        <v>235</v>
      </c>
      <c r="Z45" s="46"/>
      <c r="AB45" s="46"/>
      <c r="AC45" s="46"/>
      <c r="AE45" t="s">
        <v>269</v>
      </c>
      <c r="AG45" s="75"/>
      <c r="AH45" s="75" t="str">
        <f>+VLOOKUP(G45,'Mapeo de Ramos'!B:E,4,0)</f>
        <v>Transporte</v>
      </c>
      <c r="AJ45" s="75" t="str">
        <f>+VLOOKUP(G45,'Mapeo de Ramos'!B:D,3,0)</f>
        <v>Transportes Mercancías</v>
      </c>
    </row>
    <row r="46" spans="1:36">
      <c r="A46" t="s">
        <v>330</v>
      </c>
      <c r="B46" t="s">
        <v>331</v>
      </c>
      <c r="C46" t="s">
        <v>217</v>
      </c>
      <c r="D46" s="75"/>
      <c r="E46" s="46">
        <v>46057</v>
      </c>
      <c r="F46" s="46">
        <v>45747</v>
      </c>
      <c r="G46" t="s">
        <v>136</v>
      </c>
      <c r="H46" t="s">
        <v>128</v>
      </c>
      <c r="I46">
        <v>13404.14</v>
      </c>
      <c r="J46">
        <v>1340.42</v>
      </c>
      <c r="K46">
        <v>1340.42</v>
      </c>
      <c r="U46" s="15" t="s">
        <v>94</v>
      </c>
      <c r="V46" t="s">
        <v>325</v>
      </c>
      <c r="Y46" t="s">
        <v>235</v>
      </c>
      <c r="Z46" s="46"/>
      <c r="AB46" s="46"/>
      <c r="AC46" s="46"/>
      <c r="AE46" t="s">
        <v>236</v>
      </c>
      <c r="AG46" s="75"/>
      <c r="AH46" s="75" t="str">
        <f>+VLOOKUP(G46,'Mapeo de Ramos'!B:E,4,0)</f>
        <v>Transporte</v>
      </c>
      <c r="AJ46" s="75" t="str">
        <f>+VLOOKUP(G46,'Mapeo de Ramos'!B:D,3,0)</f>
        <v>Transportes Mercancías</v>
      </c>
    </row>
    <row r="47" spans="1:36">
      <c r="A47" t="s">
        <v>332</v>
      </c>
      <c r="B47" t="s">
        <v>333</v>
      </c>
      <c r="C47" t="s">
        <v>210</v>
      </c>
      <c r="D47" s="75"/>
      <c r="E47" s="46">
        <v>46057</v>
      </c>
      <c r="F47" s="46">
        <v>45716</v>
      </c>
      <c r="G47" t="s">
        <v>136</v>
      </c>
      <c r="H47" t="s">
        <v>128</v>
      </c>
      <c r="I47">
        <v>10922.85</v>
      </c>
      <c r="J47">
        <v>1092.28</v>
      </c>
      <c r="K47">
        <v>1092.28</v>
      </c>
      <c r="U47" s="15" t="s">
        <v>94</v>
      </c>
      <c r="V47" t="s">
        <v>325</v>
      </c>
      <c r="Y47" t="s">
        <v>235</v>
      </c>
      <c r="Z47" s="46"/>
      <c r="AB47" s="46"/>
      <c r="AC47" s="46"/>
      <c r="AE47" t="s">
        <v>251</v>
      </c>
      <c r="AG47" s="75"/>
      <c r="AH47" s="75" t="str">
        <f>+VLOOKUP(G47,'Mapeo de Ramos'!B:E,4,0)</f>
        <v>Transporte</v>
      </c>
      <c r="AJ47" s="75" t="str">
        <f>+VLOOKUP(G47,'Mapeo de Ramos'!B:D,3,0)</f>
        <v>Transportes Mercancías</v>
      </c>
    </row>
    <row r="48" spans="1:36">
      <c r="A48" t="s">
        <v>334</v>
      </c>
      <c r="B48" t="s">
        <v>335</v>
      </c>
      <c r="C48" t="s">
        <v>212</v>
      </c>
      <c r="D48" s="75"/>
      <c r="E48" s="46">
        <v>46057</v>
      </c>
      <c r="F48" s="46">
        <v>45683</v>
      </c>
      <c r="G48" t="s">
        <v>136</v>
      </c>
      <c r="H48" t="s">
        <v>128</v>
      </c>
      <c r="I48">
        <v>715.66</v>
      </c>
      <c r="J48">
        <v>71.56</v>
      </c>
      <c r="K48">
        <v>71.56</v>
      </c>
      <c r="U48" s="15" t="s">
        <v>94</v>
      </c>
      <c r="V48" t="s">
        <v>325</v>
      </c>
      <c r="Y48" t="s">
        <v>235</v>
      </c>
      <c r="AB48" s="46"/>
      <c r="AC48" s="46"/>
      <c r="AE48" t="s">
        <v>246</v>
      </c>
      <c r="AG48" s="75"/>
      <c r="AH48" s="75" t="str">
        <f>+VLOOKUP(G48,'Mapeo de Ramos'!B:E,4,0)</f>
        <v>Transporte</v>
      </c>
      <c r="AJ48" s="75" t="str">
        <f>+VLOOKUP(G48,'Mapeo de Ramos'!B:D,3,0)</f>
        <v>Transportes Mercancías</v>
      </c>
    </row>
    <row r="49" spans="1:36">
      <c r="A49" t="s">
        <v>336</v>
      </c>
      <c r="B49" t="s">
        <v>337</v>
      </c>
      <c r="C49" t="s">
        <v>215</v>
      </c>
      <c r="D49" s="75"/>
      <c r="E49" s="46">
        <v>46057</v>
      </c>
      <c r="F49" s="46">
        <v>45715</v>
      </c>
      <c r="G49" t="s">
        <v>136</v>
      </c>
      <c r="H49" t="s">
        <v>128</v>
      </c>
      <c r="I49">
        <v>8282.2900000000009</v>
      </c>
      <c r="J49">
        <v>828.23</v>
      </c>
      <c r="K49">
        <v>828.23</v>
      </c>
      <c r="U49" s="15" t="s">
        <v>94</v>
      </c>
      <c r="V49" t="s">
        <v>325</v>
      </c>
      <c r="Y49" t="s">
        <v>235</v>
      </c>
      <c r="AB49" s="46"/>
      <c r="AC49" s="46"/>
      <c r="AE49" t="s">
        <v>267</v>
      </c>
      <c r="AG49" s="75"/>
      <c r="AH49" s="75" t="str">
        <f>+VLOOKUP(G49,'Mapeo de Ramos'!B:E,4,0)</f>
        <v>Transporte</v>
      </c>
      <c r="AJ49" s="75" t="str">
        <f>+VLOOKUP(G49,'Mapeo de Ramos'!B:D,3,0)</f>
        <v>Transportes Mercancías</v>
      </c>
    </row>
    <row r="50" spans="1:36">
      <c r="A50" t="s">
        <v>338</v>
      </c>
      <c r="B50" t="s">
        <v>339</v>
      </c>
      <c r="C50" t="s">
        <v>208</v>
      </c>
      <c r="D50" s="75"/>
      <c r="E50" s="46">
        <v>46057</v>
      </c>
      <c r="F50" s="46">
        <v>45652</v>
      </c>
      <c r="G50" t="s">
        <v>136</v>
      </c>
      <c r="H50" t="s">
        <v>128</v>
      </c>
      <c r="I50">
        <v>5664.01</v>
      </c>
      <c r="J50">
        <v>566.4</v>
      </c>
      <c r="K50">
        <v>566.4</v>
      </c>
      <c r="U50" s="15" t="s">
        <v>94</v>
      </c>
      <c r="V50" t="s">
        <v>325</v>
      </c>
      <c r="X50" s="75"/>
      <c r="Y50" t="s">
        <v>235</v>
      </c>
      <c r="AA50" s="75"/>
      <c r="AB50" s="46"/>
      <c r="AC50" s="46"/>
      <c r="AE50" t="s">
        <v>251</v>
      </c>
      <c r="AG50" s="75"/>
      <c r="AH50" s="75" t="str">
        <f>+VLOOKUP(G50,'Mapeo de Ramos'!B:E,4,0)</f>
        <v>Transporte</v>
      </c>
      <c r="AJ50" s="75" t="str">
        <f>+VLOOKUP(G50,'Mapeo de Ramos'!B:D,3,0)</f>
        <v>Transportes Mercancías</v>
      </c>
    </row>
    <row r="51" spans="1:36">
      <c r="A51" t="s">
        <v>340</v>
      </c>
      <c r="B51" t="s">
        <v>341</v>
      </c>
      <c r="C51" t="s">
        <v>214</v>
      </c>
      <c r="D51" s="75"/>
      <c r="E51" s="46">
        <v>46057</v>
      </c>
      <c r="F51" s="46">
        <v>45662</v>
      </c>
      <c r="G51" t="s">
        <v>136</v>
      </c>
      <c r="H51" t="s">
        <v>128</v>
      </c>
      <c r="I51">
        <v>5128.57</v>
      </c>
      <c r="J51">
        <v>512.86</v>
      </c>
      <c r="K51">
        <v>512.86</v>
      </c>
      <c r="U51" s="15" t="s">
        <v>94</v>
      </c>
      <c r="V51" t="s">
        <v>325</v>
      </c>
      <c r="X51" s="75"/>
      <c r="Y51" t="s">
        <v>235</v>
      </c>
      <c r="AA51" s="75"/>
      <c r="AB51" s="46"/>
      <c r="AC51" s="26"/>
      <c r="AE51" t="s">
        <v>267</v>
      </c>
      <c r="AG51" s="75"/>
      <c r="AH51" s="75" t="str">
        <f>+VLOOKUP(G51,'Mapeo de Ramos'!B:E,4,0)</f>
        <v>Transporte</v>
      </c>
      <c r="AJ51" s="75" t="str">
        <f>+VLOOKUP(G51,'Mapeo de Ramos'!B:D,3,0)</f>
        <v>Transportes Mercancías</v>
      </c>
    </row>
    <row r="52" spans="1:36">
      <c r="A52" t="s">
        <v>342</v>
      </c>
      <c r="B52" t="s">
        <v>343</v>
      </c>
      <c r="C52" t="s">
        <v>215</v>
      </c>
      <c r="D52" s="75"/>
      <c r="E52" s="46">
        <v>46057</v>
      </c>
      <c r="F52" s="46">
        <v>45694</v>
      </c>
      <c r="G52" t="s">
        <v>136</v>
      </c>
      <c r="H52" t="s">
        <v>128</v>
      </c>
      <c r="I52">
        <v>9399.9599999999991</v>
      </c>
      <c r="J52">
        <v>940</v>
      </c>
      <c r="K52">
        <v>940</v>
      </c>
      <c r="U52" s="15" t="s">
        <v>94</v>
      </c>
      <c r="V52" t="s">
        <v>325</v>
      </c>
      <c r="X52" s="75"/>
      <c r="Y52" t="s">
        <v>235</v>
      </c>
      <c r="AA52" s="75"/>
      <c r="AB52" s="46"/>
      <c r="AC52" s="26"/>
      <c r="AE52" t="s">
        <v>267</v>
      </c>
      <c r="AG52" s="75"/>
      <c r="AH52" s="75" t="str">
        <f>+VLOOKUP(G52,'Mapeo de Ramos'!B:E,4,0)</f>
        <v>Transporte</v>
      </c>
      <c r="AJ52" s="75" t="str">
        <f>+VLOOKUP(G52,'Mapeo de Ramos'!B:D,3,0)</f>
        <v>Transportes Mercancías</v>
      </c>
    </row>
    <row r="53" spans="1:36">
      <c r="A53" t="s">
        <v>344</v>
      </c>
      <c r="B53" t="s">
        <v>345</v>
      </c>
      <c r="C53" t="s">
        <v>217</v>
      </c>
      <c r="D53" s="75"/>
      <c r="E53" s="46">
        <v>46057</v>
      </c>
      <c r="F53" s="46">
        <v>45707</v>
      </c>
      <c r="G53" t="s">
        <v>136</v>
      </c>
      <c r="H53" t="s">
        <v>128</v>
      </c>
      <c r="I53">
        <v>10004.719999999999</v>
      </c>
      <c r="J53">
        <v>1000.47</v>
      </c>
      <c r="K53">
        <v>1000.47</v>
      </c>
      <c r="U53" s="15" t="s">
        <v>94</v>
      </c>
      <c r="V53" t="s">
        <v>325</v>
      </c>
      <c r="X53" s="75"/>
      <c r="Y53" t="s">
        <v>235</v>
      </c>
      <c r="AA53" s="75"/>
      <c r="AB53" s="46"/>
      <c r="AC53" s="26"/>
      <c r="AE53" t="s">
        <v>236</v>
      </c>
      <c r="AG53" s="75"/>
      <c r="AH53" s="75" t="str">
        <f>+VLOOKUP(G53,'Mapeo de Ramos'!B:E,4,0)</f>
        <v>Transporte</v>
      </c>
      <c r="AJ53" s="75" t="str">
        <f>+VLOOKUP(G53,'Mapeo de Ramos'!B:D,3,0)</f>
        <v>Transportes Mercancías</v>
      </c>
    </row>
    <row r="54" spans="1:36">
      <c r="A54" t="s">
        <v>346</v>
      </c>
      <c r="B54" t="s">
        <v>347</v>
      </c>
      <c r="C54" t="s">
        <v>214</v>
      </c>
      <c r="D54" s="75"/>
      <c r="E54" s="46">
        <v>46057</v>
      </c>
      <c r="F54" s="46">
        <v>45681</v>
      </c>
      <c r="G54" t="s">
        <v>136</v>
      </c>
      <c r="H54" t="s">
        <v>128</v>
      </c>
      <c r="I54">
        <v>11735.92</v>
      </c>
      <c r="J54">
        <v>1173.5899999999999</v>
      </c>
      <c r="K54">
        <v>1173.5899999999999</v>
      </c>
      <c r="U54" s="15" t="s">
        <v>94</v>
      </c>
      <c r="V54" t="s">
        <v>325</v>
      </c>
      <c r="X54" s="75"/>
      <c r="Y54" t="s">
        <v>235</v>
      </c>
      <c r="AA54" s="75"/>
      <c r="AB54" s="46"/>
      <c r="AC54" s="26"/>
      <c r="AE54" t="s">
        <v>267</v>
      </c>
      <c r="AG54" s="75"/>
      <c r="AH54" s="75" t="str">
        <f>+VLOOKUP(G54,'Mapeo de Ramos'!B:E,4,0)</f>
        <v>Transporte</v>
      </c>
      <c r="AJ54" s="75" t="str">
        <f>+VLOOKUP(G54,'Mapeo de Ramos'!B:D,3,0)</f>
        <v>Transportes Mercancías</v>
      </c>
    </row>
    <row r="55" spans="1:36">
      <c r="A55" t="s">
        <v>348</v>
      </c>
      <c r="B55" t="s">
        <v>349</v>
      </c>
      <c r="C55" t="s">
        <v>215</v>
      </c>
      <c r="D55" s="75"/>
      <c r="E55" s="46">
        <v>46057</v>
      </c>
      <c r="F55" s="46">
        <v>45737</v>
      </c>
      <c r="G55" t="s">
        <v>136</v>
      </c>
      <c r="H55" t="s">
        <v>128</v>
      </c>
      <c r="I55">
        <v>11551.53</v>
      </c>
      <c r="J55">
        <v>1155.1600000000001</v>
      </c>
      <c r="K55">
        <v>1155.1600000000001</v>
      </c>
      <c r="U55" s="15" t="s">
        <v>94</v>
      </c>
      <c r="V55" t="s">
        <v>325</v>
      </c>
      <c r="X55" s="75"/>
      <c r="Y55" t="s">
        <v>235</v>
      </c>
      <c r="AA55" s="75"/>
      <c r="AB55" s="46"/>
      <c r="AC55" s="26"/>
      <c r="AE55" t="s">
        <v>267</v>
      </c>
      <c r="AG55" s="75"/>
      <c r="AH55" s="75" t="str">
        <f>+VLOOKUP(G55,'Mapeo de Ramos'!B:E,4,0)</f>
        <v>Transporte</v>
      </c>
      <c r="AJ55" s="75" t="str">
        <f>+VLOOKUP(G55,'Mapeo de Ramos'!B:D,3,0)</f>
        <v>Transportes Mercancías</v>
      </c>
    </row>
    <row r="56" spans="1:36">
      <c r="A56" t="s">
        <v>350</v>
      </c>
      <c r="B56" t="s">
        <v>351</v>
      </c>
      <c r="C56" t="s">
        <v>212</v>
      </c>
      <c r="D56" s="75"/>
      <c r="E56" s="46">
        <v>46057</v>
      </c>
      <c r="F56" s="46">
        <v>45662</v>
      </c>
      <c r="G56" t="s">
        <v>136</v>
      </c>
      <c r="H56" t="s">
        <v>128</v>
      </c>
      <c r="I56">
        <v>2837.23</v>
      </c>
      <c r="J56">
        <v>283.72000000000003</v>
      </c>
      <c r="K56">
        <v>283.72000000000003</v>
      </c>
      <c r="U56" s="15" t="s">
        <v>94</v>
      </c>
      <c r="V56" t="s">
        <v>325</v>
      </c>
      <c r="X56" s="75"/>
      <c r="Y56" t="s">
        <v>235</v>
      </c>
      <c r="AA56" s="75"/>
      <c r="AB56" s="46"/>
      <c r="AC56" s="26"/>
      <c r="AE56" t="s">
        <v>246</v>
      </c>
      <c r="AG56" s="75"/>
      <c r="AH56" s="75" t="str">
        <f>+VLOOKUP(G56,'Mapeo de Ramos'!B:E,4,0)</f>
        <v>Transporte</v>
      </c>
      <c r="AJ56" s="75" t="str">
        <f>+VLOOKUP(G56,'Mapeo de Ramos'!B:D,3,0)</f>
        <v>Transportes Mercancías</v>
      </c>
    </row>
    <row r="57" spans="1:36">
      <c r="A57" t="s">
        <v>352</v>
      </c>
      <c r="B57" t="s">
        <v>353</v>
      </c>
      <c r="C57" t="s">
        <v>192</v>
      </c>
      <c r="D57" s="75"/>
      <c r="E57" s="46">
        <v>46057</v>
      </c>
      <c r="F57" s="46">
        <v>46023</v>
      </c>
      <c r="G57" t="s">
        <v>158</v>
      </c>
      <c r="H57" t="s">
        <v>239</v>
      </c>
      <c r="I57">
        <v>266.2</v>
      </c>
      <c r="J57">
        <v>11.31</v>
      </c>
      <c r="K57">
        <v>11.31</v>
      </c>
      <c r="U57" s="15" t="s">
        <v>94</v>
      </c>
      <c r="V57" t="s">
        <v>254</v>
      </c>
      <c r="X57" s="75"/>
      <c r="Y57" t="s">
        <v>235</v>
      </c>
      <c r="AA57" s="75"/>
      <c r="AC57" s="26"/>
      <c r="AE57" t="s">
        <v>255</v>
      </c>
      <c r="AG57" s="75"/>
      <c r="AH57" s="75" t="str">
        <f>+VLOOKUP(G57,'Mapeo de Ramos'!B:E,4,0)</f>
        <v>Seguros Personales (No Vida) Colectivos</v>
      </c>
      <c r="AJ57" s="75" t="str">
        <f>+VLOOKUP(G57,'Mapeo de Ramos'!B:D,3,0)</f>
        <v>Salud Colectivo</v>
      </c>
    </row>
    <row r="58" spans="1:36">
      <c r="A58" t="s">
        <v>352</v>
      </c>
      <c r="B58" t="s">
        <v>354</v>
      </c>
      <c r="C58" t="s">
        <v>206</v>
      </c>
      <c r="D58" s="75"/>
      <c r="E58" s="46">
        <v>46057</v>
      </c>
      <c r="F58" s="46">
        <v>46023</v>
      </c>
      <c r="G58" t="s">
        <v>158</v>
      </c>
      <c r="H58" t="s">
        <v>239</v>
      </c>
      <c r="I58">
        <v>-399.3</v>
      </c>
      <c r="J58">
        <v>-16.63</v>
      </c>
      <c r="K58">
        <v>-16.63</v>
      </c>
      <c r="U58" s="15" t="s">
        <v>94</v>
      </c>
      <c r="V58" t="s">
        <v>254</v>
      </c>
      <c r="Y58" t="s">
        <v>235</v>
      </c>
      <c r="AB58" s="46"/>
      <c r="AC58" s="46"/>
      <c r="AE58" t="s">
        <v>255</v>
      </c>
      <c r="AG58" s="75"/>
      <c r="AH58" s="75" t="str">
        <f>+VLOOKUP(G58,'Mapeo de Ramos'!B:E,4,0)</f>
        <v>Seguros Personales (No Vida) Colectivos</v>
      </c>
      <c r="AJ58" s="75" t="str">
        <f>+VLOOKUP(G58,'Mapeo de Ramos'!B:D,3,0)</f>
        <v>Salud Colectivo</v>
      </c>
    </row>
    <row r="59" spans="1:36">
      <c r="A59"/>
      <c r="B59"/>
      <c r="C59"/>
      <c r="D59" s="75"/>
      <c r="E59" s="46"/>
      <c r="F59" s="46"/>
      <c r="G59"/>
      <c r="H59"/>
      <c r="I59"/>
      <c r="J59"/>
      <c r="K59"/>
      <c r="V59"/>
      <c r="X59" s="75"/>
      <c r="Y59"/>
      <c r="AA59" s="75"/>
      <c r="AB59" s="46"/>
      <c r="AC59" s="26"/>
      <c r="AE59"/>
      <c r="AG59" s="75"/>
    </row>
    <row r="60" spans="1:36">
      <c r="A60"/>
      <c r="B60"/>
      <c r="C60"/>
      <c r="D60" s="75"/>
      <c r="E60" s="46"/>
      <c r="F60" s="46"/>
      <c r="G60"/>
      <c r="H60"/>
      <c r="I60"/>
      <c r="J60"/>
      <c r="K60"/>
      <c r="V60"/>
      <c r="X60" s="75"/>
      <c r="Y60"/>
      <c r="AA60" s="75"/>
      <c r="AC60" s="26"/>
      <c r="AE60"/>
      <c r="AG60" s="75"/>
    </row>
    <row r="61" spans="1:36">
      <c r="A61"/>
      <c r="B61"/>
      <c r="C61"/>
      <c r="D61" s="75"/>
      <c r="E61" s="46"/>
      <c r="F61" s="46"/>
      <c r="G61"/>
      <c r="H61"/>
      <c r="I61"/>
      <c r="J61"/>
      <c r="K61"/>
      <c r="V61"/>
      <c r="X61" s="75"/>
      <c r="Y61"/>
      <c r="AA61" s="75"/>
      <c r="AC61" s="26"/>
      <c r="AE61"/>
      <c r="AG61" s="75"/>
    </row>
    <row r="62" spans="1:36">
      <c r="A62"/>
      <c r="B62"/>
      <c r="C62"/>
      <c r="D62" s="75"/>
      <c r="E62" s="46"/>
      <c r="F62" s="46"/>
      <c r="G62"/>
      <c r="H62"/>
      <c r="I62"/>
      <c r="J62"/>
      <c r="K62"/>
      <c r="V62"/>
      <c r="X62" s="75"/>
      <c r="Y62"/>
      <c r="AA62" s="75"/>
      <c r="AB62" s="76"/>
      <c r="AC62" s="76"/>
      <c r="AE62"/>
      <c r="AG62" s="75"/>
    </row>
    <row r="63" spans="1:36">
      <c r="A63"/>
      <c r="B63"/>
      <c r="C63"/>
      <c r="D63" s="75"/>
      <c r="E63" s="46"/>
      <c r="F63" s="46"/>
      <c r="G63"/>
      <c r="H63"/>
      <c r="I63"/>
      <c r="J63"/>
      <c r="K63"/>
      <c r="V63"/>
      <c r="X63" s="75"/>
      <c r="Y63"/>
      <c r="AA63" s="75"/>
      <c r="AC63" s="26"/>
      <c r="AE63"/>
      <c r="AG63" s="75"/>
    </row>
    <row r="64" spans="1:36">
      <c r="A64"/>
      <c r="B64"/>
      <c r="C64"/>
      <c r="D64" s="75"/>
      <c r="E64" s="46"/>
      <c r="F64" s="46"/>
      <c r="G64"/>
      <c r="H64"/>
      <c r="I64"/>
      <c r="J64"/>
      <c r="K64"/>
      <c r="V64"/>
      <c r="X64" s="75"/>
      <c r="Y64"/>
      <c r="AA64" s="75"/>
      <c r="AC64" s="26"/>
      <c r="AE64"/>
      <c r="AG64" s="75"/>
    </row>
    <row r="65" spans="1:33">
      <c r="A65"/>
      <c r="B65"/>
      <c r="C65"/>
      <c r="D65" s="75"/>
      <c r="E65" s="46"/>
      <c r="F65" s="46"/>
      <c r="G65"/>
      <c r="H65"/>
      <c r="I65"/>
      <c r="J65"/>
      <c r="K65"/>
      <c r="V65"/>
      <c r="X65" s="75"/>
      <c r="Y65"/>
      <c r="AA65" s="75"/>
      <c r="AC65" s="26"/>
      <c r="AE65"/>
      <c r="AG65" s="75"/>
    </row>
    <row r="66" spans="1:33">
      <c r="A66"/>
      <c r="B66"/>
      <c r="C66"/>
      <c r="D66" s="75"/>
      <c r="E66" s="46"/>
      <c r="F66" s="46"/>
      <c r="G66"/>
      <c r="H66"/>
      <c r="I66"/>
      <c r="J66"/>
      <c r="K66"/>
      <c r="V66"/>
      <c r="Y66"/>
      <c r="Z66" s="46"/>
      <c r="AB66" s="46"/>
      <c r="AC66" s="46"/>
      <c r="AE66"/>
      <c r="AG66" s="75"/>
    </row>
    <row r="67" spans="1:33">
      <c r="A67"/>
      <c r="B67"/>
      <c r="C67"/>
      <c r="D67" s="75"/>
      <c r="E67" s="46"/>
      <c r="F67" s="46"/>
      <c r="G67"/>
      <c r="H67"/>
      <c r="I67"/>
      <c r="J67"/>
      <c r="K67"/>
      <c r="V67"/>
      <c r="W67" s="75"/>
      <c r="X67" s="75"/>
      <c r="Y67"/>
      <c r="Z67" s="75"/>
      <c r="AC67" s="26"/>
      <c r="AD67" s="75"/>
      <c r="AE67"/>
      <c r="AF67" s="75"/>
      <c r="AG67" s="75"/>
    </row>
    <row r="68" spans="1:33">
      <c r="A68"/>
      <c r="B68"/>
      <c r="C68"/>
      <c r="D68" s="75"/>
      <c r="E68" s="46"/>
      <c r="F68" s="46"/>
      <c r="G68"/>
      <c r="H68"/>
      <c r="I68"/>
      <c r="J68"/>
      <c r="K68"/>
      <c r="V68"/>
      <c r="X68" s="75"/>
      <c r="Y68"/>
      <c r="AA68" s="75"/>
      <c r="AC68" s="26"/>
      <c r="AE68"/>
      <c r="AG68" s="75"/>
    </row>
    <row r="69" spans="1:33">
      <c r="A69"/>
      <c r="B69"/>
      <c r="C69"/>
      <c r="D69" s="75"/>
      <c r="E69" s="46"/>
      <c r="F69" s="46"/>
      <c r="G69"/>
      <c r="H69"/>
      <c r="I69"/>
      <c r="J69"/>
      <c r="K69"/>
      <c r="V69"/>
      <c r="X69" s="75"/>
      <c r="Y69"/>
      <c r="AA69" s="75"/>
      <c r="AC69" s="26"/>
      <c r="AE69"/>
      <c r="AG69" s="75"/>
    </row>
    <row r="70" spans="1:33">
      <c r="A70"/>
      <c r="B70"/>
      <c r="C70"/>
      <c r="D70" s="75"/>
      <c r="E70" s="46"/>
      <c r="F70" s="46"/>
      <c r="G70"/>
      <c r="H70"/>
      <c r="I70"/>
      <c r="J70"/>
      <c r="K70"/>
      <c r="V70"/>
      <c r="X70" s="75"/>
      <c r="Y70"/>
      <c r="AA70" s="75"/>
      <c r="AC70" s="26"/>
      <c r="AE70"/>
      <c r="AG70" s="75"/>
    </row>
    <row r="71" spans="1:33">
      <c r="A71"/>
      <c r="B71"/>
      <c r="C71"/>
      <c r="D71" s="75"/>
      <c r="E71" s="46"/>
      <c r="F71" s="46"/>
      <c r="G71"/>
      <c r="H71"/>
      <c r="I71"/>
      <c r="J71"/>
      <c r="K71"/>
      <c r="V71"/>
      <c r="X71" s="75"/>
      <c r="Y71"/>
      <c r="AA71" s="75"/>
      <c r="AC71" s="26"/>
      <c r="AE71"/>
      <c r="AG71" s="75"/>
    </row>
    <row r="72" spans="1:33">
      <c r="A72"/>
      <c r="B72"/>
      <c r="C72"/>
      <c r="D72" s="75"/>
      <c r="E72" s="46"/>
      <c r="F72" s="46"/>
      <c r="G72"/>
      <c r="H72"/>
      <c r="I72"/>
      <c r="J72"/>
      <c r="K72"/>
      <c r="V72"/>
      <c r="X72" s="75"/>
      <c r="Y72"/>
      <c r="AA72" s="75"/>
      <c r="AC72" s="26"/>
      <c r="AE72"/>
      <c r="AG72" s="75"/>
    </row>
    <row r="73" spans="1:33">
      <c r="A73"/>
      <c r="B73"/>
      <c r="C73"/>
      <c r="D73" s="75"/>
      <c r="E73" s="46"/>
      <c r="F73" s="46"/>
      <c r="G73"/>
      <c r="H73"/>
      <c r="I73"/>
      <c r="J73"/>
      <c r="K73"/>
      <c r="V73"/>
      <c r="X73" s="75"/>
      <c r="Y73"/>
      <c r="AA73" s="75"/>
      <c r="AC73" s="26"/>
      <c r="AE73"/>
      <c r="AG73" s="75"/>
    </row>
    <row r="74" spans="1:33">
      <c r="A74"/>
      <c r="B74"/>
      <c r="C74"/>
      <c r="D74" s="75"/>
      <c r="E74" s="46"/>
      <c r="F74" s="46"/>
      <c r="G74"/>
      <c r="H74"/>
      <c r="I74"/>
      <c r="J74"/>
      <c r="K74"/>
      <c r="V74"/>
      <c r="X74" s="75"/>
      <c r="Y74"/>
      <c r="AA74" s="75"/>
      <c r="AC74" s="26"/>
      <c r="AE74"/>
      <c r="AG74" s="75"/>
    </row>
    <row r="75" spans="1:33">
      <c r="A75"/>
      <c r="B75"/>
      <c r="C75"/>
      <c r="D75" s="75"/>
      <c r="E75" s="46"/>
      <c r="F75" s="46"/>
      <c r="G75"/>
      <c r="H75"/>
      <c r="I75"/>
      <c r="J75"/>
      <c r="K75"/>
      <c r="V75"/>
      <c r="X75" s="75"/>
      <c r="Y75"/>
      <c r="AA75" s="75"/>
      <c r="AC75" s="26"/>
      <c r="AE75"/>
      <c r="AG75" s="75"/>
    </row>
    <row r="76" spans="1:33">
      <c r="A76"/>
      <c r="B76"/>
      <c r="C76"/>
      <c r="D76" s="75"/>
      <c r="E76" s="46"/>
      <c r="F76" s="46"/>
      <c r="G76"/>
      <c r="H76"/>
      <c r="I76"/>
      <c r="J76"/>
      <c r="K76"/>
      <c r="V76"/>
      <c r="X76" s="75"/>
      <c r="Y76"/>
      <c r="AA76" s="75"/>
      <c r="AC76" s="26"/>
      <c r="AE76"/>
      <c r="AG76" s="75"/>
    </row>
    <row r="77" spans="1:33">
      <c r="A77"/>
      <c r="B77"/>
      <c r="C77"/>
      <c r="D77" s="75"/>
      <c r="E77" s="46"/>
      <c r="F77" s="46"/>
      <c r="G77"/>
      <c r="H77"/>
      <c r="I77"/>
      <c r="J77"/>
      <c r="K77"/>
      <c r="V77"/>
      <c r="X77" s="75"/>
      <c r="Y77"/>
      <c r="AA77" s="75"/>
      <c r="AC77" s="26"/>
      <c r="AE77"/>
      <c r="AG77" s="75"/>
    </row>
    <row r="78" spans="1:33">
      <c r="A78"/>
      <c r="B78"/>
      <c r="C78"/>
      <c r="D78" s="75"/>
      <c r="E78" s="46"/>
      <c r="F78" s="46"/>
      <c r="G78"/>
      <c r="H78"/>
      <c r="I78"/>
      <c r="J78"/>
      <c r="K78"/>
      <c r="V78"/>
      <c r="X78" s="75"/>
      <c r="Y78"/>
      <c r="AA78" s="75"/>
      <c r="AC78" s="26"/>
      <c r="AE78"/>
      <c r="AG78" s="75"/>
    </row>
    <row r="79" spans="1:33">
      <c r="A79"/>
      <c r="B79"/>
      <c r="C79"/>
      <c r="D79" s="75"/>
      <c r="E79" s="46"/>
      <c r="F79" s="46"/>
      <c r="G79"/>
      <c r="H79"/>
      <c r="I79"/>
      <c r="J79"/>
      <c r="K79"/>
      <c r="V79"/>
      <c r="X79" s="75"/>
      <c r="Y79"/>
      <c r="AA79" s="75"/>
      <c r="AC79" s="26"/>
      <c r="AE79"/>
      <c r="AG79" s="75"/>
    </row>
    <row r="80" spans="1:33">
      <c r="A80"/>
      <c r="B80"/>
      <c r="C80"/>
      <c r="D80" s="75"/>
      <c r="E80" s="46"/>
      <c r="F80" s="46"/>
      <c r="G80"/>
      <c r="H80"/>
      <c r="I80"/>
      <c r="J80"/>
      <c r="K80"/>
      <c r="V80"/>
      <c r="X80" s="75"/>
      <c r="Y80"/>
      <c r="AA80" s="75"/>
      <c r="AC80" s="26"/>
      <c r="AE80"/>
      <c r="AG80" s="75"/>
    </row>
    <row r="81" spans="1:33">
      <c r="A81"/>
      <c r="B81"/>
      <c r="C81"/>
      <c r="D81" s="75"/>
      <c r="E81" s="46"/>
      <c r="F81" s="46"/>
      <c r="G81"/>
      <c r="H81"/>
      <c r="I81"/>
      <c r="J81"/>
      <c r="K81"/>
      <c r="V81"/>
      <c r="X81" s="75"/>
      <c r="Y81"/>
      <c r="AA81" s="75"/>
      <c r="AB81" s="46"/>
      <c r="AC81" s="26"/>
      <c r="AE81"/>
      <c r="AG81" s="75"/>
    </row>
    <row r="82" spans="1:33">
      <c r="A82"/>
      <c r="B82"/>
      <c r="C82"/>
      <c r="D82" s="75"/>
      <c r="E82" s="46"/>
      <c r="F82" s="46"/>
      <c r="G82"/>
      <c r="H82"/>
      <c r="I82"/>
      <c r="J82"/>
      <c r="K82"/>
      <c r="V82"/>
      <c r="X82" s="75"/>
      <c r="Y82"/>
      <c r="AA82" s="75"/>
      <c r="AB82" s="46"/>
      <c r="AC82" s="26"/>
      <c r="AE82"/>
      <c r="AG82" s="75"/>
    </row>
    <row r="83" spans="1:33">
      <c r="A83"/>
      <c r="B83"/>
      <c r="C83"/>
      <c r="D83" s="75"/>
      <c r="E83" s="46"/>
      <c r="F83" s="46"/>
      <c r="G83"/>
      <c r="H83"/>
      <c r="I83"/>
      <c r="J83"/>
      <c r="K83"/>
      <c r="V83"/>
      <c r="X83" s="75"/>
      <c r="Y83"/>
      <c r="AA83" s="75"/>
      <c r="AC83" s="26"/>
      <c r="AE83"/>
      <c r="AG83" s="75"/>
    </row>
    <row r="84" spans="1:33">
      <c r="A84"/>
      <c r="B84"/>
      <c r="C84"/>
      <c r="D84" s="75"/>
      <c r="E84" s="46"/>
      <c r="F84" s="46"/>
      <c r="G84"/>
      <c r="H84"/>
      <c r="I84"/>
      <c r="J84"/>
      <c r="K84"/>
      <c r="V84"/>
      <c r="X84" s="75"/>
      <c r="Y84"/>
      <c r="AA84" s="75"/>
      <c r="AC84" s="26"/>
      <c r="AE84"/>
      <c r="AG84" s="75"/>
    </row>
    <row r="85" spans="1:33">
      <c r="A85"/>
      <c r="B85"/>
      <c r="C85"/>
      <c r="D85" s="75"/>
      <c r="E85" s="46"/>
      <c r="F85" s="46"/>
      <c r="G85"/>
      <c r="H85"/>
      <c r="I85"/>
      <c r="J85"/>
      <c r="K85"/>
      <c r="V85"/>
      <c r="X85" s="75"/>
      <c r="Y85"/>
      <c r="AA85" s="75"/>
      <c r="AC85" s="26"/>
      <c r="AE85"/>
      <c r="AG85" s="75"/>
    </row>
    <row r="86" spans="1:33">
      <c r="A86"/>
      <c r="B86"/>
      <c r="C86"/>
      <c r="D86" s="75"/>
      <c r="E86" s="46"/>
      <c r="F86" s="46"/>
      <c r="G86"/>
      <c r="H86"/>
      <c r="I86"/>
      <c r="J86"/>
      <c r="K86"/>
      <c r="V86"/>
      <c r="X86" s="75"/>
      <c r="Y86"/>
      <c r="AA86" s="75"/>
      <c r="AC86" s="26"/>
      <c r="AE86"/>
      <c r="AG86" s="75"/>
    </row>
    <row r="87" spans="1:33">
      <c r="A87"/>
      <c r="B87"/>
      <c r="C87"/>
      <c r="D87" s="75"/>
      <c r="E87" s="46"/>
      <c r="F87" s="46"/>
      <c r="G87"/>
      <c r="H87"/>
      <c r="I87"/>
      <c r="J87"/>
      <c r="K87"/>
      <c r="V87"/>
      <c r="X87" s="75"/>
      <c r="Y87"/>
      <c r="AA87" s="75"/>
      <c r="AC87" s="26"/>
      <c r="AE87"/>
      <c r="AG87" s="75"/>
    </row>
    <row r="88" spans="1:33">
      <c r="A88"/>
      <c r="B88"/>
      <c r="C88"/>
      <c r="D88" s="75"/>
      <c r="E88" s="46"/>
      <c r="F88" s="46"/>
      <c r="G88"/>
      <c r="H88"/>
      <c r="I88"/>
      <c r="J88"/>
      <c r="K88"/>
      <c r="V88"/>
      <c r="X88" s="75"/>
      <c r="Y88"/>
      <c r="AA88" s="75"/>
      <c r="AC88" s="26"/>
      <c r="AE88"/>
      <c r="AG88" s="75"/>
    </row>
    <row r="89" spans="1:33">
      <c r="A89"/>
      <c r="B89"/>
      <c r="C89"/>
      <c r="D89" s="75"/>
      <c r="E89" s="46"/>
      <c r="F89" s="46"/>
      <c r="G89"/>
      <c r="H89"/>
      <c r="I89"/>
      <c r="J89"/>
      <c r="K89"/>
      <c r="V89"/>
      <c r="X89" s="75"/>
      <c r="Y89"/>
      <c r="AA89" s="75"/>
      <c r="AC89" s="26"/>
      <c r="AE89"/>
      <c r="AG89" s="75"/>
    </row>
    <row r="90" spans="1:33">
      <c r="A90"/>
      <c r="B90"/>
      <c r="C90"/>
      <c r="D90" s="75"/>
      <c r="E90" s="46"/>
      <c r="F90" s="46"/>
      <c r="G90"/>
      <c r="H90"/>
      <c r="I90"/>
      <c r="J90"/>
      <c r="K90"/>
      <c r="V90"/>
      <c r="X90" s="75"/>
      <c r="Y90"/>
      <c r="AA90" s="75"/>
      <c r="AC90" s="26"/>
      <c r="AE90"/>
      <c r="AG90" s="75"/>
    </row>
    <row r="91" spans="1:33">
      <c r="A91"/>
      <c r="B91"/>
      <c r="C91"/>
      <c r="D91" s="75"/>
      <c r="E91" s="46"/>
      <c r="F91" s="46"/>
      <c r="G91"/>
      <c r="H91"/>
      <c r="I91"/>
      <c r="J91"/>
      <c r="K91"/>
      <c r="V91"/>
      <c r="X91" s="75"/>
      <c r="Y91"/>
      <c r="AA91" s="75"/>
      <c r="AC91" s="26"/>
      <c r="AE91"/>
      <c r="AG91" s="75"/>
    </row>
    <row r="92" spans="1:33">
      <c r="A92"/>
      <c r="B92"/>
      <c r="C92"/>
      <c r="D92" s="75"/>
      <c r="E92" s="46"/>
      <c r="F92" s="46"/>
      <c r="G92"/>
      <c r="H92"/>
      <c r="I92"/>
      <c r="J92"/>
      <c r="K92"/>
      <c r="V92"/>
      <c r="X92" s="75"/>
      <c r="Y92"/>
      <c r="AA92" s="75"/>
      <c r="AC92" s="26"/>
      <c r="AE92"/>
      <c r="AG92" s="75"/>
    </row>
    <row r="93" spans="1:33">
      <c r="A93"/>
      <c r="B93"/>
      <c r="C93"/>
      <c r="D93" s="75"/>
      <c r="E93" s="46"/>
      <c r="F93" s="46"/>
      <c r="G93"/>
      <c r="H93"/>
      <c r="I93"/>
      <c r="J93"/>
      <c r="K93"/>
      <c r="V93"/>
      <c r="X93" s="75"/>
      <c r="Y93"/>
      <c r="AA93" s="75"/>
      <c r="AC93" s="26"/>
      <c r="AE93"/>
      <c r="AG93" s="75"/>
    </row>
    <row r="94" spans="1:33">
      <c r="A94"/>
      <c r="B94"/>
      <c r="C94"/>
      <c r="D94" s="75"/>
      <c r="E94" s="46"/>
      <c r="F94" s="46"/>
      <c r="G94"/>
      <c r="H94"/>
      <c r="I94"/>
      <c r="J94"/>
      <c r="K94"/>
      <c r="V94"/>
      <c r="X94" s="75"/>
      <c r="Y94"/>
      <c r="AA94" s="75"/>
      <c r="AC94" s="26"/>
      <c r="AE94"/>
      <c r="AG94" s="75"/>
    </row>
    <row r="95" spans="1:33">
      <c r="A95"/>
      <c r="B95"/>
      <c r="C95"/>
      <c r="D95" s="75"/>
      <c r="E95" s="46"/>
      <c r="F95" s="46"/>
      <c r="G95"/>
      <c r="H95"/>
      <c r="I95"/>
      <c r="J95"/>
      <c r="K95"/>
      <c r="V95"/>
      <c r="X95" s="75"/>
      <c r="Y95"/>
      <c r="AA95" s="75"/>
      <c r="AC95" s="26"/>
      <c r="AE95"/>
      <c r="AG95" s="75"/>
    </row>
    <row r="96" spans="1:33">
      <c r="A96"/>
      <c r="B96"/>
      <c r="C96"/>
      <c r="D96" s="75"/>
      <c r="E96" s="46"/>
      <c r="F96" s="46"/>
      <c r="G96"/>
      <c r="H96"/>
      <c r="I96"/>
      <c r="J96"/>
      <c r="K96"/>
      <c r="V96"/>
      <c r="X96" s="75"/>
      <c r="Y96"/>
      <c r="AA96" s="75"/>
      <c r="AC96" s="26"/>
      <c r="AE96"/>
      <c r="AG96" s="75"/>
    </row>
    <row r="97" spans="1:33">
      <c r="A97"/>
      <c r="B97"/>
      <c r="C97"/>
      <c r="D97" s="75"/>
      <c r="E97" s="46"/>
      <c r="F97" s="46"/>
      <c r="G97"/>
      <c r="H97"/>
      <c r="I97"/>
      <c r="J97"/>
      <c r="K97"/>
      <c r="V97"/>
      <c r="X97" s="75"/>
      <c r="Y97"/>
      <c r="AA97" s="75"/>
      <c r="AC97" s="26"/>
      <c r="AE97"/>
      <c r="AG97" s="75"/>
    </row>
    <row r="98" spans="1:33">
      <c r="A98"/>
      <c r="B98"/>
      <c r="C98"/>
      <c r="D98" s="75"/>
      <c r="E98" s="46"/>
      <c r="F98" s="46"/>
      <c r="G98"/>
      <c r="H98"/>
      <c r="I98"/>
      <c r="J98"/>
      <c r="K98"/>
      <c r="V98"/>
      <c r="X98" s="75"/>
      <c r="Y98"/>
      <c r="AA98" s="75"/>
      <c r="AC98" s="26"/>
      <c r="AE98"/>
      <c r="AG98" s="75"/>
    </row>
    <row r="99" spans="1:33">
      <c r="A99"/>
      <c r="B99"/>
      <c r="C99"/>
      <c r="D99" s="75"/>
      <c r="E99" s="46"/>
      <c r="F99" s="46"/>
      <c r="G99"/>
      <c r="H99"/>
      <c r="I99"/>
      <c r="J99"/>
      <c r="K99"/>
      <c r="V99"/>
      <c r="X99" s="75"/>
      <c r="Y99"/>
      <c r="AA99" s="75"/>
      <c r="AC99" s="26"/>
      <c r="AE99"/>
      <c r="AG99" s="75"/>
    </row>
    <row r="100" spans="1:33">
      <c r="A100"/>
      <c r="B100"/>
      <c r="C100"/>
      <c r="D100" s="75"/>
      <c r="E100" s="46"/>
      <c r="F100" s="46"/>
      <c r="G100"/>
      <c r="H100"/>
      <c r="I100"/>
      <c r="J100"/>
      <c r="K100"/>
      <c r="V100"/>
      <c r="X100" s="75"/>
      <c r="Y100"/>
      <c r="AA100" s="75"/>
      <c r="AC100" s="26"/>
      <c r="AE100"/>
      <c r="AG100" s="75"/>
    </row>
    <row r="101" spans="1:33">
      <c r="A101"/>
      <c r="B101"/>
      <c r="C101"/>
      <c r="D101" s="75"/>
      <c r="E101" s="46"/>
      <c r="F101" s="46"/>
      <c r="G101"/>
      <c r="H101"/>
      <c r="I101"/>
      <c r="J101"/>
      <c r="K101"/>
      <c r="V101"/>
      <c r="X101" s="75"/>
      <c r="Y101"/>
      <c r="AA101" s="75"/>
      <c r="AC101" s="26"/>
      <c r="AE101"/>
      <c r="AG101" s="75"/>
    </row>
    <row r="102" spans="1:33">
      <c r="A102"/>
      <c r="B102"/>
      <c r="C102"/>
      <c r="D102" s="75"/>
      <c r="E102" s="46"/>
      <c r="F102" s="46"/>
      <c r="G102"/>
      <c r="H102"/>
      <c r="I102"/>
      <c r="J102"/>
      <c r="K102"/>
      <c r="V102"/>
      <c r="X102" s="75"/>
      <c r="Y102"/>
      <c r="AA102" s="75"/>
      <c r="AC102" s="26"/>
      <c r="AE102"/>
      <c r="AG102" s="75"/>
    </row>
    <row r="103" spans="1:33">
      <c r="A103"/>
      <c r="B103"/>
      <c r="C103"/>
      <c r="D103" s="75"/>
      <c r="E103" s="46"/>
      <c r="F103" s="46"/>
      <c r="G103"/>
      <c r="H103"/>
      <c r="I103"/>
      <c r="J103"/>
      <c r="K103"/>
      <c r="V103"/>
      <c r="X103" s="75"/>
      <c r="Y103"/>
      <c r="AA103" s="75"/>
      <c r="AC103" s="26"/>
      <c r="AE103"/>
      <c r="AG103" s="75"/>
    </row>
    <row r="104" spans="1:33">
      <c r="A104"/>
      <c r="B104"/>
      <c r="C104"/>
      <c r="D104" s="75"/>
      <c r="E104" s="46"/>
      <c r="F104" s="46"/>
      <c r="G104"/>
      <c r="H104"/>
      <c r="I104"/>
      <c r="J104"/>
      <c r="K104"/>
      <c r="V104"/>
      <c r="X104" s="75"/>
      <c r="Y104"/>
      <c r="AA104" s="75"/>
      <c r="AC104" s="26"/>
      <c r="AE104"/>
      <c r="AG104" s="75"/>
    </row>
    <row r="105" spans="1:33">
      <c r="A105"/>
      <c r="B105"/>
      <c r="C105"/>
      <c r="D105" s="75"/>
      <c r="E105" s="46"/>
      <c r="F105" s="46"/>
      <c r="G105"/>
      <c r="H105"/>
      <c r="I105"/>
      <c r="J105"/>
      <c r="K105"/>
      <c r="V105"/>
      <c r="X105" s="75"/>
      <c r="Y105"/>
      <c r="AA105" s="75"/>
      <c r="AC105" s="26"/>
      <c r="AE105"/>
      <c r="AG105" s="75"/>
    </row>
    <row r="106" spans="1:33">
      <c r="A106"/>
      <c r="B106"/>
      <c r="C106"/>
      <c r="D106" s="75"/>
      <c r="E106" s="46"/>
      <c r="F106" s="46"/>
      <c r="G106"/>
      <c r="H106"/>
      <c r="I106"/>
      <c r="J106"/>
      <c r="K106"/>
      <c r="V106"/>
      <c r="X106" s="75"/>
      <c r="Y106"/>
      <c r="AA106" s="75"/>
      <c r="AC106" s="26"/>
      <c r="AE106"/>
      <c r="AG106" s="75"/>
    </row>
    <row r="107" spans="1:33">
      <c r="A107"/>
      <c r="B107"/>
      <c r="C107"/>
      <c r="D107" s="75"/>
      <c r="E107" s="46"/>
      <c r="F107" s="46"/>
      <c r="G107"/>
      <c r="H107"/>
      <c r="I107"/>
      <c r="J107"/>
      <c r="K107"/>
      <c r="V107"/>
      <c r="X107" s="75"/>
      <c r="Y107"/>
      <c r="AA107" s="75"/>
      <c r="AC107" s="26"/>
      <c r="AE107"/>
      <c r="AG107" s="75"/>
    </row>
    <row r="108" spans="1:33">
      <c r="A108"/>
      <c r="B108"/>
      <c r="C108"/>
      <c r="D108" s="75"/>
      <c r="E108" s="46"/>
      <c r="F108" s="46"/>
      <c r="G108"/>
      <c r="H108"/>
      <c r="I108"/>
      <c r="J108"/>
      <c r="K108"/>
      <c r="V108"/>
      <c r="X108" s="75"/>
      <c r="Y108"/>
      <c r="AA108" s="75"/>
      <c r="AC108" s="26"/>
      <c r="AE108"/>
      <c r="AG108" s="75"/>
    </row>
    <row r="109" spans="1:33">
      <c r="A109"/>
      <c r="B109"/>
      <c r="C109"/>
      <c r="D109" s="75"/>
      <c r="E109" s="46"/>
      <c r="F109" s="46"/>
      <c r="G109"/>
      <c r="H109"/>
      <c r="I109"/>
      <c r="J109"/>
      <c r="K109"/>
      <c r="V109"/>
      <c r="Y109"/>
      <c r="AA109" s="75"/>
      <c r="AC109" s="26"/>
      <c r="AE109"/>
      <c r="AG109" s="75"/>
    </row>
    <row r="110" spans="1:33">
      <c r="A110"/>
      <c r="B110"/>
      <c r="C110"/>
      <c r="D110" s="75"/>
      <c r="E110" s="46"/>
      <c r="F110" s="46"/>
      <c r="G110"/>
      <c r="H110"/>
      <c r="I110"/>
      <c r="J110"/>
      <c r="K110"/>
      <c r="V110"/>
      <c r="X110" s="75"/>
      <c r="Y110"/>
      <c r="AA110" s="75"/>
      <c r="AC110" s="26"/>
      <c r="AE110"/>
      <c r="AG110" s="75"/>
    </row>
    <row r="111" spans="1:33">
      <c r="A111"/>
      <c r="B111"/>
      <c r="C111"/>
      <c r="D111" s="75"/>
      <c r="E111" s="46"/>
      <c r="F111" s="46"/>
      <c r="G111"/>
      <c r="H111"/>
      <c r="I111"/>
      <c r="J111"/>
      <c r="K111"/>
      <c r="V111"/>
      <c r="X111" s="75"/>
      <c r="Y111"/>
      <c r="AA111" s="75"/>
      <c r="AC111" s="26"/>
      <c r="AE111"/>
      <c r="AG111" s="75"/>
    </row>
    <row r="112" spans="1:33">
      <c r="A112"/>
      <c r="B112"/>
      <c r="C112"/>
      <c r="D112" s="75"/>
      <c r="E112" s="46"/>
      <c r="F112" s="46"/>
      <c r="G112"/>
      <c r="H112"/>
      <c r="I112"/>
      <c r="J112"/>
      <c r="K112"/>
      <c r="V112"/>
      <c r="X112" s="75"/>
      <c r="Y112"/>
      <c r="AA112" s="75"/>
      <c r="AC112" s="26"/>
      <c r="AE112"/>
      <c r="AG112" s="75"/>
    </row>
    <row r="113" spans="1:33">
      <c r="A113"/>
      <c r="B113"/>
      <c r="C113"/>
      <c r="D113" s="75"/>
      <c r="E113" s="46"/>
      <c r="F113" s="46"/>
      <c r="G113"/>
      <c r="H113"/>
      <c r="I113"/>
      <c r="J113"/>
      <c r="K113"/>
      <c r="V113"/>
      <c r="X113" s="75"/>
      <c r="Y113"/>
      <c r="AA113" s="75"/>
      <c r="AC113" s="26"/>
      <c r="AE113"/>
      <c r="AG113" s="75"/>
    </row>
    <row r="114" spans="1:33">
      <c r="A114"/>
      <c r="B114"/>
      <c r="C114"/>
      <c r="D114" s="75"/>
      <c r="E114" s="46"/>
      <c r="F114" s="46"/>
      <c r="G114"/>
      <c r="H114"/>
      <c r="I114"/>
      <c r="J114"/>
      <c r="K114"/>
      <c r="V114"/>
      <c r="X114" s="75"/>
      <c r="Y114"/>
      <c r="AA114" s="75"/>
      <c r="AC114" s="26"/>
      <c r="AE114"/>
      <c r="AG114" s="75"/>
    </row>
    <row r="115" spans="1:33">
      <c r="A115"/>
      <c r="B115"/>
      <c r="C115"/>
      <c r="D115" s="75"/>
      <c r="E115" s="46"/>
      <c r="F115" s="46"/>
      <c r="G115"/>
      <c r="H115"/>
      <c r="I115"/>
      <c r="J115"/>
      <c r="K115"/>
      <c r="V115"/>
      <c r="X115" s="75"/>
      <c r="Y115"/>
      <c r="AA115" s="75"/>
      <c r="AC115" s="26"/>
      <c r="AE115"/>
      <c r="AG115" s="75"/>
    </row>
    <row r="116" spans="1:33">
      <c r="A116"/>
      <c r="B116"/>
      <c r="C116"/>
      <c r="D116" s="75"/>
      <c r="E116" s="46"/>
      <c r="F116" s="46"/>
      <c r="G116"/>
      <c r="H116"/>
      <c r="I116"/>
      <c r="J116"/>
      <c r="K116"/>
      <c r="V116"/>
      <c r="X116" s="75"/>
      <c r="Y116"/>
      <c r="AA116" s="75"/>
      <c r="AC116" s="26"/>
      <c r="AE116"/>
      <c r="AG116" s="75"/>
    </row>
    <row r="117" spans="1:33">
      <c r="A117"/>
      <c r="B117"/>
      <c r="C117"/>
      <c r="D117" s="75"/>
      <c r="E117" s="46"/>
      <c r="F117" s="46"/>
      <c r="G117"/>
      <c r="H117"/>
      <c r="I117"/>
      <c r="J117"/>
      <c r="K117"/>
      <c r="V117"/>
      <c r="X117" s="75"/>
      <c r="Y117"/>
      <c r="AA117" s="75"/>
      <c r="AC117" s="26"/>
      <c r="AE117"/>
      <c r="AG117" s="75"/>
    </row>
    <row r="118" spans="1:33">
      <c r="A118"/>
      <c r="B118"/>
      <c r="C118"/>
      <c r="D118" s="75"/>
      <c r="E118" s="46"/>
      <c r="F118" s="46"/>
      <c r="G118"/>
      <c r="H118"/>
      <c r="I118"/>
      <c r="J118"/>
      <c r="K118"/>
      <c r="V118"/>
      <c r="X118" s="75"/>
      <c r="Y118"/>
      <c r="AA118" s="75"/>
      <c r="AC118" s="26"/>
      <c r="AE118"/>
      <c r="AG118" s="75"/>
    </row>
    <row r="119" spans="1:33">
      <c r="A119"/>
      <c r="B119"/>
      <c r="C119"/>
      <c r="D119" s="75"/>
      <c r="E119" s="46"/>
      <c r="F119" s="46"/>
      <c r="G119"/>
      <c r="H119"/>
      <c r="I119"/>
      <c r="J119"/>
      <c r="K119"/>
      <c r="V119"/>
      <c r="X119" s="75"/>
      <c r="Y119"/>
      <c r="AA119" s="75"/>
      <c r="AC119" s="26"/>
      <c r="AE119"/>
      <c r="AG119" s="75"/>
    </row>
    <row r="120" spans="1:33">
      <c r="A120"/>
      <c r="B120"/>
      <c r="C120"/>
      <c r="D120" s="75"/>
      <c r="E120" s="46"/>
      <c r="F120" s="46"/>
      <c r="G120"/>
      <c r="H120"/>
      <c r="I120"/>
      <c r="J120"/>
      <c r="K120"/>
      <c r="V120"/>
      <c r="X120" s="75"/>
      <c r="Y120"/>
      <c r="AA120" s="75"/>
      <c r="AC120" s="26"/>
      <c r="AE120"/>
      <c r="AG120" s="75"/>
    </row>
    <row r="121" spans="1:33">
      <c r="A121"/>
      <c r="B121"/>
      <c r="C121"/>
      <c r="D121" s="75"/>
      <c r="E121" s="46"/>
      <c r="F121" s="46"/>
      <c r="G121"/>
      <c r="H121"/>
      <c r="I121"/>
      <c r="J121"/>
      <c r="K121"/>
      <c r="V121"/>
      <c r="X121" s="75"/>
      <c r="Y121"/>
      <c r="AA121" s="75"/>
      <c r="AC121" s="26"/>
      <c r="AE121"/>
      <c r="AG121" s="75"/>
    </row>
    <row r="122" spans="1:33">
      <c r="A122"/>
      <c r="B122"/>
      <c r="C122"/>
      <c r="D122" s="75"/>
      <c r="E122" s="46"/>
      <c r="F122" s="46"/>
      <c r="G122"/>
      <c r="H122"/>
      <c r="I122"/>
      <c r="J122"/>
      <c r="K122"/>
      <c r="V122"/>
      <c r="X122" s="75"/>
      <c r="Y122"/>
      <c r="AA122" s="75"/>
      <c r="AC122" s="26"/>
      <c r="AE122"/>
      <c r="AG122" s="75"/>
    </row>
    <row r="123" spans="1:33">
      <c r="A123"/>
      <c r="B123"/>
      <c r="C123"/>
      <c r="D123" s="75"/>
      <c r="E123" s="46"/>
      <c r="F123" s="46"/>
      <c r="G123"/>
      <c r="H123"/>
      <c r="I123"/>
      <c r="J123"/>
      <c r="K123"/>
      <c r="V123"/>
      <c r="X123" s="75"/>
      <c r="Y123"/>
      <c r="AA123" s="75"/>
      <c r="AC123" s="26"/>
      <c r="AE123"/>
      <c r="AG123" s="75"/>
    </row>
    <row r="124" spans="1:33">
      <c r="A124"/>
      <c r="B124"/>
      <c r="C124"/>
      <c r="D124" s="75"/>
      <c r="E124" s="46"/>
      <c r="F124" s="46"/>
      <c r="G124"/>
      <c r="H124"/>
      <c r="I124"/>
      <c r="J124"/>
      <c r="K124"/>
      <c r="V124"/>
      <c r="X124" s="75"/>
      <c r="Y124"/>
      <c r="AA124" s="75"/>
      <c r="AC124" s="26"/>
      <c r="AE124"/>
      <c r="AG124" s="75"/>
    </row>
    <row r="125" spans="1:33">
      <c r="A125"/>
      <c r="B125"/>
      <c r="C125"/>
      <c r="D125" s="75"/>
      <c r="E125" s="46"/>
      <c r="F125" s="46"/>
      <c r="G125"/>
      <c r="H125"/>
      <c r="I125"/>
      <c r="J125"/>
      <c r="K125"/>
      <c r="V125"/>
      <c r="X125" s="75"/>
      <c r="Y125"/>
      <c r="AA125" s="75"/>
      <c r="AC125" s="26"/>
      <c r="AE125"/>
      <c r="AG125" s="75"/>
    </row>
    <row r="126" spans="1:33">
      <c r="A126"/>
      <c r="B126"/>
      <c r="C126"/>
      <c r="D126" s="75"/>
      <c r="E126" s="46"/>
      <c r="F126" s="46"/>
      <c r="G126"/>
      <c r="H126"/>
      <c r="I126"/>
      <c r="J126"/>
      <c r="K126"/>
      <c r="V126"/>
      <c r="X126" s="75"/>
      <c r="Y126"/>
      <c r="AA126" s="75"/>
      <c r="AC126" s="26"/>
      <c r="AE126"/>
      <c r="AG126" s="75"/>
    </row>
    <row r="127" spans="1:33">
      <c r="A127"/>
      <c r="B127"/>
      <c r="C127"/>
      <c r="D127" s="75"/>
      <c r="E127" s="46"/>
      <c r="F127" s="46"/>
      <c r="G127"/>
      <c r="H127"/>
      <c r="I127"/>
      <c r="J127"/>
      <c r="K127"/>
      <c r="V127"/>
      <c r="X127" s="75"/>
      <c r="Y127"/>
      <c r="AA127" s="75"/>
      <c r="AC127" s="26"/>
      <c r="AE127"/>
      <c r="AG127" s="75"/>
    </row>
    <row r="128" spans="1:33">
      <c r="A128"/>
      <c r="B128"/>
      <c r="C128"/>
      <c r="D128" s="75"/>
      <c r="E128" s="46"/>
      <c r="F128" s="46"/>
      <c r="G128"/>
      <c r="H128"/>
      <c r="I128"/>
      <c r="J128"/>
      <c r="K128"/>
      <c r="V128"/>
      <c r="X128" s="75"/>
      <c r="Y128"/>
      <c r="AA128" s="75"/>
      <c r="AC128" s="26"/>
      <c r="AE128"/>
      <c r="AG128" s="75"/>
    </row>
    <row r="129" spans="1:33">
      <c r="A129"/>
      <c r="B129"/>
      <c r="C129"/>
      <c r="D129" s="75"/>
      <c r="E129" s="46"/>
      <c r="F129" s="46"/>
      <c r="G129"/>
      <c r="H129"/>
      <c r="I129"/>
      <c r="J129"/>
      <c r="K129"/>
      <c r="V129"/>
      <c r="X129" s="75"/>
      <c r="Y129"/>
      <c r="AA129" s="75"/>
      <c r="AC129" s="26"/>
      <c r="AE129"/>
      <c r="AG129" s="75"/>
    </row>
    <row r="130" spans="1:33">
      <c r="A130"/>
      <c r="B130"/>
      <c r="C130"/>
      <c r="D130" s="75"/>
      <c r="E130" s="46"/>
      <c r="F130" s="46"/>
      <c r="G130"/>
      <c r="H130"/>
      <c r="I130"/>
      <c r="J130"/>
      <c r="K130"/>
      <c r="V130"/>
      <c r="X130" s="75"/>
      <c r="Y130"/>
      <c r="AA130" s="75"/>
      <c r="AC130" s="26"/>
      <c r="AE130"/>
      <c r="AG130" s="75"/>
    </row>
    <row r="131" spans="1:33">
      <c r="A131"/>
      <c r="B131"/>
      <c r="C131"/>
      <c r="D131" s="75"/>
      <c r="E131" s="46"/>
      <c r="F131" s="46"/>
      <c r="G131"/>
      <c r="H131"/>
      <c r="I131"/>
      <c r="J131"/>
      <c r="K131"/>
      <c r="V131"/>
      <c r="X131" s="75"/>
      <c r="Y131"/>
      <c r="AA131" s="75"/>
      <c r="AC131" s="26"/>
      <c r="AE131"/>
      <c r="AG131" s="75"/>
    </row>
    <row r="132" spans="1:33">
      <c r="A132"/>
      <c r="B132"/>
      <c r="C132"/>
      <c r="D132" s="75"/>
      <c r="E132" s="46"/>
      <c r="F132" s="46"/>
      <c r="G132"/>
      <c r="H132"/>
      <c r="I132"/>
      <c r="J132"/>
      <c r="K132"/>
      <c r="V132"/>
      <c r="X132" s="75"/>
      <c r="Y132"/>
      <c r="AA132" s="75"/>
      <c r="AC132" s="26"/>
      <c r="AE132"/>
      <c r="AG132" s="75"/>
    </row>
    <row r="133" spans="1:33">
      <c r="A133"/>
      <c r="B133"/>
      <c r="C133"/>
      <c r="D133" s="75"/>
      <c r="E133" s="46"/>
      <c r="F133" s="46"/>
      <c r="G133"/>
      <c r="H133"/>
      <c r="I133"/>
      <c r="J133"/>
      <c r="K133"/>
      <c r="V133"/>
      <c r="X133" s="75"/>
      <c r="Y133"/>
      <c r="AA133" s="75"/>
      <c r="AC133" s="26"/>
      <c r="AE133"/>
      <c r="AG133" s="75"/>
    </row>
    <row r="134" spans="1:33">
      <c r="A134"/>
      <c r="B134"/>
      <c r="C134"/>
      <c r="D134" s="75"/>
      <c r="E134" s="46"/>
      <c r="F134" s="46"/>
      <c r="G134"/>
      <c r="H134"/>
      <c r="I134"/>
      <c r="J134"/>
      <c r="K134"/>
      <c r="V134"/>
      <c r="X134" s="75"/>
      <c r="Y134"/>
      <c r="AA134" s="75"/>
      <c r="AC134" s="26"/>
      <c r="AE134"/>
      <c r="AG134" s="75"/>
    </row>
    <row r="135" spans="1:33">
      <c r="A135"/>
      <c r="B135"/>
      <c r="C135"/>
      <c r="D135" s="75"/>
      <c r="E135" s="46"/>
      <c r="F135" s="46"/>
      <c r="G135"/>
      <c r="H135"/>
      <c r="I135"/>
      <c r="J135"/>
      <c r="K135"/>
      <c r="V135"/>
      <c r="X135" s="75"/>
      <c r="Y135"/>
      <c r="AA135" s="75"/>
      <c r="AC135" s="26"/>
      <c r="AE135"/>
      <c r="AG135" s="75"/>
    </row>
    <row r="136" spans="1:33">
      <c r="A136"/>
      <c r="B136"/>
      <c r="C136"/>
      <c r="D136" s="75"/>
      <c r="E136" s="46"/>
      <c r="F136" s="46"/>
      <c r="G136"/>
      <c r="H136"/>
      <c r="I136"/>
      <c r="J136"/>
      <c r="K136"/>
      <c r="V136"/>
      <c r="X136" s="75"/>
      <c r="Y136"/>
      <c r="AA136" s="75"/>
      <c r="AC136" s="26"/>
      <c r="AE136"/>
      <c r="AG136" s="75"/>
    </row>
    <row r="137" spans="1:33">
      <c r="A137"/>
      <c r="B137"/>
      <c r="C137"/>
      <c r="D137" s="75"/>
      <c r="E137" s="46"/>
      <c r="F137" s="46"/>
      <c r="G137"/>
      <c r="H137"/>
      <c r="I137"/>
      <c r="J137"/>
      <c r="K137"/>
      <c r="V137"/>
      <c r="X137" s="75"/>
      <c r="Y137"/>
      <c r="AA137" s="75"/>
      <c r="AC137" s="26"/>
      <c r="AE137"/>
      <c r="AG137" s="75"/>
    </row>
    <row r="138" spans="1:33">
      <c r="A138"/>
      <c r="B138"/>
      <c r="C138"/>
      <c r="D138" s="75"/>
      <c r="E138" s="46"/>
      <c r="F138" s="46"/>
      <c r="G138"/>
      <c r="H138"/>
      <c r="I138"/>
      <c r="J138"/>
      <c r="K138"/>
      <c r="V138"/>
      <c r="X138" s="75"/>
      <c r="Y138"/>
      <c r="AA138" s="75"/>
      <c r="AC138" s="26"/>
      <c r="AE138"/>
      <c r="AG138" s="75"/>
    </row>
    <row r="139" spans="1:33">
      <c r="A139"/>
      <c r="B139"/>
      <c r="C139"/>
      <c r="D139" s="75"/>
      <c r="E139" s="46"/>
      <c r="F139" s="46"/>
      <c r="G139"/>
      <c r="H139"/>
      <c r="I139"/>
      <c r="J139"/>
      <c r="K139"/>
      <c r="V139"/>
      <c r="X139" s="75"/>
      <c r="Y139"/>
      <c r="AA139" s="75"/>
      <c r="AC139" s="26"/>
      <c r="AE139"/>
      <c r="AG139" s="75"/>
    </row>
    <row r="140" spans="1:33">
      <c r="A140"/>
      <c r="B140"/>
      <c r="C140"/>
      <c r="D140" s="75"/>
      <c r="E140" s="46"/>
      <c r="F140" s="46"/>
      <c r="G140"/>
      <c r="H140"/>
      <c r="I140"/>
      <c r="J140"/>
      <c r="K140"/>
      <c r="V140"/>
      <c r="X140" s="75"/>
      <c r="Y140"/>
      <c r="AA140" s="75"/>
      <c r="AC140" s="26"/>
      <c r="AE140"/>
      <c r="AG140" s="75"/>
    </row>
    <row r="141" spans="1:33">
      <c r="A141"/>
      <c r="B141"/>
      <c r="C141"/>
      <c r="D141" s="75"/>
      <c r="E141" s="46"/>
      <c r="F141" s="46"/>
      <c r="G141"/>
      <c r="H141"/>
      <c r="I141"/>
      <c r="J141"/>
      <c r="K141"/>
      <c r="V141"/>
      <c r="X141" s="75"/>
      <c r="Y141"/>
      <c r="AA141" s="75"/>
      <c r="AC141" s="26"/>
      <c r="AE141"/>
      <c r="AG141" s="75"/>
    </row>
    <row r="142" spans="1:33">
      <c r="A142"/>
      <c r="B142"/>
      <c r="C142"/>
      <c r="D142" s="75"/>
      <c r="E142" s="46"/>
      <c r="F142" s="46"/>
      <c r="G142"/>
      <c r="H142"/>
      <c r="I142"/>
      <c r="J142"/>
      <c r="K142"/>
      <c r="V142"/>
      <c r="X142" s="75"/>
      <c r="Y142"/>
      <c r="AA142" s="75"/>
      <c r="AC142" s="26"/>
      <c r="AE142"/>
      <c r="AG142" s="75"/>
    </row>
    <row r="143" spans="1:33">
      <c r="A143"/>
      <c r="B143"/>
      <c r="C143"/>
      <c r="D143" s="75"/>
      <c r="E143" s="46"/>
      <c r="F143" s="46"/>
      <c r="G143"/>
      <c r="H143"/>
      <c r="I143"/>
      <c r="J143"/>
      <c r="K143"/>
      <c r="V143"/>
      <c r="X143" s="75"/>
      <c r="Y143"/>
      <c r="AA143" s="75"/>
      <c r="AC143" s="26"/>
      <c r="AE143"/>
      <c r="AG143" s="75"/>
    </row>
    <row r="144" spans="1:33">
      <c r="A144"/>
      <c r="B144"/>
      <c r="C144"/>
      <c r="D144" s="75"/>
      <c r="E144" s="46"/>
      <c r="F144" s="46"/>
      <c r="G144"/>
      <c r="H144"/>
      <c r="I144"/>
      <c r="J144"/>
      <c r="K144"/>
      <c r="V144"/>
      <c r="X144" s="75"/>
      <c r="Y144"/>
      <c r="AA144" s="75"/>
      <c r="AC144" s="26"/>
      <c r="AE144"/>
      <c r="AG144" s="75"/>
    </row>
    <row r="145" spans="1:33">
      <c r="A145"/>
      <c r="B145"/>
      <c r="C145"/>
      <c r="D145" s="75"/>
      <c r="E145" s="46"/>
      <c r="F145" s="46"/>
      <c r="G145"/>
      <c r="H145"/>
      <c r="I145"/>
      <c r="J145"/>
      <c r="K145"/>
      <c r="V145"/>
      <c r="X145" s="75"/>
      <c r="Y145"/>
      <c r="AA145" s="75"/>
      <c r="AC145" s="26"/>
      <c r="AE145"/>
      <c r="AG145" s="75"/>
    </row>
    <row r="146" spans="1:33">
      <c r="A146"/>
      <c r="B146"/>
      <c r="C146"/>
      <c r="D146" s="75"/>
      <c r="E146" s="46"/>
      <c r="F146" s="46"/>
      <c r="G146"/>
      <c r="H146"/>
      <c r="I146"/>
      <c r="J146"/>
      <c r="K146"/>
      <c r="V146"/>
      <c r="X146" s="75"/>
      <c r="Y146"/>
      <c r="AA146" s="75"/>
      <c r="AC146" s="26"/>
      <c r="AE146"/>
      <c r="AG146" s="75"/>
    </row>
    <row r="147" spans="1:33">
      <c r="A147"/>
      <c r="B147"/>
      <c r="C147"/>
      <c r="D147" s="75"/>
      <c r="E147" s="46"/>
      <c r="F147" s="46"/>
      <c r="G147"/>
      <c r="H147"/>
      <c r="I147"/>
      <c r="J147"/>
      <c r="K147"/>
      <c r="V147"/>
      <c r="X147" s="75"/>
      <c r="Y147"/>
      <c r="AA147" s="75"/>
      <c r="AC147" s="26"/>
      <c r="AE147"/>
      <c r="AG147" s="75"/>
    </row>
    <row r="148" spans="1:33">
      <c r="A148"/>
      <c r="B148"/>
      <c r="C148"/>
      <c r="D148" s="75"/>
      <c r="E148" s="46"/>
      <c r="F148" s="46"/>
      <c r="G148"/>
      <c r="H148"/>
      <c r="I148"/>
      <c r="J148"/>
      <c r="K148"/>
      <c r="V148"/>
      <c r="X148" s="75"/>
      <c r="Y148"/>
      <c r="AA148" s="75"/>
      <c r="AC148" s="26"/>
      <c r="AE148"/>
      <c r="AG148" s="75"/>
    </row>
    <row r="149" spans="1:33">
      <c r="A149"/>
      <c r="B149"/>
      <c r="C149"/>
      <c r="D149" s="75"/>
      <c r="E149" s="46"/>
      <c r="F149" s="46"/>
      <c r="G149"/>
      <c r="H149"/>
      <c r="I149"/>
      <c r="J149"/>
      <c r="K149"/>
      <c r="V149"/>
      <c r="X149" s="75"/>
      <c r="Y149"/>
      <c r="AA149" s="75"/>
      <c r="AC149" s="26"/>
      <c r="AE149"/>
      <c r="AG149" s="75"/>
    </row>
    <row r="150" spans="1:33">
      <c r="A150"/>
      <c r="B150"/>
      <c r="C150"/>
      <c r="D150" s="75"/>
      <c r="E150" s="46"/>
      <c r="F150" s="46"/>
      <c r="G150"/>
      <c r="H150"/>
      <c r="I150"/>
      <c r="J150"/>
      <c r="K150"/>
      <c r="V150"/>
      <c r="X150" s="75"/>
      <c r="Y150"/>
      <c r="AA150" s="75"/>
      <c r="AC150" s="26"/>
      <c r="AE150"/>
      <c r="AG150" s="75"/>
    </row>
    <row r="151" spans="1:33">
      <c r="A151"/>
      <c r="B151"/>
      <c r="C151"/>
      <c r="D151" s="75"/>
      <c r="E151" s="46"/>
      <c r="F151" s="46"/>
      <c r="G151"/>
      <c r="H151"/>
      <c r="I151"/>
      <c r="J151"/>
      <c r="K151"/>
      <c r="V151"/>
      <c r="X151" s="75"/>
      <c r="Y151"/>
      <c r="AA151" s="75"/>
      <c r="AC151" s="26"/>
      <c r="AE151"/>
      <c r="AG151" s="75"/>
    </row>
    <row r="152" spans="1:33">
      <c r="A152"/>
      <c r="B152"/>
      <c r="C152"/>
      <c r="D152" s="75"/>
      <c r="E152" s="46"/>
      <c r="F152" s="46"/>
      <c r="G152"/>
      <c r="H152"/>
      <c r="I152"/>
      <c r="J152"/>
      <c r="K152"/>
      <c r="V152"/>
      <c r="X152" s="75"/>
      <c r="Y152"/>
      <c r="AA152" s="75"/>
      <c r="AC152" s="26"/>
      <c r="AE152"/>
      <c r="AG152" s="75"/>
    </row>
    <row r="153" spans="1:33">
      <c r="A153"/>
      <c r="B153"/>
      <c r="C153"/>
      <c r="D153" s="75"/>
      <c r="E153" s="46"/>
      <c r="F153" s="46"/>
      <c r="G153"/>
      <c r="H153"/>
      <c r="I153"/>
      <c r="J153"/>
      <c r="K153"/>
      <c r="V153"/>
      <c r="X153" s="75"/>
      <c r="Y153"/>
      <c r="AA153" s="75"/>
      <c r="AC153" s="26"/>
      <c r="AE153"/>
      <c r="AG153" s="75"/>
    </row>
    <row r="154" spans="1:33">
      <c r="A154"/>
      <c r="B154"/>
      <c r="C154"/>
      <c r="D154" s="75"/>
      <c r="E154" s="46"/>
      <c r="F154" s="46"/>
      <c r="G154"/>
      <c r="H154"/>
      <c r="I154"/>
      <c r="J154"/>
      <c r="K154"/>
      <c r="V154"/>
      <c r="X154" s="75"/>
      <c r="Y154"/>
      <c r="AA154" s="75"/>
      <c r="AC154" s="26"/>
      <c r="AE154"/>
      <c r="AG154" s="75"/>
    </row>
    <row r="155" spans="1:33">
      <c r="A155"/>
      <c r="B155"/>
      <c r="C155"/>
      <c r="D155" s="75"/>
      <c r="E155" s="46"/>
      <c r="F155" s="46"/>
      <c r="G155"/>
      <c r="H155"/>
      <c r="I155"/>
      <c r="J155"/>
      <c r="K155"/>
      <c r="V155"/>
      <c r="X155" s="75"/>
      <c r="Y155"/>
      <c r="AA155" s="75"/>
      <c r="AC155" s="26"/>
      <c r="AE155"/>
      <c r="AG155" s="75"/>
    </row>
    <row r="156" spans="1:33">
      <c r="A156"/>
      <c r="B156"/>
      <c r="C156"/>
      <c r="D156" s="75"/>
      <c r="E156" s="46"/>
      <c r="F156" s="46"/>
      <c r="G156"/>
      <c r="H156"/>
      <c r="I156"/>
      <c r="J156"/>
      <c r="K156"/>
      <c r="V156"/>
      <c r="X156" s="75"/>
      <c r="Y156"/>
      <c r="AA156" s="75"/>
      <c r="AC156" s="26"/>
      <c r="AE156"/>
      <c r="AG156" s="75"/>
    </row>
    <row r="157" spans="1:33">
      <c r="A157"/>
      <c r="B157"/>
      <c r="C157"/>
      <c r="D157" s="75"/>
      <c r="E157" s="46"/>
      <c r="F157" s="46"/>
      <c r="G157"/>
      <c r="H157"/>
      <c r="I157"/>
      <c r="J157"/>
      <c r="K157"/>
      <c r="V157"/>
      <c r="X157" s="75"/>
      <c r="Y157"/>
      <c r="AA157" s="75"/>
      <c r="AC157" s="26"/>
      <c r="AE157"/>
      <c r="AG157" s="75"/>
    </row>
    <row r="158" spans="1:33">
      <c r="A158"/>
      <c r="B158"/>
      <c r="C158"/>
      <c r="D158" s="75"/>
      <c r="E158" s="46"/>
      <c r="F158" s="46"/>
      <c r="G158"/>
      <c r="H158"/>
      <c r="I158"/>
      <c r="J158"/>
      <c r="K158"/>
      <c r="V158"/>
      <c r="X158" s="75"/>
      <c r="Y158"/>
      <c r="AA158" s="75"/>
      <c r="AC158" s="26"/>
      <c r="AE158"/>
      <c r="AG158" s="75"/>
    </row>
    <row r="159" spans="1:33">
      <c r="A159"/>
      <c r="B159"/>
      <c r="C159"/>
      <c r="D159" s="75"/>
      <c r="E159" s="46"/>
      <c r="F159" s="46"/>
      <c r="G159"/>
      <c r="H159"/>
      <c r="I159"/>
      <c r="J159"/>
      <c r="K159"/>
      <c r="V159"/>
      <c r="X159" s="75"/>
      <c r="Y159"/>
      <c r="AA159" s="75"/>
      <c r="AC159" s="26"/>
      <c r="AE159"/>
      <c r="AG159" s="75"/>
    </row>
    <row r="160" spans="1:33">
      <c r="A160"/>
      <c r="B160"/>
      <c r="C160"/>
      <c r="D160" s="75"/>
      <c r="E160" s="46"/>
      <c r="F160" s="46"/>
      <c r="G160"/>
      <c r="H160"/>
      <c r="I160"/>
      <c r="J160"/>
      <c r="K160"/>
      <c r="V160"/>
      <c r="X160" s="75"/>
      <c r="Y160"/>
      <c r="AA160" s="75"/>
      <c r="AC160" s="26"/>
      <c r="AE160"/>
      <c r="AG160" s="75"/>
    </row>
    <row r="161" spans="1:33">
      <c r="A161"/>
      <c r="B161"/>
      <c r="C161"/>
      <c r="D161" s="75"/>
      <c r="E161" s="46"/>
      <c r="F161" s="46"/>
      <c r="G161"/>
      <c r="H161"/>
      <c r="I161"/>
      <c r="J161"/>
      <c r="K161"/>
      <c r="V161"/>
      <c r="X161" s="75"/>
      <c r="Y161"/>
      <c r="AA161" s="75"/>
      <c r="AC161" s="26"/>
      <c r="AE161"/>
      <c r="AG161" s="75"/>
    </row>
    <row r="162" spans="1:33">
      <c r="A162"/>
      <c r="B162"/>
      <c r="C162"/>
      <c r="D162" s="75"/>
      <c r="E162" s="46"/>
      <c r="F162" s="46"/>
      <c r="G162"/>
      <c r="H162"/>
      <c r="I162"/>
      <c r="J162"/>
      <c r="K162"/>
      <c r="V162"/>
      <c r="X162" s="75"/>
      <c r="Y162"/>
      <c r="AA162" s="75"/>
      <c r="AC162" s="26"/>
      <c r="AE162"/>
      <c r="AG162" s="75"/>
    </row>
    <row r="163" spans="1:33">
      <c r="A163"/>
      <c r="B163"/>
      <c r="C163"/>
      <c r="D163" s="75"/>
      <c r="E163" s="46"/>
      <c r="F163" s="46"/>
      <c r="G163"/>
      <c r="H163"/>
      <c r="I163"/>
      <c r="J163"/>
      <c r="K163"/>
      <c r="V163"/>
      <c r="X163" s="75"/>
      <c r="Y163"/>
      <c r="AA163" s="75"/>
      <c r="AC163" s="26"/>
      <c r="AE163"/>
      <c r="AG163" s="75"/>
    </row>
    <row r="164" spans="1:33">
      <c r="A164"/>
      <c r="B164"/>
      <c r="C164"/>
      <c r="D164" s="75"/>
      <c r="E164" s="46"/>
      <c r="F164" s="46"/>
      <c r="G164"/>
      <c r="H164"/>
      <c r="I164"/>
      <c r="J164"/>
      <c r="K164"/>
      <c r="V164"/>
      <c r="X164" s="75"/>
      <c r="Y164"/>
      <c r="AA164" s="75"/>
      <c r="AC164" s="26"/>
      <c r="AE164"/>
      <c r="AG164" s="75"/>
    </row>
    <row r="165" spans="1:33">
      <c r="A165"/>
      <c r="B165"/>
      <c r="C165"/>
      <c r="D165" s="75"/>
      <c r="E165" s="46"/>
      <c r="F165" s="46"/>
      <c r="G165"/>
      <c r="H165"/>
      <c r="I165"/>
      <c r="J165"/>
      <c r="K165"/>
      <c r="V165"/>
      <c r="X165" s="75"/>
      <c r="Y165"/>
      <c r="AA165" s="75"/>
      <c r="AC165" s="26"/>
      <c r="AE165"/>
      <c r="AG165" s="75"/>
    </row>
    <row r="166" spans="1:33">
      <c r="A166"/>
      <c r="B166"/>
      <c r="C166"/>
      <c r="D166" s="75"/>
      <c r="E166" s="46"/>
      <c r="F166" s="46"/>
      <c r="G166"/>
      <c r="H166"/>
      <c r="I166"/>
      <c r="J166"/>
      <c r="K166"/>
      <c r="V166"/>
      <c r="X166" s="75"/>
      <c r="Y166"/>
      <c r="AA166" s="75"/>
      <c r="AC166" s="26"/>
      <c r="AE166"/>
      <c r="AG166" s="75"/>
    </row>
    <row r="167" spans="1:33">
      <c r="A167"/>
      <c r="B167"/>
      <c r="C167"/>
      <c r="D167" s="75"/>
      <c r="E167" s="46"/>
      <c r="F167" s="46"/>
      <c r="G167"/>
      <c r="H167"/>
      <c r="I167"/>
      <c r="J167"/>
      <c r="K167"/>
      <c r="V167"/>
      <c r="X167" s="75"/>
      <c r="Y167"/>
      <c r="AA167" s="75"/>
      <c r="AC167" s="26"/>
      <c r="AE167"/>
      <c r="AG167" s="75"/>
    </row>
    <row r="168" spans="1:33">
      <c r="A168"/>
      <c r="B168"/>
      <c r="C168"/>
      <c r="D168" s="75"/>
      <c r="E168" s="46"/>
      <c r="F168" s="46"/>
      <c r="G168"/>
      <c r="H168"/>
      <c r="I168"/>
      <c r="J168"/>
      <c r="K168"/>
      <c r="V168"/>
      <c r="X168" s="75"/>
      <c r="Y168"/>
      <c r="AA168" s="75"/>
      <c r="AC168" s="26"/>
      <c r="AE168"/>
      <c r="AG168" s="75"/>
    </row>
    <row r="169" spans="1:33">
      <c r="A169"/>
      <c r="B169"/>
      <c r="C169"/>
      <c r="D169" s="75"/>
      <c r="E169" s="46"/>
      <c r="F169" s="46"/>
      <c r="G169"/>
      <c r="H169"/>
      <c r="I169"/>
      <c r="J169"/>
      <c r="K169"/>
      <c r="V169"/>
      <c r="X169" s="75"/>
      <c r="Y169"/>
      <c r="AA169" s="75"/>
      <c r="AC169" s="26"/>
      <c r="AE169"/>
      <c r="AG169" s="75"/>
    </row>
    <row r="170" spans="1:33">
      <c r="A170"/>
      <c r="B170"/>
      <c r="C170"/>
      <c r="D170" s="75"/>
      <c r="E170" s="46"/>
      <c r="F170" s="46"/>
      <c r="G170"/>
      <c r="H170"/>
      <c r="I170"/>
      <c r="J170"/>
      <c r="K170"/>
      <c r="V170"/>
      <c r="X170" s="75"/>
      <c r="Y170"/>
      <c r="AA170" s="75"/>
      <c r="AC170" s="26"/>
      <c r="AE170"/>
      <c r="AG170" s="75"/>
    </row>
    <row r="171" spans="1:33">
      <c r="A171"/>
      <c r="B171"/>
      <c r="C171"/>
      <c r="D171" s="75"/>
      <c r="E171" s="46"/>
      <c r="F171" s="46"/>
      <c r="G171"/>
      <c r="H171"/>
      <c r="I171"/>
      <c r="J171"/>
      <c r="K171"/>
      <c r="V171"/>
      <c r="X171" s="75"/>
      <c r="Y171"/>
      <c r="AA171" s="75"/>
      <c r="AC171" s="26"/>
      <c r="AE171"/>
      <c r="AG171" s="75"/>
    </row>
    <row r="172" spans="1:33">
      <c r="A172"/>
      <c r="B172"/>
      <c r="C172"/>
      <c r="D172" s="75"/>
      <c r="E172" s="46"/>
      <c r="F172" s="46"/>
      <c r="G172"/>
      <c r="H172"/>
      <c r="I172"/>
      <c r="J172"/>
      <c r="K172"/>
      <c r="V172"/>
      <c r="X172" s="75"/>
      <c r="Y172"/>
      <c r="AA172" s="75"/>
      <c r="AC172" s="26"/>
      <c r="AE172"/>
      <c r="AG172" s="75"/>
    </row>
    <row r="173" spans="1:33">
      <c r="A173"/>
      <c r="B173"/>
      <c r="C173"/>
      <c r="D173" s="75"/>
      <c r="E173" s="46"/>
      <c r="F173" s="46"/>
      <c r="G173"/>
      <c r="H173"/>
      <c r="I173"/>
      <c r="J173"/>
      <c r="K173"/>
      <c r="V173"/>
      <c r="X173" s="75"/>
      <c r="Y173"/>
      <c r="AA173" s="75"/>
      <c r="AC173" s="26"/>
      <c r="AE173"/>
      <c r="AG173" s="75"/>
    </row>
    <row r="174" spans="1:33">
      <c r="A174"/>
      <c r="B174"/>
      <c r="C174"/>
      <c r="D174" s="75"/>
      <c r="E174" s="46"/>
      <c r="F174" s="46"/>
      <c r="G174"/>
      <c r="H174"/>
      <c r="I174"/>
      <c r="J174"/>
      <c r="K174"/>
      <c r="V174"/>
      <c r="X174" s="75"/>
      <c r="Y174"/>
      <c r="AA174" s="75"/>
      <c r="AC174" s="26"/>
      <c r="AE174"/>
      <c r="AG174" s="75"/>
    </row>
    <row r="175" spans="1:33">
      <c r="A175"/>
      <c r="B175"/>
      <c r="C175"/>
      <c r="D175" s="75"/>
      <c r="E175" s="46"/>
      <c r="F175" s="46"/>
      <c r="G175"/>
      <c r="H175"/>
      <c r="I175"/>
      <c r="J175"/>
      <c r="K175"/>
      <c r="V175"/>
      <c r="X175" s="75"/>
      <c r="Y175"/>
      <c r="AA175" s="75"/>
      <c r="AC175" s="26"/>
      <c r="AE175"/>
      <c r="AG175" s="75"/>
    </row>
    <row r="176" spans="1:33">
      <c r="A176"/>
      <c r="B176"/>
      <c r="C176"/>
      <c r="D176" s="75"/>
      <c r="E176" s="46"/>
      <c r="F176" s="46"/>
      <c r="G176"/>
      <c r="H176"/>
      <c r="I176"/>
      <c r="J176"/>
      <c r="K176"/>
      <c r="V176"/>
      <c r="X176" s="75"/>
      <c r="Y176"/>
      <c r="AA176" s="75"/>
      <c r="AC176" s="26"/>
      <c r="AE176"/>
      <c r="AG176" s="75"/>
    </row>
    <row r="177" spans="1:33">
      <c r="A177"/>
      <c r="B177"/>
      <c r="C177"/>
      <c r="D177" s="75"/>
      <c r="E177" s="46"/>
      <c r="F177" s="46"/>
      <c r="G177"/>
      <c r="H177"/>
      <c r="I177"/>
      <c r="J177"/>
      <c r="K177"/>
      <c r="V177"/>
      <c r="X177" s="75"/>
      <c r="Y177"/>
      <c r="AA177" s="75"/>
      <c r="AC177" s="26"/>
      <c r="AE177"/>
      <c r="AG177" s="75"/>
    </row>
    <row r="178" spans="1:33">
      <c r="A178"/>
      <c r="B178"/>
      <c r="C178"/>
      <c r="D178" s="75"/>
      <c r="E178" s="46"/>
      <c r="F178" s="46"/>
      <c r="G178"/>
      <c r="H178"/>
      <c r="I178"/>
      <c r="J178"/>
      <c r="K178"/>
      <c r="V178"/>
      <c r="X178" s="75"/>
      <c r="Y178"/>
      <c r="AA178" s="75"/>
      <c r="AC178" s="26"/>
      <c r="AE178"/>
      <c r="AG178" s="75"/>
    </row>
    <row r="179" spans="1:33">
      <c r="A179"/>
      <c r="B179"/>
      <c r="C179"/>
      <c r="D179" s="75"/>
      <c r="E179" s="46"/>
      <c r="F179" s="46"/>
      <c r="G179"/>
      <c r="H179"/>
      <c r="I179"/>
      <c r="J179"/>
      <c r="K179"/>
      <c r="V179"/>
      <c r="X179" s="75"/>
      <c r="Y179"/>
      <c r="AA179" s="75"/>
      <c r="AC179" s="26"/>
      <c r="AE179"/>
      <c r="AG179" s="75"/>
    </row>
    <row r="180" spans="1:33">
      <c r="A180"/>
      <c r="B180"/>
      <c r="C180"/>
      <c r="D180" s="75"/>
      <c r="E180" s="46"/>
      <c r="F180" s="46"/>
      <c r="G180"/>
      <c r="H180"/>
      <c r="I180"/>
      <c r="J180"/>
      <c r="K180"/>
      <c r="V180"/>
      <c r="X180" s="75"/>
      <c r="Y180"/>
      <c r="AA180" s="75"/>
      <c r="AC180" s="26"/>
      <c r="AE180"/>
      <c r="AG180" s="75"/>
    </row>
    <row r="181" spans="1:33">
      <c r="A181"/>
      <c r="B181"/>
      <c r="C181"/>
      <c r="D181" s="75"/>
      <c r="E181" s="46"/>
      <c r="F181" s="46"/>
      <c r="G181"/>
      <c r="H181"/>
      <c r="I181"/>
      <c r="J181"/>
      <c r="K181"/>
      <c r="V181"/>
      <c r="X181" s="75"/>
      <c r="Y181"/>
      <c r="AA181" s="75"/>
      <c r="AC181" s="26"/>
      <c r="AE181"/>
      <c r="AG181" s="75"/>
    </row>
    <row r="182" spans="1:33">
      <c r="A182"/>
      <c r="B182"/>
      <c r="C182"/>
      <c r="D182" s="75"/>
      <c r="E182" s="46"/>
      <c r="F182" s="46"/>
      <c r="G182"/>
      <c r="H182"/>
      <c r="I182"/>
      <c r="J182"/>
      <c r="K182"/>
      <c r="V182"/>
      <c r="X182" s="75"/>
      <c r="Y182"/>
      <c r="AA182" s="75"/>
      <c r="AC182" s="26"/>
      <c r="AE182"/>
      <c r="AG182" s="75"/>
    </row>
    <row r="183" spans="1:33">
      <c r="A183"/>
      <c r="B183"/>
      <c r="C183"/>
      <c r="D183" s="75"/>
      <c r="E183" s="46"/>
      <c r="F183" s="46"/>
      <c r="G183"/>
      <c r="H183"/>
      <c r="I183"/>
      <c r="J183"/>
      <c r="K183"/>
      <c r="V183"/>
      <c r="X183" s="75"/>
      <c r="Y183"/>
      <c r="AA183" s="75"/>
      <c r="AC183" s="26"/>
      <c r="AE183"/>
      <c r="AG183" s="75"/>
    </row>
    <row r="184" spans="1:33">
      <c r="A184"/>
      <c r="B184"/>
      <c r="C184"/>
      <c r="D184" s="75"/>
      <c r="E184" s="46"/>
      <c r="F184" s="46"/>
      <c r="G184"/>
      <c r="H184"/>
      <c r="I184"/>
      <c r="J184"/>
      <c r="K184"/>
      <c r="V184"/>
      <c r="X184" s="75"/>
      <c r="Y184"/>
      <c r="AA184" s="75"/>
      <c r="AC184" s="26"/>
      <c r="AE184"/>
      <c r="AG184" s="75"/>
    </row>
    <row r="185" spans="1:33">
      <c r="A185"/>
      <c r="B185"/>
      <c r="C185"/>
      <c r="D185" s="75"/>
      <c r="E185" s="46"/>
      <c r="F185" s="46"/>
      <c r="G185"/>
      <c r="H185"/>
      <c r="I185"/>
      <c r="J185"/>
      <c r="K185"/>
      <c r="V185"/>
      <c r="X185" s="75"/>
      <c r="Y185"/>
      <c r="AA185" s="75"/>
      <c r="AC185" s="26"/>
      <c r="AE185"/>
      <c r="AG185" s="75"/>
    </row>
    <row r="186" spans="1:33">
      <c r="A186"/>
      <c r="B186"/>
      <c r="C186"/>
      <c r="D186" s="75"/>
      <c r="E186" s="46"/>
      <c r="F186" s="46"/>
      <c r="G186"/>
      <c r="H186"/>
      <c r="I186"/>
      <c r="J186"/>
      <c r="K186"/>
      <c r="V186"/>
      <c r="X186" s="75"/>
      <c r="Y186"/>
      <c r="AA186" s="75"/>
      <c r="AC186" s="26"/>
      <c r="AE186"/>
      <c r="AG186" s="75"/>
    </row>
    <row r="187" spans="1:33">
      <c r="A187"/>
      <c r="B187"/>
      <c r="C187"/>
      <c r="D187" s="75"/>
      <c r="E187" s="46"/>
      <c r="F187" s="46"/>
      <c r="G187"/>
      <c r="H187"/>
      <c r="I187"/>
      <c r="J187"/>
      <c r="K187"/>
      <c r="V187"/>
      <c r="X187" s="75"/>
      <c r="Y187"/>
      <c r="AA187" s="75"/>
      <c r="AC187" s="26"/>
      <c r="AE187"/>
      <c r="AG187" s="75"/>
    </row>
    <row r="188" spans="1:33">
      <c r="A188"/>
      <c r="B188"/>
      <c r="C188"/>
      <c r="D188" s="75"/>
      <c r="E188" s="46"/>
      <c r="F188" s="46"/>
      <c r="G188"/>
      <c r="H188"/>
      <c r="I188"/>
      <c r="J188"/>
      <c r="K188"/>
      <c r="V188"/>
      <c r="X188" s="75"/>
      <c r="Y188"/>
      <c r="AA188" s="75"/>
      <c r="AC188" s="26"/>
      <c r="AE188"/>
      <c r="AG188" s="75"/>
    </row>
    <row r="189" spans="1:33">
      <c r="A189"/>
      <c r="B189"/>
      <c r="C189"/>
      <c r="D189" s="75"/>
      <c r="E189" s="46"/>
      <c r="F189" s="46"/>
      <c r="G189"/>
      <c r="H189"/>
      <c r="I189"/>
      <c r="J189"/>
      <c r="K189"/>
      <c r="V189"/>
      <c r="X189" s="75"/>
      <c r="Y189"/>
      <c r="AA189" s="75"/>
      <c r="AC189" s="26"/>
      <c r="AE189"/>
      <c r="AG189" s="75"/>
    </row>
    <row r="190" spans="1:33">
      <c r="A190"/>
      <c r="B190"/>
      <c r="C190"/>
      <c r="D190" s="75"/>
      <c r="E190" s="46"/>
      <c r="F190" s="46"/>
      <c r="G190"/>
      <c r="H190"/>
      <c r="I190"/>
      <c r="J190"/>
      <c r="K190"/>
      <c r="V190"/>
      <c r="X190" s="75"/>
      <c r="Y190"/>
      <c r="AA190" s="75"/>
      <c r="AC190" s="26"/>
      <c r="AE190"/>
      <c r="AG190" s="75"/>
    </row>
    <row r="191" spans="1:33">
      <c r="A191"/>
      <c r="B191"/>
      <c r="C191"/>
      <c r="D191" s="75"/>
      <c r="E191" s="46"/>
      <c r="F191" s="46"/>
      <c r="G191"/>
      <c r="H191"/>
      <c r="I191"/>
      <c r="J191"/>
      <c r="K191"/>
      <c r="V191"/>
      <c r="X191" s="75"/>
      <c r="Y191"/>
      <c r="AA191" s="75"/>
      <c r="AC191" s="26"/>
      <c r="AE191"/>
      <c r="AG191" s="75"/>
    </row>
    <row r="192" spans="1:33">
      <c r="A192"/>
      <c r="B192"/>
      <c r="C192"/>
      <c r="D192" s="75"/>
      <c r="E192" s="46"/>
      <c r="F192" s="46"/>
      <c r="G192"/>
      <c r="H192"/>
      <c r="I192"/>
      <c r="J192"/>
      <c r="K192"/>
      <c r="V192"/>
      <c r="X192" s="75"/>
      <c r="Y192"/>
      <c r="AA192" s="75"/>
      <c r="AC192" s="26"/>
      <c r="AE192"/>
      <c r="AG192" s="75"/>
    </row>
    <row r="193" spans="1:33">
      <c r="A193"/>
      <c r="B193"/>
      <c r="C193"/>
      <c r="D193" s="75"/>
      <c r="E193" s="46"/>
      <c r="F193" s="46"/>
      <c r="G193"/>
      <c r="H193"/>
      <c r="I193"/>
      <c r="J193"/>
      <c r="K193"/>
      <c r="V193"/>
      <c r="X193" s="75"/>
      <c r="Y193"/>
      <c r="AA193" s="75"/>
      <c r="AC193" s="26"/>
      <c r="AE193"/>
      <c r="AG193" s="75"/>
    </row>
    <row r="194" spans="1:33">
      <c r="A194"/>
      <c r="B194"/>
      <c r="C194"/>
      <c r="D194" s="75"/>
      <c r="E194" s="46"/>
      <c r="F194" s="46"/>
      <c r="G194"/>
      <c r="H194"/>
      <c r="I194"/>
      <c r="J194"/>
      <c r="K194"/>
      <c r="V194"/>
      <c r="X194" s="75"/>
      <c r="Y194"/>
      <c r="AA194" s="75"/>
      <c r="AC194" s="26"/>
      <c r="AE194"/>
      <c r="AG194" s="75"/>
    </row>
    <row r="195" spans="1:33">
      <c r="A195"/>
      <c r="B195"/>
      <c r="C195"/>
      <c r="D195" s="75"/>
      <c r="E195" s="46"/>
      <c r="F195" s="46"/>
      <c r="G195"/>
      <c r="H195"/>
      <c r="I195"/>
      <c r="J195"/>
      <c r="K195"/>
      <c r="V195"/>
      <c r="X195" s="75"/>
      <c r="Y195"/>
      <c r="AA195" s="75"/>
      <c r="AC195" s="26"/>
      <c r="AE195"/>
      <c r="AG195" s="75"/>
    </row>
    <row r="196" spans="1:33">
      <c r="A196"/>
      <c r="B196"/>
      <c r="C196"/>
      <c r="D196" s="75"/>
      <c r="E196" s="46"/>
      <c r="F196" s="46"/>
      <c r="G196"/>
      <c r="H196"/>
      <c r="I196"/>
      <c r="J196"/>
      <c r="K196"/>
      <c r="V196"/>
      <c r="X196" s="75"/>
      <c r="Y196"/>
      <c r="AA196" s="75"/>
      <c r="AC196" s="26"/>
      <c r="AE196"/>
      <c r="AG196" s="75"/>
    </row>
    <row r="197" spans="1:33">
      <c r="A197"/>
      <c r="B197"/>
      <c r="C197"/>
      <c r="D197" s="75"/>
      <c r="E197" s="46"/>
      <c r="F197" s="46"/>
      <c r="G197"/>
      <c r="H197"/>
      <c r="I197"/>
      <c r="J197"/>
      <c r="K197"/>
      <c r="V197"/>
      <c r="X197" s="75"/>
      <c r="Y197"/>
      <c r="AA197" s="75"/>
      <c r="AC197" s="26"/>
      <c r="AE197"/>
      <c r="AG197" s="75"/>
    </row>
    <row r="198" spans="1:33">
      <c r="A198"/>
      <c r="B198"/>
      <c r="C198"/>
      <c r="D198" s="75"/>
      <c r="E198" s="46"/>
      <c r="F198" s="46"/>
      <c r="G198"/>
      <c r="H198"/>
      <c r="I198"/>
      <c r="J198"/>
      <c r="K198"/>
      <c r="V198"/>
      <c r="X198" s="75"/>
      <c r="Y198"/>
      <c r="AA198" s="75"/>
      <c r="AC198" s="26"/>
      <c r="AE198"/>
      <c r="AG198" s="75"/>
    </row>
    <row r="199" spans="1:33">
      <c r="A199"/>
      <c r="B199"/>
      <c r="C199"/>
      <c r="D199" s="75"/>
      <c r="E199" s="46"/>
      <c r="F199" s="46"/>
      <c r="G199"/>
      <c r="H199"/>
      <c r="I199"/>
      <c r="J199"/>
      <c r="K199"/>
      <c r="V199"/>
      <c r="X199" s="75"/>
      <c r="Y199"/>
      <c r="AA199" s="75"/>
      <c r="AC199" s="26"/>
      <c r="AE199"/>
      <c r="AG199" s="75"/>
    </row>
    <row r="200" spans="1:33">
      <c r="A200"/>
      <c r="B200"/>
      <c r="C200"/>
      <c r="D200" s="75"/>
      <c r="E200" s="46"/>
      <c r="F200" s="46"/>
      <c r="G200"/>
      <c r="H200"/>
      <c r="I200"/>
      <c r="J200"/>
      <c r="K200"/>
      <c r="V200"/>
      <c r="X200" s="75"/>
      <c r="Y200"/>
      <c r="AA200" s="75"/>
      <c r="AC200" s="26"/>
      <c r="AE200"/>
      <c r="AG200" s="75"/>
    </row>
    <row r="201" spans="1:33">
      <c r="A201"/>
      <c r="B201"/>
      <c r="C201"/>
      <c r="D201" s="75"/>
      <c r="E201" s="46"/>
      <c r="F201" s="46"/>
      <c r="G201"/>
      <c r="H201"/>
      <c r="I201"/>
      <c r="J201"/>
      <c r="K201"/>
      <c r="V201"/>
      <c r="X201" s="75"/>
      <c r="Y201"/>
      <c r="AA201" s="75"/>
      <c r="AC201" s="26"/>
      <c r="AE201"/>
      <c r="AG201" s="75"/>
    </row>
    <row r="202" spans="1:33">
      <c r="A202"/>
      <c r="B202"/>
      <c r="C202"/>
      <c r="D202" s="75"/>
      <c r="E202" s="46"/>
      <c r="F202" s="46"/>
      <c r="G202"/>
      <c r="H202"/>
      <c r="I202"/>
      <c r="J202"/>
      <c r="K202"/>
      <c r="V202"/>
      <c r="X202" s="75"/>
      <c r="Y202"/>
      <c r="AA202" s="75"/>
      <c r="AC202" s="26"/>
      <c r="AE202"/>
      <c r="AG202" s="75"/>
    </row>
    <row r="203" spans="1:33">
      <c r="A203"/>
      <c r="B203"/>
      <c r="C203"/>
      <c r="D203" s="75"/>
      <c r="E203" s="46"/>
      <c r="F203" s="46"/>
      <c r="G203"/>
      <c r="H203"/>
      <c r="I203"/>
      <c r="J203"/>
      <c r="K203"/>
      <c r="V203"/>
      <c r="X203" s="75"/>
      <c r="Y203"/>
      <c r="AA203" s="75"/>
      <c r="AC203" s="26"/>
      <c r="AE203"/>
      <c r="AG203" s="75"/>
    </row>
    <row r="204" spans="1:33">
      <c r="A204"/>
      <c r="B204"/>
      <c r="C204"/>
      <c r="D204" s="75"/>
      <c r="E204" s="46"/>
      <c r="F204" s="46"/>
      <c r="G204"/>
      <c r="H204"/>
      <c r="I204"/>
      <c r="J204"/>
      <c r="K204"/>
      <c r="V204"/>
      <c r="X204" s="75"/>
      <c r="Y204"/>
      <c r="AA204" s="75"/>
      <c r="AC204" s="26"/>
      <c r="AE204"/>
      <c r="AG204" s="75"/>
    </row>
    <row r="205" spans="1:33">
      <c r="A205"/>
      <c r="B205"/>
      <c r="C205"/>
      <c r="D205" s="75"/>
      <c r="E205" s="46"/>
      <c r="F205" s="46"/>
      <c r="G205"/>
      <c r="H205"/>
      <c r="I205"/>
      <c r="J205"/>
      <c r="K205"/>
      <c r="V205"/>
      <c r="X205" s="75"/>
      <c r="Y205"/>
      <c r="AA205" s="75"/>
      <c r="AC205" s="26"/>
      <c r="AE205"/>
      <c r="AG205" s="75"/>
    </row>
    <row r="206" spans="1:33">
      <c r="A206"/>
      <c r="B206"/>
      <c r="C206"/>
      <c r="D206" s="75"/>
      <c r="E206" s="46"/>
      <c r="F206" s="46"/>
      <c r="G206"/>
      <c r="H206"/>
      <c r="I206"/>
      <c r="J206"/>
      <c r="K206"/>
      <c r="V206"/>
      <c r="X206" s="75"/>
      <c r="Y206"/>
      <c r="AA206" s="75"/>
      <c r="AC206" s="26"/>
      <c r="AE206"/>
      <c r="AG206" s="75"/>
    </row>
    <row r="207" spans="1:33">
      <c r="A207"/>
      <c r="B207"/>
      <c r="C207"/>
      <c r="D207" s="75"/>
      <c r="E207" s="46"/>
      <c r="F207" s="46"/>
      <c r="G207"/>
      <c r="H207"/>
      <c r="I207"/>
      <c r="J207"/>
      <c r="K207"/>
      <c r="V207"/>
      <c r="X207" s="75"/>
      <c r="Y207"/>
      <c r="AA207" s="75"/>
      <c r="AC207" s="26"/>
      <c r="AE207"/>
      <c r="AG207" s="75"/>
    </row>
    <row r="208" spans="1:33">
      <c r="A208"/>
      <c r="B208"/>
      <c r="C208"/>
      <c r="D208" s="75"/>
      <c r="E208" s="46"/>
      <c r="F208" s="46"/>
      <c r="G208"/>
      <c r="H208"/>
      <c r="I208"/>
      <c r="J208"/>
      <c r="K208"/>
      <c r="V208"/>
      <c r="X208" s="75"/>
      <c r="Y208"/>
      <c r="AA208" s="75"/>
      <c r="AC208" s="26"/>
      <c r="AE208"/>
      <c r="AG208" s="75"/>
    </row>
    <row r="209" spans="1:33">
      <c r="A209"/>
      <c r="B209"/>
      <c r="C209"/>
      <c r="D209" s="75"/>
      <c r="E209" s="46"/>
      <c r="F209" s="46"/>
      <c r="G209"/>
      <c r="H209"/>
      <c r="I209"/>
      <c r="J209"/>
      <c r="K209"/>
      <c r="V209"/>
      <c r="X209" s="75"/>
      <c r="Y209"/>
      <c r="AA209" s="75"/>
      <c r="AC209" s="26"/>
      <c r="AE209"/>
      <c r="AG209" s="75"/>
    </row>
    <row r="210" spans="1:33">
      <c r="A210"/>
      <c r="B210"/>
      <c r="C210"/>
      <c r="D210" s="75"/>
      <c r="E210" s="46"/>
      <c r="F210" s="46"/>
      <c r="G210"/>
      <c r="H210"/>
      <c r="I210"/>
      <c r="J210"/>
      <c r="K210"/>
      <c r="V210"/>
      <c r="X210" s="75"/>
      <c r="Y210"/>
      <c r="AA210" s="75"/>
      <c r="AC210" s="26"/>
      <c r="AE210"/>
      <c r="AG210" s="75"/>
    </row>
    <row r="211" spans="1:33">
      <c r="A211"/>
      <c r="B211"/>
      <c r="C211"/>
      <c r="D211" s="75"/>
      <c r="E211" s="46"/>
      <c r="F211" s="46"/>
      <c r="G211"/>
      <c r="H211"/>
      <c r="I211"/>
      <c r="J211"/>
      <c r="K211"/>
      <c r="V211"/>
      <c r="X211" s="75"/>
      <c r="Y211"/>
      <c r="AA211" s="75"/>
      <c r="AC211" s="26"/>
      <c r="AE211"/>
      <c r="AG211" s="75"/>
    </row>
    <row r="212" spans="1:33">
      <c r="A212"/>
      <c r="B212"/>
      <c r="C212"/>
      <c r="D212" s="75"/>
      <c r="E212" s="46"/>
      <c r="F212" s="46"/>
      <c r="G212"/>
      <c r="H212"/>
      <c r="I212"/>
      <c r="J212"/>
      <c r="K212"/>
      <c r="V212"/>
      <c r="X212" s="75"/>
      <c r="Y212"/>
      <c r="AA212" s="75"/>
      <c r="AC212" s="26"/>
      <c r="AE212"/>
      <c r="AG212" s="75"/>
    </row>
    <row r="213" spans="1:33">
      <c r="A213"/>
      <c r="B213"/>
      <c r="C213"/>
      <c r="D213" s="75"/>
      <c r="E213" s="46"/>
      <c r="F213" s="46"/>
      <c r="G213"/>
      <c r="H213"/>
      <c r="I213"/>
      <c r="J213"/>
      <c r="K213"/>
      <c r="V213"/>
      <c r="X213" s="75"/>
      <c r="Y213"/>
      <c r="AA213" s="75"/>
      <c r="AC213" s="26"/>
      <c r="AE213"/>
      <c r="AG213" s="75"/>
    </row>
    <row r="214" spans="1:33">
      <c r="A214"/>
      <c r="B214"/>
      <c r="C214"/>
      <c r="D214" s="75"/>
      <c r="E214" s="46"/>
      <c r="F214" s="46"/>
      <c r="G214"/>
      <c r="H214"/>
      <c r="I214"/>
      <c r="J214"/>
      <c r="K214"/>
      <c r="V214"/>
      <c r="X214" s="75"/>
      <c r="Y214"/>
      <c r="AA214" s="75"/>
      <c r="AC214" s="26"/>
      <c r="AE214"/>
      <c r="AG214" s="75"/>
    </row>
    <row r="215" spans="1:33">
      <c r="A215"/>
      <c r="B215"/>
      <c r="C215"/>
      <c r="D215" s="75"/>
      <c r="E215" s="46"/>
      <c r="F215" s="46"/>
      <c r="G215"/>
      <c r="H215"/>
      <c r="I215"/>
      <c r="J215"/>
      <c r="K215"/>
      <c r="V215"/>
      <c r="X215" s="75"/>
      <c r="Y215"/>
      <c r="AA215" s="75"/>
      <c r="AC215" s="26"/>
      <c r="AE215"/>
      <c r="AG215" s="75"/>
    </row>
    <row r="216" spans="1:33">
      <c r="A216"/>
      <c r="B216"/>
      <c r="C216"/>
      <c r="D216" s="75"/>
      <c r="E216" s="46"/>
      <c r="F216" s="46"/>
      <c r="G216"/>
      <c r="H216"/>
      <c r="I216"/>
      <c r="J216"/>
      <c r="K216"/>
      <c r="V216"/>
      <c r="X216" s="75"/>
      <c r="Y216"/>
      <c r="AA216" s="75"/>
      <c r="AC216" s="26"/>
      <c r="AE216"/>
      <c r="AG216" s="75"/>
    </row>
    <row r="217" spans="1:33">
      <c r="A217"/>
      <c r="B217"/>
      <c r="C217"/>
      <c r="D217" s="75"/>
      <c r="E217" s="46"/>
      <c r="F217" s="46"/>
      <c r="G217"/>
      <c r="H217"/>
      <c r="I217"/>
      <c r="J217"/>
      <c r="K217"/>
      <c r="V217"/>
      <c r="X217" s="75"/>
      <c r="Y217"/>
      <c r="AA217" s="75"/>
      <c r="AC217" s="26"/>
      <c r="AE217"/>
      <c r="AG217" s="75"/>
    </row>
    <row r="218" spans="1:33">
      <c r="A218"/>
      <c r="B218"/>
      <c r="C218"/>
      <c r="D218" s="75"/>
      <c r="E218" s="46"/>
      <c r="F218" s="46"/>
      <c r="G218"/>
      <c r="H218"/>
      <c r="I218"/>
      <c r="J218"/>
      <c r="K218"/>
      <c r="V218"/>
      <c r="X218" s="75"/>
      <c r="Y218"/>
      <c r="AA218" s="75"/>
      <c r="AC218" s="26"/>
      <c r="AE218"/>
      <c r="AG218" s="75"/>
    </row>
    <row r="219" spans="1:33">
      <c r="A219"/>
      <c r="B219"/>
      <c r="C219"/>
      <c r="D219" s="75"/>
      <c r="E219" s="46"/>
      <c r="F219" s="46"/>
      <c r="G219"/>
      <c r="H219"/>
      <c r="I219"/>
      <c r="J219"/>
      <c r="K219"/>
      <c r="V219"/>
      <c r="X219" s="75"/>
      <c r="Y219"/>
      <c r="AA219" s="75"/>
      <c r="AC219" s="26"/>
      <c r="AE219"/>
      <c r="AG219" s="75"/>
    </row>
    <row r="220" spans="1:33">
      <c r="A220"/>
      <c r="B220"/>
      <c r="C220"/>
      <c r="D220" s="75"/>
      <c r="E220" s="46"/>
      <c r="F220" s="46"/>
      <c r="G220"/>
      <c r="H220"/>
      <c r="I220"/>
      <c r="J220"/>
      <c r="K220"/>
      <c r="V220"/>
      <c r="X220" s="75"/>
      <c r="Y220"/>
      <c r="AA220" s="75"/>
      <c r="AC220" s="26"/>
      <c r="AE220"/>
      <c r="AG220" s="75"/>
    </row>
    <row r="221" spans="1:33">
      <c r="A221"/>
      <c r="B221"/>
      <c r="C221"/>
      <c r="D221" s="75"/>
      <c r="E221" s="46"/>
      <c r="F221" s="46"/>
      <c r="G221"/>
      <c r="H221"/>
      <c r="I221"/>
      <c r="J221"/>
      <c r="K221"/>
      <c r="V221"/>
      <c r="X221" s="75"/>
      <c r="Y221"/>
      <c r="AA221" s="75"/>
      <c r="AC221" s="26"/>
      <c r="AE221"/>
      <c r="AG221" s="75"/>
    </row>
    <row r="222" spans="1:33">
      <c r="A222"/>
      <c r="B222"/>
      <c r="C222"/>
      <c r="D222" s="75"/>
      <c r="E222" s="46"/>
      <c r="F222" s="46"/>
      <c r="G222"/>
      <c r="H222"/>
      <c r="I222"/>
      <c r="J222"/>
      <c r="K222"/>
      <c r="V222"/>
      <c r="X222" s="75"/>
      <c r="Y222"/>
      <c r="AA222" s="75"/>
      <c r="AC222" s="26"/>
      <c r="AE222"/>
      <c r="AG222" s="75"/>
    </row>
    <row r="223" spans="1:33">
      <c r="A223" s="81"/>
      <c r="B223" s="81"/>
      <c r="C223" s="81"/>
      <c r="D223" s="75"/>
      <c r="E223" s="80"/>
      <c r="F223" s="80"/>
      <c r="G223" s="81"/>
      <c r="H223" s="81"/>
      <c r="I223" s="81"/>
      <c r="J223" s="81"/>
      <c r="K223" s="81"/>
      <c r="V223" s="81"/>
      <c r="X223" s="75"/>
      <c r="Y223" s="81"/>
      <c r="AA223" s="75"/>
      <c r="AC223" s="26"/>
      <c r="AE223" s="81"/>
      <c r="AG223" s="75"/>
    </row>
    <row r="224" spans="1:33">
      <c r="A224" s="81"/>
      <c r="B224" s="81"/>
      <c r="C224" s="81"/>
      <c r="D224" s="75"/>
      <c r="E224" s="80"/>
      <c r="F224" s="80"/>
      <c r="G224" s="81"/>
      <c r="H224" s="81"/>
      <c r="I224" s="81"/>
      <c r="J224" s="81"/>
      <c r="K224" s="81"/>
      <c r="V224" s="81"/>
      <c r="X224" s="75"/>
      <c r="Y224" s="81"/>
      <c r="AA224" s="75"/>
      <c r="AC224" s="26"/>
      <c r="AE224" s="81"/>
      <c r="AG224" s="75"/>
    </row>
    <row r="225" spans="1:33">
      <c r="A225" s="81"/>
      <c r="B225" s="81"/>
      <c r="C225" s="81"/>
      <c r="D225" s="75"/>
      <c r="E225" s="80"/>
      <c r="F225" s="80"/>
      <c r="G225" s="81"/>
      <c r="H225" s="81"/>
      <c r="I225" s="81"/>
      <c r="J225" s="81"/>
      <c r="K225" s="81"/>
      <c r="V225" s="81"/>
      <c r="X225" s="75"/>
      <c r="Y225" s="81"/>
      <c r="AA225" s="75"/>
      <c r="AC225" s="26"/>
      <c r="AE225" s="81"/>
      <c r="AG225" s="75"/>
    </row>
    <row r="226" spans="1:33">
      <c r="A226" s="81"/>
      <c r="B226" s="81"/>
      <c r="C226" s="81"/>
      <c r="D226" s="75"/>
      <c r="E226" s="80"/>
      <c r="F226" s="80"/>
      <c r="G226" s="81"/>
      <c r="H226" s="81"/>
      <c r="I226" s="81"/>
      <c r="J226" s="81"/>
      <c r="K226" s="81"/>
      <c r="V226" s="81"/>
      <c r="X226" s="75"/>
      <c r="Y226" s="81"/>
      <c r="AA226" s="75"/>
      <c r="AC226" s="26"/>
      <c r="AE226" s="81"/>
      <c r="AG226" s="75"/>
    </row>
    <row r="227" spans="1:33">
      <c r="A227"/>
      <c r="B227"/>
      <c r="C227"/>
      <c r="D227" s="75"/>
      <c r="E227" s="46"/>
      <c r="F227" s="46"/>
      <c r="G227"/>
      <c r="H227"/>
      <c r="I227"/>
      <c r="J227"/>
      <c r="K227"/>
      <c r="V227"/>
      <c r="X227" s="75"/>
      <c r="Y227"/>
      <c r="AA227" s="75"/>
      <c r="AC227" s="26"/>
      <c r="AE227"/>
      <c r="AG227" s="75"/>
    </row>
    <row r="228" spans="1:33">
      <c r="A228"/>
      <c r="B228"/>
      <c r="C228"/>
      <c r="D228" s="75"/>
      <c r="E228" s="46"/>
      <c r="F228" s="46"/>
      <c r="G228"/>
      <c r="H228"/>
      <c r="I228"/>
      <c r="J228"/>
      <c r="K228"/>
      <c r="V228"/>
      <c r="X228" s="75"/>
      <c r="Y228"/>
      <c r="AA228" s="75"/>
      <c r="AC228" s="26"/>
      <c r="AE228"/>
      <c r="AG228" s="75"/>
    </row>
    <row r="229" spans="1:33">
      <c r="A229"/>
      <c r="B229"/>
      <c r="C229"/>
      <c r="D229" s="75"/>
      <c r="E229" s="46"/>
      <c r="F229" s="46"/>
      <c r="G229"/>
      <c r="H229"/>
      <c r="I229"/>
      <c r="J229"/>
      <c r="K229"/>
      <c r="V229"/>
      <c r="X229" s="75"/>
      <c r="Y229"/>
      <c r="AA229" s="75"/>
      <c r="AC229" s="26"/>
      <c r="AE229"/>
      <c r="AG229" s="75"/>
    </row>
    <row r="230" spans="1:33">
      <c r="A230"/>
      <c r="B230"/>
      <c r="C230"/>
      <c r="D230" s="75"/>
      <c r="E230" s="46"/>
      <c r="F230" s="46"/>
      <c r="G230"/>
      <c r="H230"/>
      <c r="I230"/>
      <c r="J230"/>
      <c r="K230"/>
      <c r="V230"/>
      <c r="X230" s="75"/>
      <c r="Y230"/>
      <c r="AA230" s="75"/>
      <c r="AC230" s="26"/>
      <c r="AE230"/>
      <c r="AG230" s="75"/>
    </row>
    <row r="231" spans="1:33">
      <c r="A231"/>
      <c r="B231"/>
      <c r="C231"/>
      <c r="D231" s="75"/>
      <c r="E231" s="46"/>
      <c r="F231" s="46"/>
      <c r="G231"/>
      <c r="H231"/>
      <c r="I231"/>
      <c r="J231"/>
      <c r="K231"/>
      <c r="V231"/>
      <c r="X231" s="75"/>
      <c r="Y231"/>
      <c r="AA231" s="75"/>
      <c r="AC231" s="26"/>
      <c r="AE231"/>
      <c r="AG231" s="75"/>
    </row>
    <row r="232" spans="1:33">
      <c r="A232"/>
      <c r="B232"/>
      <c r="C232"/>
      <c r="D232" s="75"/>
      <c r="E232" s="46"/>
      <c r="F232" s="46"/>
      <c r="G232"/>
      <c r="H232"/>
      <c r="I232"/>
      <c r="J232"/>
      <c r="K232"/>
      <c r="V232"/>
      <c r="X232" s="75"/>
      <c r="Y232"/>
      <c r="AA232" s="75"/>
      <c r="AC232" s="26"/>
      <c r="AE232"/>
      <c r="AG232" s="75"/>
    </row>
    <row r="233" spans="1:33">
      <c r="A233"/>
      <c r="B233"/>
      <c r="C233"/>
      <c r="D233" s="75"/>
      <c r="E233" s="46"/>
      <c r="F233" s="46"/>
      <c r="G233"/>
      <c r="H233"/>
      <c r="I233"/>
      <c r="J233"/>
      <c r="K233"/>
      <c r="V233"/>
      <c r="X233" s="75"/>
      <c r="Y233"/>
      <c r="AA233" s="75"/>
      <c r="AC233" s="26"/>
      <c r="AE233"/>
      <c r="AG233" s="75"/>
    </row>
    <row r="234" spans="1:33">
      <c r="A234"/>
      <c r="B234"/>
      <c r="C234"/>
      <c r="D234" s="75"/>
      <c r="E234" s="46"/>
      <c r="F234" s="46"/>
      <c r="G234"/>
      <c r="H234"/>
      <c r="I234"/>
      <c r="J234"/>
      <c r="K234"/>
      <c r="V234"/>
      <c r="X234" s="75"/>
      <c r="Y234"/>
      <c r="AA234" s="75"/>
      <c r="AC234" s="26"/>
      <c r="AE234"/>
      <c r="AG234" s="75"/>
    </row>
    <row r="235" spans="1:33">
      <c r="A235"/>
      <c r="B235"/>
      <c r="C235"/>
      <c r="D235" s="75"/>
      <c r="E235" s="46"/>
      <c r="F235" s="46"/>
      <c r="G235"/>
      <c r="H235"/>
      <c r="I235"/>
      <c r="J235"/>
      <c r="K235"/>
      <c r="V235"/>
      <c r="X235" s="75"/>
      <c r="Y235"/>
      <c r="AA235" s="75"/>
      <c r="AC235" s="26"/>
      <c r="AE235"/>
      <c r="AG235" s="75"/>
    </row>
    <row r="236" spans="1:33">
      <c r="A236"/>
      <c r="B236"/>
      <c r="C236"/>
      <c r="D236" s="75"/>
      <c r="E236" s="46"/>
      <c r="F236" s="46"/>
      <c r="G236"/>
      <c r="H236"/>
      <c r="I236"/>
      <c r="J236"/>
      <c r="K236"/>
      <c r="V236"/>
      <c r="X236" s="75"/>
      <c r="Y236"/>
      <c r="AA236" s="75"/>
      <c r="AC236" s="26"/>
      <c r="AE236"/>
      <c r="AG236" s="75"/>
    </row>
    <row r="237" spans="1:33">
      <c r="A237"/>
      <c r="B237"/>
      <c r="C237"/>
      <c r="D237" s="75"/>
      <c r="E237" s="46"/>
      <c r="F237" s="46"/>
      <c r="G237"/>
      <c r="H237"/>
      <c r="I237"/>
      <c r="J237"/>
      <c r="K237"/>
      <c r="V237"/>
      <c r="X237" s="75"/>
      <c r="Y237"/>
      <c r="AA237" s="75"/>
      <c r="AC237" s="26"/>
      <c r="AE237"/>
      <c r="AG237" s="75"/>
    </row>
    <row r="238" spans="1:33">
      <c r="A238"/>
      <c r="B238"/>
      <c r="C238"/>
      <c r="D238" s="75"/>
      <c r="E238" s="46"/>
      <c r="F238" s="46"/>
      <c r="G238"/>
      <c r="H238"/>
      <c r="I238"/>
      <c r="J238"/>
      <c r="K238"/>
      <c r="V238"/>
      <c r="X238" s="75"/>
      <c r="Y238"/>
      <c r="AA238" s="75"/>
      <c r="AC238" s="26"/>
      <c r="AE238"/>
      <c r="AG238" s="75"/>
    </row>
    <row r="239" spans="1:33">
      <c r="A239"/>
      <c r="B239"/>
      <c r="C239"/>
      <c r="D239" s="75"/>
      <c r="E239" s="46"/>
      <c r="F239" s="46"/>
      <c r="G239"/>
      <c r="H239"/>
      <c r="I239"/>
      <c r="J239"/>
      <c r="K239"/>
      <c r="V239"/>
      <c r="X239" s="75"/>
      <c r="Y239"/>
      <c r="AA239" s="75"/>
      <c r="AC239" s="26"/>
      <c r="AE239"/>
      <c r="AG239" s="75"/>
    </row>
    <row r="240" spans="1:33">
      <c r="A240"/>
      <c r="B240"/>
      <c r="C240"/>
      <c r="D240" s="75"/>
      <c r="E240" s="46"/>
      <c r="F240" s="46"/>
      <c r="G240"/>
      <c r="H240"/>
      <c r="I240"/>
      <c r="J240"/>
      <c r="K240"/>
      <c r="V240"/>
      <c r="X240" s="75"/>
      <c r="Y240"/>
      <c r="AA240" s="75"/>
      <c r="AB240" s="46"/>
      <c r="AC240" s="26"/>
      <c r="AE240"/>
      <c r="AG240" s="75"/>
    </row>
    <row r="241" spans="1:33">
      <c r="A241"/>
      <c r="B241"/>
      <c r="C241"/>
      <c r="D241" s="75"/>
      <c r="E241" s="46"/>
      <c r="F241" s="46"/>
      <c r="G241"/>
      <c r="H241"/>
      <c r="I241"/>
      <c r="J241"/>
      <c r="K241"/>
      <c r="V241"/>
      <c r="X241" s="75"/>
      <c r="Y241"/>
      <c r="AA241" s="75"/>
      <c r="AB241" s="46"/>
      <c r="AC241" s="26"/>
      <c r="AE241"/>
      <c r="AG241" s="75"/>
    </row>
    <row r="242" spans="1:33">
      <c r="A242"/>
      <c r="B242"/>
      <c r="C242"/>
      <c r="D242" s="75"/>
      <c r="E242" s="46"/>
      <c r="F242" s="46"/>
      <c r="G242"/>
      <c r="H242"/>
      <c r="I242"/>
      <c r="J242"/>
      <c r="K242"/>
      <c r="V242"/>
      <c r="X242" s="75"/>
      <c r="Y242"/>
      <c r="AA242" s="75"/>
      <c r="AB242" s="46"/>
      <c r="AC242" s="26"/>
      <c r="AE242"/>
      <c r="AG242" s="75"/>
    </row>
    <row r="243" spans="1:33">
      <c r="A243"/>
      <c r="B243"/>
      <c r="C243"/>
      <c r="D243" s="75"/>
      <c r="E243" s="46"/>
      <c r="F243" s="46"/>
      <c r="G243"/>
      <c r="H243"/>
      <c r="I243"/>
      <c r="J243"/>
      <c r="K243"/>
      <c r="V243"/>
      <c r="X243" s="75"/>
      <c r="Y243"/>
      <c r="AA243" s="75"/>
      <c r="AB243" s="46"/>
      <c r="AC243" s="26"/>
      <c r="AE243"/>
      <c r="AG243" s="75"/>
    </row>
    <row r="244" spans="1:33">
      <c r="A244"/>
      <c r="B244"/>
      <c r="C244"/>
      <c r="D244" s="75"/>
      <c r="E244" s="46"/>
      <c r="F244" s="46"/>
      <c r="G244"/>
      <c r="H244"/>
      <c r="I244"/>
      <c r="J244"/>
      <c r="K244"/>
      <c r="V244"/>
      <c r="X244" s="75"/>
      <c r="Y244"/>
      <c r="AA244" s="75"/>
      <c r="AB244" s="46"/>
      <c r="AC244" s="26"/>
      <c r="AE244"/>
      <c r="AG244" s="75"/>
    </row>
    <row r="245" spans="1:33">
      <c r="A245"/>
      <c r="B245"/>
      <c r="C245"/>
      <c r="D245" s="75"/>
      <c r="E245" s="46"/>
      <c r="F245" s="46"/>
      <c r="G245"/>
      <c r="H245"/>
      <c r="I245"/>
      <c r="J245"/>
      <c r="K245"/>
      <c r="V245"/>
      <c r="X245" s="75"/>
      <c r="Y245"/>
      <c r="AA245" s="75"/>
      <c r="AB245" s="46"/>
      <c r="AC245" s="26"/>
      <c r="AE245"/>
      <c r="AG245" s="75"/>
    </row>
    <row r="246" spans="1:33">
      <c r="A246"/>
      <c r="B246"/>
      <c r="C246"/>
      <c r="D246" s="75"/>
      <c r="E246" s="46"/>
      <c r="F246" s="46"/>
      <c r="G246"/>
      <c r="H246"/>
      <c r="I246"/>
      <c r="J246"/>
      <c r="K246"/>
      <c r="V246"/>
      <c r="X246" s="75"/>
      <c r="Y246"/>
      <c r="AA246" s="75"/>
      <c r="AB246" s="46"/>
      <c r="AC246" s="26"/>
      <c r="AE246"/>
      <c r="AG246" s="75"/>
    </row>
    <row r="247" spans="1:33">
      <c r="A247"/>
      <c r="B247"/>
      <c r="C247"/>
      <c r="D247" s="75"/>
      <c r="E247" s="46"/>
      <c r="F247" s="46"/>
      <c r="G247"/>
      <c r="H247"/>
      <c r="I247"/>
      <c r="J247"/>
      <c r="K247"/>
      <c r="V247"/>
      <c r="X247" s="75"/>
      <c r="Y247"/>
      <c r="AA247" s="75"/>
      <c r="AB247" s="46"/>
      <c r="AC247" s="26"/>
      <c r="AE247"/>
      <c r="AG247" s="75"/>
    </row>
    <row r="248" spans="1:33">
      <c r="A248"/>
      <c r="B248"/>
      <c r="C248"/>
      <c r="D248" s="75"/>
      <c r="E248" s="46"/>
      <c r="F248" s="46"/>
      <c r="G248"/>
      <c r="H248"/>
      <c r="I248"/>
      <c r="J248"/>
      <c r="K248"/>
      <c r="V248"/>
      <c r="X248" s="75"/>
      <c r="Y248"/>
      <c r="AA248" s="75"/>
      <c r="AB248" s="46"/>
      <c r="AC248" s="26"/>
      <c r="AE248"/>
      <c r="AG248" s="75"/>
    </row>
    <row r="249" spans="1:33">
      <c r="A249"/>
      <c r="B249"/>
      <c r="C249"/>
      <c r="D249" s="75"/>
      <c r="E249" s="46"/>
      <c r="F249" s="46"/>
      <c r="G249"/>
      <c r="H249"/>
      <c r="I249"/>
      <c r="J249"/>
      <c r="K249"/>
      <c r="V249"/>
      <c r="X249" s="75"/>
      <c r="Y249"/>
      <c r="AA249" s="75"/>
      <c r="AB249" s="46"/>
      <c r="AC249" s="26"/>
      <c r="AE249"/>
      <c r="AG249" s="75"/>
    </row>
    <row r="250" spans="1:33">
      <c r="A250"/>
      <c r="B250"/>
      <c r="C250"/>
      <c r="D250" s="75"/>
      <c r="E250" s="46"/>
      <c r="F250" s="46"/>
      <c r="G250"/>
      <c r="H250"/>
      <c r="I250"/>
      <c r="J250"/>
      <c r="K250"/>
      <c r="V250"/>
      <c r="X250" s="75"/>
      <c r="Y250"/>
      <c r="AA250" s="75"/>
      <c r="AB250" s="46"/>
      <c r="AC250" s="26"/>
      <c r="AE250"/>
      <c r="AG250" s="75"/>
    </row>
    <row r="251" spans="1:33">
      <c r="A251"/>
      <c r="B251"/>
      <c r="C251"/>
      <c r="D251" s="75"/>
      <c r="E251" s="46"/>
      <c r="F251" s="46"/>
      <c r="G251"/>
      <c r="H251"/>
      <c r="I251"/>
      <c r="J251"/>
      <c r="K251"/>
      <c r="V251"/>
      <c r="X251" s="75"/>
      <c r="Y251"/>
      <c r="AA251" s="75"/>
      <c r="AB251" s="46"/>
      <c r="AC251" s="26"/>
      <c r="AE251"/>
      <c r="AG251" s="75"/>
    </row>
    <row r="252" spans="1:33">
      <c r="A252"/>
      <c r="B252"/>
      <c r="C252"/>
      <c r="D252" s="75"/>
      <c r="E252" s="46"/>
      <c r="F252" s="46"/>
      <c r="G252"/>
      <c r="H252"/>
      <c r="I252"/>
      <c r="J252"/>
      <c r="K252"/>
      <c r="V252"/>
      <c r="X252" s="75"/>
      <c r="Y252"/>
      <c r="AA252" s="75"/>
      <c r="AB252" s="46"/>
      <c r="AC252" s="26"/>
      <c r="AE252"/>
      <c r="AG252" s="75"/>
    </row>
    <row r="253" spans="1:33">
      <c r="A253"/>
      <c r="B253"/>
      <c r="C253"/>
      <c r="D253" s="75"/>
      <c r="E253" s="46"/>
      <c r="F253" s="46"/>
      <c r="G253"/>
      <c r="H253"/>
      <c r="I253"/>
      <c r="J253"/>
      <c r="K253"/>
      <c r="V253"/>
      <c r="X253" s="75"/>
      <c r="Y253"/>
      <c r="AA253" s="75"/>
      <c r="AB253" s="46"/>
      <c r="AC253" s="26"/>
      <c r="AE253"/>
      <c r="AG253" s="75"/>
    </row>
    <row r="254" spans="1:33">
      <c r="A254"/>
      <c r="B254"/>
      <c r="C254"/>
      <c r="D254" s="75"/>
      <c r="E254" s="46"/>
      <c r="F254" s="46"/>
      <c r="G254"/>
      <c r="H254"/>
      <c r="I254"/>
      <c r="J254"/>
      <c r="K254"/>
      <c r="V254"/>
      <c r="X254" s="75"/>
      <c r="Y254"/>
      <c r="AA254" s="75"/>
      <c r="AB254" s="46"/>
      <c r="AC254" s="26"/>
      <c r="AE254"/>
      <c r="AG254" s="75"/>
    </row>
    <row r="255" spans="1:33">
      <c r="A255"/>
      <c r="B255"/>
      <c r="C255"/>
      <c r="D255" s="75"/>
      <c r="E255" s="46"/>
      <c r="F255" s="46"/>
      <c r="G255"/>
      <c r="H255"/>
      <c r="I255"/>
      <c r="J255"/>
      <c r="K255"/>
      <c r="V255"/>
      <c r="X255" s="75"/>
      <c r="Y255"/>
      <c r="AA255" s="75"/>
      <c r="AB255" s="46"/>
      <c r="AC255" s="26"/>
      <c r="AE255"/>
      <c r="AG255" s="75"/>
    </row>
    <row r="256" spans="1:33">
      <c r="A256"/>
      <c r="B256"/>
      <c r="C256"/>
      <c r="D256" s="75"/>
      <c r="E256" s="46"/>
      <c r="F256" s="46"/>
      <c r="G256"/>
      <c r="H256"/>
      <c r="I256"/>
      <c r="J256"/>
      <c r="K256"/>
      <c r="V256"/>
      <c r="X256" s="75"/>
      <c r="Y256"/>
      <c r="AA256" s="75"/>
      <c r="AB256" s="46"/>
      <c r="AC256" s="26"/>
      <c r="AE256"/>
      <c r="AG256" s="75"/>
    </row>
    <row r="257" spans="1:33">
      <c r="A257"/>
      <c r="B257"/>
      <c r="C257"/>
      <c r="D257" s="75"/>
      <c r="E257" s="46"/>
      <c r="F257" s="46"/>
      <c r="G257"/>
      <c r="H257"/>
      <c r="I257"/>
      <c r="J257"/>
      <c r="K257"/>
      <c r="V257"/>
      <c r="X257" s="75"/>
      <c r="Y257"/>
      <c r="AA257" s="75"/>
      <c r="AB257" s="46"/>
      <c r="AC257" s="26"/>
      <c r="AE257"/>
      <c r="AG257" s="75"/>
    </row>
    <row r="258" spans="1:33">
      <c r="A258"/>
      <c r="B258"/>
      <c r="C258"/>
      <c r="D258" s="75"/>
      <c r="E258" s="46"/>
      <c r="F258" s="46"/>
      <c r="G258"/>
      <c r="H258"/>
      <c r="I258"/>
      <c r="J258"/>
      <c r="K258"/>
      <c r="V258"/>
      <c r="X258" s="75"/>
      <c r="Y258"/>
      <c r="AA258" s="75"/>
      <c r="AB258" s="46"/>
      <c r="AC258" s="26"/>
      <c r="AE258"/>
      <c r="AG258" s="75"/>
    </row>
    <row r="259" spans="1:33">
      <c r="A259"/>
      <c r="B259"/>
      <c r="C259"/>
      <c r="D259" s="75"/>
      <c r="E259" s="46"/>
      <c r="F259" s="46"/>
      <c r="G259"/>
      <c r="H259"/>
      <c r="I259"/>
      <c r="J259"/>
      <c r="K259"/>
      <c r="V259"/>
      <c r="X259" s="75"/>
      <c r="Y259"/>
      <c r="AA259" s="75"/>
      <c r="AB259" s="46"/>
      <c r="AC259" s="26"/>
      <c r="AE259"/>
      <c r="AG259" s="75"/>
    </row>
    <row r="260" spans="1:33">
      <c r="A260"/>
      <c r="B260"/>
      <c r="C260"/>
      <c r="D260" s="75"/>
      <c r="E260" s="46"/>
      <c r="F260" s="46"/>
      <c r="G260"/>
      <c r="H260"/>
      <c r="I260"/>
      <c r="J260"/>
      <c r="K260"/>
      <c r="V260"/>
      <c r="X260" s="75"/>
      <c r="Y260"/>
      <c r="AA260" s="75"/>
      <c r="AB260" s="77"/>
      <c r="AC260" s="76"/>
      <c r="AE260"/>
      <c r="AG260" s="75"/>
    </row>
    <row r="261" spans="1:33">
      <c r="A261"/>
      <c r="B261"/>
      <c r="C261"/>
      <c r="D261" s="75"/>
      <c r="E261" s="46"/>
      <c r="F261" s="46"/>
      <c r="G261"/>
      <c r="H261"/>
      <c r="I261"/>
      <c r="J261"/>
      <c r="K261"/>
      <c r="V261"/>
      <c r="X261" s="75"/>
      <c r="Y261"/>
      <c r="AA261" s="75"/>
      <c r="AB261" s="77"/>
      <c r="AC261" s="76"/>
      <c r="AE261"/>
      <c r="AG261" s="75"/>
    </row>
    <row r="262" spans="1:33">
      <c r="A262"/>
      <c r="B262"/>
      <c r="C262"/>
      <c r="D262" s="75"/>
      <c r="E262" s="46"/>
      <c r="F262" s="46"/>
      <c r="G262"/>
      <c r="H262"/>
      <c r="I262"/>
      <c r="J262"/>
      <c r="K262"/>
      <c r="V262"/>
      <c r="X262" s="75"/>
      <c r="Y262"/>
      <c r="AA262" s="75"/>
      <c r="AB262" s="77"/>
      <c r="AC262" s="76"/>
      <c r="AE262"/>
      <c r="AG262" s="75"/>
    </row>
    <row r="263" spans="1:33">
      <c r="A263"/>
      <c r="B263"/>
      <c r="C263"/>
      <c r="D263" s="75"/>
      <c r="E263" s="46"/>
      <c r="F263" s="46"/>
      <c r="G263"/>
      <c r="H263"/>
      <c r="I263"/>
      <c r="J263"/>
      <c r="K263"/>
      <c r="V263"/>
      <c r="X263" s="75"/>
      <c r="Y263"/>
      <c r="AA263" s="75"/>
      <c r="AB263" s="77"/>
      <c r="AC263" s="76"/>
      <c r="AE263"/>
      <c r="AG263" s="75"/>
    </row>
    <row r="264" spans="1:33">
      <c r="A264"/>
      <c r="B264"/>
      <c r="C264"/>
      <c r="D264" s="75"/>
      <c r="E264" s="46"/>
      <c r="F264" s="46"/>
      <c r="G264"/>
      <c r="H264"/>
      <c r="I264"/>
      <c r="J264"/>
      <c r="K264"/>
      <c r="V264"/>
      <c r="X264" s="75"/>
      <c r="Y264"/>
      <c r="AA264" s="75"/>
      <c r="AB264" s="77"/>
      <c r="AC264" s="76"/>
      <c r="AE264"/>
      <c r="AG264" s="75"/>
    </row>
    <row r="265" spans="1:33">
      <c r="A265"/>
      <c r="B265"/>
      <c r="C265"/>
      <c r="D265" s="75"/>
      <c r="E265" s="46"/>
      <c r="F265" s="46"/>
      <c r="G265"/>
      <c r="H265"/>
      <c r="I265"/>
      <c r="J265"/>
      <c r="K265"/>
      <c r="V265"/>
      <c r="X265" s="75"/>
      <c r="Y265"/>
      <c r="AA265" s="75"/>
      <c r="AB265" s="77"/>
      <c r="AC265" s="76"/>
      <c r="AE265"/>
      <c r="AG265" s="75"/>
    </row>
    <row r="266" spans="1:33">
      <c r="A266"/>
      <c r="B266"/>
      <c r="C266"/>
      <c r="D266" s="75"/>
      <c r="E266" s="46"/>
      <c r="F266" s="46"/>
      <c r="G266"/>
      <c r="H266"/>
      <c r="I266"/>
      <c r="J266"/>
      <c r="K266"/>
      <c r="V266"/>
      <c r="X266" s="75"/>
      <c r="Y266"/>
      <c r="AA266" s="75"/>
      <c r="AB266" s="77"/>
      <c r="AC266" s="76"/>
      <c r="AE266"/>
      <c r="AG266" s="75"/>
    </row>
    <row r="267" spans="1:33">
      <c r="A267"/>
      <c r="B267"/>
      <c r="C267"/>
      <c r="D267" s="75"/>
      <c r="E267" s="46"/>
      <c r="F267" s="46"/>
      <c r="G267"/>
      <c r="H267"/>
      <c r="I267"/>
      <c r="J267"/>
      <c r="K267"/>
      <c r="V267"/>
      <c r="X267" s="75"/>
      <c r="Y267"/>
      <c r="AA267" s="75"/>
      <c r="AB267" s="77"/>
      <c r="AC267" s="76"/>
      <c r="AE267"/>
      <c r="AG267" s="75"/>
    </row>
    <row r="268" spans="1:33">
      <c r="A268"/>
      <c r="B268"/>
      <c r="C268"/>
      <c r="D268" s="75"/>
      <c r="E268" s="46"/>
      <c r="F268" s="46"/>
      <c r="G268"/>
      <c r="H268"/>
      <c r="I268"/>
      <c r="J268"/>
      <c r="K268"/>
      <c r="V268"/>
      <c r="X268" s="75"/>
      <c r="Y268"/>
      <c r="AA268" s="75"/>
      <c r="AB268" s="77"/>
      <c r="AC268" s="76"/>
      <c r="AE268"/>
      <c r="AG268" s="75"/>
    </row>
    <row r="269" spans="1:33">
      <c r="A269"/>
      <c r="B269"/>
      <c r="C269"/>
      <c r="D269" s="75"/>
      <c r="E269" s="46"/>
      <c r="F269" s="46"/>
      <c r="G269"/>
      <c r="H269"/>
      <c r="I269"/>
      <c r="J269"/>
      <c r="K269"/>
      <c r="V269"/>
      <c r="X269" s="75"/>
      <c r="Y269"/>
      <c r="AA269" s="75"/>
      <c r="AB269" s="77"/>
      <c r="AC269" s="76"/>
      <c r="AE269"/>
      <c r="AG269" s="75"/>
    </row>
    <row r="270" spans="1:33">
      <c r="A270"/>
      <c r="B270"/>
      <c r="C270"/>
      <c r="D270" s="75"/>
      <c r="E270" s="46"/>
      <c r="F270" s="46"/>
      <c r="G270"/>
      <c r="H270"/>
      <c r="I270"/>
      <c r="J270"/>
      <c r="K270"/>
      <c r="V270"/>
      <c r="X270" s="75"/>
      <c r="Y270"/>
      <c r="AA270" s="75"/>
      <c r="AB270" s="77"/>
      <c r="AC270" s="76"/>
      <c r="AE270"/>
      <c r="AG270" s="75"/>
    </row>
    <row r="271" spans="1:33">
      <c r="A271"/>
      <c r="B271"/>
      <c r="C271"/>
      <c r="D271" s="75"/>
      <c r="E271" s="46"/>
      <c r="F271" s="46"/>
      <c r="G271"/>
      <c r="H271"/>
      <c r="I271"/>
      <c r="J271"/>
      <c r="K271"/>
      <c r="V271"/>
      <c r="X271" s="75"/>
      <c r="Y271"/>
      <c r="AA271" s="75"/>
      <c r="AB271" s="77"/>
      <c r="AC271" s="76"/>
      <c r="AE271"/>
      <c r="AG271" s="75"/>
    </row>
    <row r="272" spans="1:33">
      <c r="A272"/>
      <c r="B272"/>
      <c r="C272"/>
      <c r="D272" s="75"/>
      <c r="E272" s="46"/>
      <c r="F272" s="46"/>
      <c r="G272"/>
      <c r="H272"/>
      <c r="I272"/>
      <c r="J272"/>
      <c r="K272"/>
      <c r="V272"/>
      <c r="X272" s="75"/>
      <c r="Y272"/>
      <c r="AA272" s="75"/>
      <c r="AB272" s="77"/>
      <c r="AC272" s="76"/>
      <c r="AE272"/>
      <c r="AG272" s="75"/>
    </row>
    <row r="273" spans="1:33">
      <c r="A273"/>
      <c r="B273"/>
      <c r="C273"/>
      <c r="D273" s="75"/>
      <c r="E273" s="46"/>
      <c r="F273" s="46"/>
      <c r="G273"/>
      <c r="H273"/>
      <c r="I273"/>
      <c r="J273"/>
      <c r="K273"/>
      <c r="V273"/>
      <c r="X273" s="75"/>
      <c r="Y273"/>
      <c r="AA273" s="75"/>
      <c r="AB273" s="77"/>
      <c r="AC273" s="76"/>
      <c r="AE273"/>
      <c r="AG273" s="75"/>
    </row>
    <row r="274" spans="1:33">
      <c r="A274"/>
      <c r="B274"/>
      <c r="C274"/>
      <c r="D274" s="75"/>
      <c r="E274" s="46"/>
      <c r="F274" s="46"/>
      <c r="G274"/>
      <c r="H274"/>
      <c r="I274"/>
      <c r="J274"/>
      <c r="K274"/>
      <c r="V274"/>
      <c r="X274" s="75"/>
      <c r="Y274"/>
      <c r="AA274" s="75"/>
      <c r="AB274" s="77"/>
      <c r="AC274" s="76"/>
      <c r="AE274"/>
      <c r="AG274" s="75"/>
    </row>
    <row r="275" spans="1:33">
      <c r="A275"/>
      <c r="B275"/>
      <c r="C275"/>
      <c r="D275" s="75"/>
      <c r="E275" s="46"/>
      <c r="F275" s="46"/>
      <c r="G275"/>
      <c r="H275"/>
      <c r="I275"/>
      <c r="J275"/>
      <c r="K275"/>
      <c r="V275"/>
      <c r="X275" s="75"/>
      <c r="Y275"/>
      <c r="AA275" s="75"/>
      <c r="AB275" s="77"/>
      <c r="AC275" s="76"/>
      <c r="AE275"/>
      <c r="AG275" s="75"/>
    </row>
    <row r="276" spans="1:33">
      <c r="A276"/>
      <c r="B276"/>
      <c r="C276"/>
      <c r="D276" s="75"/>
      <c r="E276" s="46"/>
      <c r="F276" s="46"/>
      <c r="G276"/>
      <c r="H276"/>
      <c r="I276"/>
      <c r="J276"/>
      <c r="K276"/>
      <c r="V276"/>
      <c r="X276" s="75"/>
      <c r="Y276"/>
      <c r="AA276" s="75"/>
      <c r="AB276" s="77"/>
      <c r="AC276" s="76"/>
      <c r="AE276"/>
      <c r="AG276" s="75"/>
    </row>
    <row r="277" spans="1:33">
      <c r="A277"/>
      <c r="B277"/>
      <c r="C277"/>
      <c r="D277" s="75"/>
      <c r="E277" s="46"/>
      <c r="F277" s="46"/>
      <c r="G277"/>
      <c r="H277"/>
      <c r="I277"/>
      <c r="J277"/>
      <c r="K277"/>
      <c r="V277"/>
      <c r="Y277"/>
      <c r="Z277" s="46"/>
      <c r="AB277" s="46"/>
      <c r="AC277" s="46"/>
      <c r="AE277"/>
      <c r="AG277" s="75"/>
    </row>
    <row r="278" spans="1:33">
      <c r="A278"/>
      <c r="B278"/>
      <c r="C278"/>
      <c r="D278" s="75"/>
      <c r="E278" s="46"/>
      <c r="F278" s="46"/>
      <c r="G278"/>
      <c r="H278"/>
      <c r="I278"/>
      <c r="J278"/>
      <c r="K278"/>
      <c r="V278"/>
      <c r="Y278"/>
      <c r="Z278" s="46"/>
      <c r="AB278" s="46"/>
      <c r="AC278" s="46"/>
      <c r="AE278"/>
      <c r="AG278" s="75"/>
    </row>
    <row r="279" spans="1:33">
      <c r="A279"/>
      <c r="B279"/>
      <c r="C279"/>
      <c r="D279" s="75"/>
      <c r="E279" s="46"/>
      <c r="F279" s="46"/>
      <c r="G279"/>
      <c r="H279"/>
      <c r="I279"/>
      <c r="J279"/>
      <c r="K279"/>
      <c r="V279"/>
      <c r="Y279"/>
      <c r="Z279" s="46"/>
      <c r="AB279" s="46"/>
      <c r="AC279" s="46"/>
      <c r="AE279"/>
      <c r="AG279" s="75"/>
    </row>
    <row r="280" spans="1:33">
      <c r="A280"/>
      <c r="B280"/>
      <c r="C280"/>
      <c r="D280" s="75"/>
      <c r="E280" s="46"/>
      <c r="F280" s="46"/>
      <c r="G280"/>
      <c r="H280"/>
      <c r="I280"/>
      <c r="J280"/>
      <c r="K280"/>
      <c r="V280"/>
      <c r="Y280"/>
      <c r="Z280" s="46"/>
      <c r="AB280" s="46"/>
      <c r="AC280" s="46"/>
      <c r="AE280"/>
      <c r="AG280" s="75"/>
    </row>
    <row r="281" spans="1:33">
      <c r="A281"/>
      <c r="B281"/>
      <c r="C281"/>
      <c r="D281" s="75"/>
      <c r="E281" s="46"/>
      <c r="F281" s="46"/>
      <c r="G281"/>
      <c r="H281"/>
      <c r="I281"/>
      <c r="J281"/>
      <c r="K281"/>
      <c r="V281"/>
      <c r="Y281"/>
      <c r="Z281" s="46"/>
      <c r="AB281" s="46"/>
      <c r="AC281" s="46"/>
      <c r="AE281"/>
      <c r="AG281" s="75"/>
    </row>
    <row r="282" spans="1:33">
      <c r="A282"/>
      <c r="B282"/>
      <c r="C282"/>
      <c r="D282" s="75"/>
      <c r="E282" s="46"/>
      <c r="F282" s="46"/>
      <c r="G282"/>
      <c r="H282"/>
      <c r="I282"/>
      <c r="J282"/>
      <c r="K282"/>
      <c r="V282"/>
      <c r="Y282"/>
      <c r="Z282" s="46"/>
      <c r="AB282" s="46"/>
      <c r="AC282" s="46"/>
      <c r="AE282"/>
      <c r="AG282" s="75"/>
    </row>
    <row r="283" spans="1:33">
      <c r="A283"/>
      <c r="B283"/>
      <c r="C283"/>
      <c r="D283" s="75"/>
      <c r="E283" s="46"/>
      <c r="F283" s="46"/>
      <c r="G283"/>
      <c r="H283"/>
      <c r="I283"/>
      <c r="J283"/>
      <c r="K283"/>
      <c r="V283"/>
      <c r="Y283"/>
      <c r="Z283" s="46"/>
      <c r="AB283" s="46"/>
      <c r="AC283" s="46"/>
      <c r="AE283"/>
      <c r="AG283" s="75"/>
    </row>
    <row r="284" spans="1:33">
      <c r="A284"/>
      <c r="B284"/>
      <c r="C284"/>
      <c r="D284" s="75"/>
      <c r="E284" s="46"/>
      <c r="F284" s="46"/>
      <c r="G284"/>
      <c r="H284"/>
      <c r="I284"/>
      <c r="J284"/>
      <c r="K284"/>
      <c r="V284"/>
      <c r="Y284"/>
      <c r="Z284" s="46"/>
      <c r="AB284" s="46"/>
      <c r="AC284" s="46"/>
      <c r="AE284"/>
      <c r="AG284" s="75"/>
    </row>
    <row r="285" spans="1:33">
      <c r="A285"/>
      <c r="B285"/>
      <c r="C285"/>
      <c r="D285" s="75"/>
      <c r="E285" s="46"/>
      <c r="F285" s="46"/>
      <c r="G285"/>
      <c r="H285"/>
      <c r="I285"/>
      <c r="J285"/>
      <c r="K285"/>
      <c r="V285"/>
      <c r="Y285"/>
      <c r="Z285" s="46"/>
      <c r="AB285" s="46"/>
      <c r="AC285" s="46"/>
      <c r="AE285"/>
      <c r="AG285" s="75"/>
    </row>
    <row r="286" spans="1:33">
      <c r="A286"/>
      <c r="B286"/>
      <c r="C286"/>
      <c r="D286" s="75"/>
      <c r="E286" s="46"/>
      <c r="F286" s="46"/>
      <c r="G286"/>
      <c r="H286"/>
      <c r="I286"/>
      <c r="J286"/>
      <c r="K286"/>
      <c r="V286"/>
      <c r="Y286"/>
      <c r="Z286" s="46"/>
      <c r="AB286" s="46"/>
      <c r="AC286" s="46"/>
      <c r="AE286"/>
      <c r="AG286" s="75"/>
    </row>
    <row r="287" spans="1:33">
      <c r="A287"/>
      <c r="B287"/>
      <c r="C287"/>
      <c r="D287" s="75"/>
      <c r="E287" s="46"/>
      <c r="F287" s="46"/>
      <c r="G287"/>
      <c r="H287"/>
      <c r="I287"/>
      <c r="J287"/>
      <c r="K287"/>
      <c r="V287"/>
      <c r="Y287"/>
      <c r="Z287" s="46"/>
      <c r="AB287" s="46"/>
      <c r="AC287" s="46"/>
      <c r="AE287"/>
      <c r="AG287" s="75"/>
    </row>
    <row r="288" spans="1:33">
      <c r="A288"/>
      <c r="B288"/>
      <c r="C288"/>
      <c r="D288" s="75"/>
      <c r="E288" s="46"/>
      <c r="F288" s="46"/>
      <c r="G288"/>
      <c r="H288"/>
      <c r="I288"/>
      <c r="J288"/>
      <c r="K288"/>
      <c r="V288"/>
      <c r="Y288"/>
      <c r="Z288" s="46"/>
      <c r="AB288" s="46"/>
      <c r="AC288" s="46"/>
      <c r="AE288"/>
      <c r="AG288" s="75"/>
    </row>
    <row r="289" spans="1:33">
      <c r="A289"/>
      <c r="B289"/>
      <c r="C289"/>
      <c r="D289" s="75"/>
      <c r="E289" s="46"/>
      <c r="F289" s="46"/>
      <c r="G289"/>
      <c r="H289"/>
      <c r="I289"/>
      <c r="J289"/>
      <c r="K289"/>
      <c r="V289"/>
      <c r="Y289"/>
      <c r="Z289" s="46"/>
      <c r="AB289" s="46"/>
      <c r="AC289" s="46"/>
      <c r="AE289"/>
      <c r="AG289" s="75"/>
    </row>
    <row r="290" spans="1:33">
      <c r="A290"/>
      <c r="B290"/>
      <c r="C290"/>
      <c r="D290" s="75"/>
      <c r="E290" s="46"/>
      <c r="F290" s="46"/>
      <c r="G290"/>
      <c r="H290"/>
      <c r="I290"/>
      <c r="J290"/>
      <c r="K290"/>
      <c r="V290"/>
      <c r="Y290"/>
      <c r="Z290" s="46"/>
      <c r="AB290" s="46"/>
      <c r="AC290" s="46"/>
      <c r="AE290"/>
      <c r="AG290" s="75"/>
    </row>
    <row r="291" spans="1:33">
      <c r="A291"/>
      <c r="B291"/>
      <c r="C291"/>
      <c r="D291" s="75"/>
      <c r="E291" s="46"/>
      <c r="F291" s="46"/>
      <c r="G291"/>
      <c r="H291"/>
      <c r="I291"/>
      <c r="J291"/>
      <c r="K291"/>
      <c r="V291"/>
      <c r="Y291"/>
      <c r="Z291" s="46"/>
      <c r="AB291" s="46"/>
      <c r="AC291" s="46"/>
      <c r="AE291"/>
      <c r="AG291" s="75"/>
    </row>
    <row r="292" spans="1:33">
      <c r="A292"/>
      <c r="B292"/>
      <c r="C292"/>
      <c r="D292" s="75"/>
      <c r="E292" s="46"/>
      <c r="F292" s="46"/>
      <c r="G292"/>
      <c r="H292"/>
      <c r="I292"/>
      <c r="J292"/>
      <c r="K292"/>
      <c r="V292"/>
      <c r="Y292"/>
      <c r="Z292" s="46"/>
      <c r="AB292" s="46"/>
      <c r="AC292" s="46"/>
      <c r="AE292"/>
      <c r="AG292" s="75"/>
    </row>
    <row r="293" spans="1:33">
      <c r="A293"/>
      <c r="B293"/>
      <c r="C293"/>
      <c r="D293" s="75"/>
      <c r="E293" s="46"/>
      <c r="F293" s="46"/>
      <c r="G293"/>
      <c r="H293"/>
      <c r="I293"/>
      <c r="J293"/>
      <c r="K293"/>
      <c r="V293"/>
      <c r="Y293"/>
      <c r="Z293" s="46"/>
      <c r="AB293" s="46"/>
      <c r="AC293" s="46"/>
      <c r="AE293"/>
      <c r="AG293" s="75"/>
    </row>
    <row r="294" spans="1:33">
      <c r="A294"/>
      <c r="B294"/>
      <c r="C294"/>
      <c r="D294" s="75"/>
      <c r="E294" s="46"/>
      <c r="F294" s="46"/>
      <c r="G294"/>
      <c r="H294"/>
      <c r="I294"/>
      <c r="J294"/>
      <c r="K294"/>
      <c r="V294"/>
      <c r="Y294"/>
      <c r="Z294" s="46"/>
      <c r="AB294" s="46"/>
      <c r="AC294" s="46"/>
      <c r="AE294"/>
      <c r="AG294" s="75"/>
    </row>
    <row r="295" spans="1:33">
      <c r="A295"/>
      <c r="B295"/>
      <c r="C295"/>
      <c r="D295" s="75"/>
      <c r="E295" s="46"/>
      <c r="F295" s="46"/>
      <c r="G295"/>
      <c r="H295"/>
      <c r="I295"/>
      <c r="J295"/>
      <c r="K295"/>
      <c r="V295"/>
      <c r="Y295"/>
      <c r="Z295" s="46"/>
      <c r="AB295" s="46"/>
      <c r="AC295" s="46"/>
      <c r="AE295"/>
      <c r="AG295" s="75"/>
    </row>
    <row r="296" spans="1:33">
      <c r="A296"/>
      <c r="B296"/>
      <c r="C296"/>
      <c r="D296" s="75"/>
      <c r="E296" s="46"/>
      <c r="F296" s="46"/>
      <c r="G296"/>
      <c r="H296"/>
      <c r="I296"/>
      <c r="J296"/>
      <c r="K296"/>
      <c r="V296"/>
      <c r="Y296"/>
      <c r="Z296" s="46"/>
      <c r="AB296" s="46"/>
      <c r="AC296" s="46"/>
      <c r="AE296"/>
      <c r="AG296" s="75"/>
    </row>
    <row r="297" spans="1:33">
      <c r="A297"/>
      <c r="B297"/>
      <c r="C297"/>
      <c r="D297" s="75"/>
      <c r="E297" s="46"/>
      <c r="F297" s="46"/>
      <c r="G297"/>
      <c r="H297"/>
      <c r="I297"/>
      <c r="J297"/>
      <c r="K297"/>
      <c r="V297"/>
      <c r="Y297"/>
      <c r="Z297" s="46"/>
      <c r="AB297" s="46"/>
      <c r="AC297" s="46"/>
      <c r="AE297"/>
      <c r="AG297" s="75"/>
    </row>
    <row r="298" spans="1:33">
      <c r="A298"/>
      <c r="B298"/>
      <c r="C298"/>
      <c r="D298" s="75"/>
      <c r="E298" s="46"/>
      <c r="F298" s="46"/>
      <c r="G298"/>
      <c r="H298"/>
      <c r="I298"/>
      <c r="J298"/>
      <c r="K298"/>
      <c r="V298"/>
      <c r="Y298"/>
      <c r="Z298" s="46"/>
      <c r="AB298" s="46"/>
      <c r="AC298" s="46"/>
      <c r="AE298"/>
      <c r="AG298" s="75"/>
    </row>
    <row r="299" spans="1:33">
      <c r="A299"/>
      <c r="B299"/>
      <c r="C299"/>
      <c r="D299" s="75"/>
      <c r="E299" s="46"/>
      <c r="F299" s="46"/>
      <c r="G299"/>
      <c r="H299"/>
      <c r="I299"/>
      <c r="J299"/>
      <c r="K299"/>
      <c r="V299"/>
      <c r="Y299"/>
      <c r="Z299" s="46"/>
      <c r="AB299" s="46"/>
      <c r="AC299" s="46"/>
      <c r="AE299"/>
      <c r="AG299" s="75"/>
    </row>
    <row r="300" spans="1:33">
      <c r="A300"/>
      <c r="B300"/>
      <c r="C300"/>
      <c r="D300" s="75"/>
      <c r="E300" s="46"/>
      <c r="F300" s="46"/>
      <c r="G300"/>
      <c r="H300"/>
      <c r="I300"/>
      <c r="J300"/>
      <c r="K300"/>
      <c r="V300"/>
      <c r="Y300"/>
      <c r="Z300" s="46"/>
      <c r="AB300" s="46"/>
      <c r="AC300" s="46"/>
      <c r="AE300"/>
      <c r="AG300" s="75"/>
    </row>
    <row r="301" spans="1:33">
      <c r="A301"/>
      <c r="B301"/>
      <c r="C301"/>
      <c r="D301" s="75"/>
      <c r="E301" s="46"/>
      <c r="F301" s="46"/>
      <c r="G301"/>
      <c r="H301"/>
      <c r="I301"/>
      <c r="J301"/>
      <c r="K301"/>
      <c r="V301"/>
      <c r="Y301"/>
      <c r="Z301" s="46"/>
      <c r="AB301" s="46"/>
      <c r="AC301" s="46"/>
      <c r="AE301"/>
      <c r="AG301" s="75"/>
    </row>
    <row r="302" spans="1:33">
      <c r="A302"/>
      <c r="B302"/>
      <c r="C302"/>
      <c r="D302" s="75"/>
      <c r="E302" s="46"/>
      <c r="F302" s="46"/>
      <c r="G302"/>
      <c r="H302"/>
      <c r="I302"/>
      <c r="J302"/>
      <c r="K302"/>
      <c r="V302"/>
      <c r="Y302"/>
      <c r="Z302" s="46"/>
      <c r="AB302" s="46"/>
      <c r="AC302" s="46"/>
      <c r="AE302"/>
      <c r="AG302" s="75"/>
    </row>
    <row r="303" spans="1:33">
      <c r="A303"/>
      <c r="B303"/>
      <c r="C303"/>
      <c r="D303" s="75"/>
      <c r="E303" s="46"/>
      <c r="F303" s="46"/>
      <c r="G303"/>
      <c r="H303"/>
      <c r="I303"/>
      <c r="J303"/>
      <c r="K303"/>
      <c r="V303"/>
      <c r="Y303"/>
      <c r="Z303" s="46"/>
      <c r="AB303" s="46"/>
      <c r="AC303" s="46"/>
      <c r="AE303"/>
      <c r="AG303" s="75"/>
    </row>
    <row r="304" spans="1:33">
      <c r="A304"/>
      <c r="B304"/>
      <c r="C304"/>
      <c r="D304" s="75"/>
      <c r="E304" s="46"/>
      <c r="F304" s="46"/>
      <c r="G304"/>
      <c r="H304"/>
      <c r="I304"/>
      <c r="J304"/>
      <c r="K304"/>
      <c r="V304"/>
      <c r="Y304"/>
      <c r="Z304" s="46"/>
      <c r="AB304" s="46"/>
      <c r="AC304" s="46"/>
      <c r="AE304"/>
      <c r="AG304" s="75"/>
    </row>
    <row r="305" spans="1:33">
      <c r="A305"/>
      <c r="B305"/>
      <c r="C305"/>
      <c r="D305" s="75"/>
      <c r="E305" s="46"/>
      <c r="F305" s="46"/>
      <c r="G305"/>
      <c r="H305"/>
      <c r="I305"/>
      <c r="J305"/>
      <c r="K305"/>
      <c r="V305"/>
      <c r="Y305"/>
      <c r="Z305" s="46"/>
      <c r="AB305" s="46"/>
      <c r="AC305" s="46"/>
      <c r="AE305"/>
      <c r="AG305" s="75"/>
    </row>
    <row r="306" spans="1:33">
      <c r="A306"/>
      <c r="B306"/>
      <c r="C306"/>
      <c r="D306" s="75"/>
      <c r="E306" s="46"/>
      <c r="F306" s="46"/>
      <c r="G306"/>
      <c r="H306"/>
      <c r="I306"/>
      <c r="J306"/>
      <c r="K306"/>
      <c r="V306"/>
      <c r="Y306"/>
      <c r="Z306" s="46"/>
      <c r="AB306" s="46"/>
      <c r="AC306" s="46"/>
      <c r="AE306"/>
      <c r="AG306" s="75"/>
    </row>
    <row r="307" spans="1:33">
      <c r="A307"/>
      <c r="B307"/>
      <c r="C307"/>
      <c r="D307" s="75"/>
      <c r="E307" s="46"/>
      <c r="F307" s="46"/>
      <c r="G307"/>
      <c r="H307"/>
      <c r="I307"/>
      <c r="J307"/>
      <c r="K307"/>
      <c r="V307"/>
      <c r="Y307"/>
      <c r="Z307" s="46"/>
      <c r="AB307" s="46"/>
      <c r="AC307" s="46"/>
      <c r="AE307"/>
      <c r="AG307" s="75"/>
    </row>
    <row r="308" spans="1:33">
      <c r="A308"/>
      <c r="B308"/>
      <c r="C308"/>
      <c r="D308" s="75"/>
      <c r="E308" s="46"/>
      <c r="F308" s="46"/>
      <c r="G308"/>
      <c r="H308"/>
      <c r="I308"/>
      <c r="J308"/>
      <c r="K308"/>
      <c r="V308"/>
      <c r="Y308"/>
      <c r="Z308" s="46"/>
      <c r="AB308" s="46"/>
      <c r="AC308" s="46"/>
      <c r="AE308"/>
      <c r="AG308" s="75"/>
    </row>
    <row r="309" spans="1:33">
      <c r="A309"/>
      <c r="B309"/>
      <c r="C309"/>
      <c r="D309" s="75"/>
      <c r="E309" s="46"/>
      <c r="F309" s="46"/>
      <c r="G309"/>
      <c r="H309"/>
      <c r="I309"/>
      <c r="J309"/>
      <c r="K309"/>
      <c r="V309"/>
      <c r="Y309"/>
      <c r="Z309" s="46"/>
      <c r="AB309" s="46"/>
      <c r="AC309" s="46"/>
      <c r="AE309"/>
      <c r="AG309" s="75"/>
    </row>
    <row r="310" spans="1:33">
      <c r="A310"/>
      <c r="B310"/>
      <c r="C310"/>
      <c r="D310" s="75"/>
      <c r="E310" s="46"/>
      <c r="F310" s="46"/>
      <c r="G310"/>
      <c r="H310"/>
      <c r="I310"/>
      <c r="J310"/>
      <c r="K310"/>
      <c r="V310"/>
      <c r="Y310"/>
      <c r="Z310" s="46"/>
      <c r="AB310" s="46"/>
      <c r="AC310" s="46"/>
      <c r="AE310"/>
      <c r="AG310" s="75"/>
    </row>
    <row r="311" spans="1:33">
      <c r="A311"/>
      <c r="B311"/>
      <c r="C311"/>
      <c r="D311" s="75"/>
      <c r="E311" s="46"/>
      <c r="F311" s="46"/>
      <c r="G311"/>
      <c r="H311"/>
      <c r="I311"/>
      <c r="J311"/>
      <c r="K311"/>
      <c r="V311"/>
      <c r="Y311"/>
      <c r="Z311" s="46"/>
      <c r="AB311" s="46"/>
      <c r="AC311" s="46"/>
      <c r="AE311"/>
      <c r="AG311" s="75"/>
    </row>
    <row r="312" spans="1:33">
      <c r="A312"/>
      <c r="B312"/>
      <c r="C312"/>
      <c r="D312" s="75"/>
      <c r="E312" s="46"/>
      <c r="F312" s="46"/>
      <c r="G312"/>
      <c r="H312"/>
      <c r="I312"/>
      <c r="J312"/>
      <c r="K312"/>
      <c r="V312"/>
      <c r="Y312"/>
      <c r="AB312" s="46"/>
      <c r="AC312" s="46"/>
      <c r="AE312"/>
      <c r="AG312" s="75"/>
    </row>
    <row r="313" spans="1:33">
      <c r="A313"/>
      <c r="B313"/>
      <c r="C313"/>
      <c r="D313" s="75"/>
      <c r="E313" s="46"/>
      <c r="F313" s="46"/>
      <c r="G313"/>
      <c r="H313"/>
      <c r="I313"/>
      <c r="J313"/>
      <c r="K313"/>
      <c r="V313"/>
      <c r="Y313"/>
      <c r="AB313" s="46"/>
      <c r="AC313" s="46"/>
      <c r="AE313"/>
      <c r="AG313" s="75"/>
    </row>
    <row r="314" spans="1:33">
      <c r="A314"/>
      <c r="B314"/>
      <c r="C314"/>
      <c r="D314" s="75"/>
      <c r="E314" s="46"/>
      <c r="F314" s="46"/>
      <c r="G314"/>
      <c r="H314"/>
      <c r="I314"/>
      <c r="J314"/>
      <c r="K314"/>
      <c r="V314"/>
      <c r="Y314"/>
      <c r="AB314" s="46"/>
      <c r="AC314" s="46"/>
      <c r="AE314"/>
      <c r="AG314" s="75"/>
    </row>
    <row r="315" spans="1:33">
      <c r="A315"/>
      <c r="B315"/>
      <c r="C315"/>
      <c r="D315" s="75"/>
      <c r="E315" s="46"/>
      <c r="F315" s="46"/>
      <c r="G315"/>
      <c r="H315"/>
      <c r="I315"/>
      <c r="J315"/>
      <c r="K315"/>
      <c r="V315"/>
      <c r="Y315"/>
      <c r="AB315" s="46"/>
      <c r="AC315" s="46"/>
      <c r="AE315"/>
      <c r="AG315" s="75"/>
    </row>
    <row r="316" spans="1:33">
      <c r="A316"/>
      <c r="B316"/>
      <c r="C316"/>
      <c r="D316" s="75"/>
      <c r="E316" s="46"/>
      <c r="F316" s="46"/>
      <c r="G316"/>
      <c r="H316"/>
      <c r="I316"/>
      <c r="J316"/>
      <c r="K316"/>
      <c r="V316"/>
      <c r="Y316"/>
      <c r="AB316" s="46"/>
      <c r="AC316" s="46"/>
      <c r="AE316"/>
      <c r="AG316" s="75"/>
    </row>
    <row r="317" spans="1:33">
      <c r="A317"/>
      <c r="B317"/>
      <c r="C317"/>
      <c r="D317" s="75"/>
      <c r="E317" s="46"/>
      <c r="F317" s="46"/>
      <c r="G317"/>
      <c r="H317"/>
      <c r="I317"/>
      <c r="J317"/>
      <c r="K317"/>
      <c r="V317"/>
      <c r="Y317"/>
      <c r="AB317" s="46"/>
      <c r="AC317" s="46"/>
      <c r="AE317"/>
      <c r="AG317" s="75"/>
    </row>
    <row r="318" spans="1:33">
      <c r="A318"/>
      <c r="B318"/>
      <c r="C318"/>
      <c r="D318" s="75"/>
      <c r="E318" s="46"/>
      <c r="F318" s="46"/>
      <c r="G318"/>
      <c r="H318"/>
      <c r="I318"/>
      <c r="J318"/>
      <c r="K318"/>
      <c r="V318"/>
      <c r="Y318"/>
      <c r="AB318" s="46"/>
      <c r="AC318" s="46"/>
      <c r="AE318"/>
      <c r="AG318" s="75"/>
    </row>
    <row r="319" spans="1:33">
      <c r="A319"/>
      <c r="B319"/>
      <c r="C319"/>
      <c r="D319" s="75"/>
      <c r="E319" s="46"/>
      <c r="F319" s="46"/>
      <c r="G319"/>
      <c r="H319"/>
      <c r="I319"/>
      <c r="J319"/>
      <c r="K319"/>
      <c r="V319"/>
      <c r="Y319"/>
      <c r="AB319" s="46"/>
      <c r="AC319" s="46"/>
      <c r="AE319"/>
      <c r="AG319" s="75"/>
    </row>
    <row r="320" spans="1:33">
      <c r="A320"/>
      <c r="B320"/>
      <c r="C320"/>
      <c r="D320" s="75"/>
      <c r="E320" s="46"/>
      <c r="F320" s="46"/>
      <c r="G320"/>
      <c r="H320"/>
      <c r="I320"/>
      <c r="J320"/>
      <c r="K320"/>
      <c r="V320"/>
      <c r="Y320"/>
      <c r="AB320" s="46"/>
      <c r="AC320" s="46"/>
      <c r="AE320"/>
      <c r="AG320" s="75"/>
    </row>
    <row r="321" spans="1:33">
      <c r="A321" s="81"/>
      <c r="B321" s="81"/>
      <c r="C321" s="81"/>
      <c r="D321" s="75"/>
      <c r="E321" s="80"/>
      <c r="F321" s="80"/>
      <c r="G321" s="81"/>
      <c r="H321" s="81"/>
      <c r="I321" s="81"/>
      <c r="J321" s="81"/>
      <c r="K321" s="81"/>
      <c r="V321" s="81"/>
      <c r="Y321" s="81"/>
      <c r="AB321" s="46"/>
      <c r="AC321" s="46"/>
      <c r="AE321" s="81"/>
      <c r="AG321" s="75"/>
    </row>
    <row r="322" spans="1:33">
      <c r="A322" s="81"/>
      <c r="B322" s="81"/>
      <c r="C322" s="81"/>
      <c r="D322" s="75"/>
      <c r="E322" s="80"/>
      <c r="F322" s="80"/>
      <c r="G322" s="81"/>
      <c r="H322" s="81"/>
      <c r="I322" s="81"/>
      <c r="J322" s="81"/>
      <c r="K322" s="81"/>
      <c r="V322" s="81"/>
      <c r="Y322" s="81"/>
      <c r="AB322" s="46"/>
      <c r="AC322" s="46"/>
      <c r="AE322" s="81"/>
      <c r="AG322" s="75"/>
    </row>
    <row r="323" spans="1:33">
      <c r="A323" s="81"/>
      <c r="B323" s="81"/>
      <c r="C323" s="81"/>
      <c r="D323" s="75"/>
      <c r="E323" s="80"/>
      <c r="F323" s="80"/>
      <c r="G323" s="81"/>
      <c r="H323" s="81"/>
      <c r="I323" s="81"/>
      <c r="J323" s="81"/>
      <c r="K323" s="81"/>
      <c r="V323" s="81"/>
      <c r="Y323" s="81"/>
      <c r="AB323" s="46"/>
      <c r="AC323" s="46"/>
      <c r="AE323" s="81"/>
      <c r="AG323" s="75"/>
    </row>
    <row r="324" spans="1:33">
      <c r="A324" s="81"/>
      <c r="B324" s="81"/>
      <c r="C324" s="81"/>
      <c r="D324" s="75"/>
      <c r="E324" s="80"/>
      <c r="F324" s="80"/>
      <c r="G324" s="81"/>
      <c r="H324" s="81"/>
      <c r="I324" s="81"/>
      <c r="J324" s="81"/>
      <c r="K324" s="81"/>
      <c r="V324" s="81"/>
      <c r="Y324" s="81"/>
      <c r="AB324" s="46"/>
      <c r="AC324" s="46"/>
      <c r="AE324" s="81"/>
      <c r="AG324" s="75"/>
    </row>
    <row r="325" spans="1:33">
      <c r="A325" s="81"/>
      <c r="B325" s="81"/>
      <c r="C325" s="81"/>
      <c r="D325" s="75"/>
      <c r="E325" s="80"/>
      <c r="F325" s="80"/>
      <c r="G325" s="81"/>
      <c r="H325" s="81"/>
      <c r="I325" s="81"/>
      <c r="J325" s="81"/>
      <c r="K325" s="81"/>
      <c r="V325" s="81"/>
      <c r="Y325" s="81"/>
      <c r="AB325" s="46"/>
      <c r="AC325" s="46"/>
      <c r="AE325" s="81"/>
      <c r="AG325" s="75"/>
    </row>
    <row r="326" spans="1:33">
      <c r="A326"/>
      <c r="B326"/>
      <c r="C326"/>
      <c r="D326" s="75"/>
      <c r="E326" s="46"/>
      <c r="F326" s="46"/>
      <c r="G326"/>
      <c r="H326"/>
      <c r="I326"/>
      <c r="J326"/>
      <c r="K326"/>
      <c r="V326"/>
      <c r="Y326"/>
      <c r="AB326" s="46"/>
      <c r="AC326" s="46"/>
      <c r="AE326"/>
      <c r="AG326" s="75"/>
    </row>
    <row r="327" spans="1:33">
      <c r="A327"/>
      <c r="B327"/>
      <c r="C327"/>
      <c r="D327" s="75"/>
      <c r="E327" s="46"/>
      <c r="F327" s="46"/>
      <c r="G327"/>
      <c r="H327"/>
      <c r="I327"/>
      <c r="J327"/>
      <c r="K327"/>
      <c r="V327"/>
      <c r="Y327"/>
      <c r="AB327" s="46"/>
      <c r="AC327" s="46"/>
      <c r="AE327"/>
      <c r="AG327" s="75"/>
    </row>
    <row r="328" spans="1:33">
      <c r="A328"/>
      <c r="B328"/>
      <c r="C328"/>
      <c r="D328" s="75"/>
      <c r="E328" s="46"/>
      <c r="F328" s="46"/>
      <c r="G328"/>
      <c r="H328"/>
      <c r="I328"/>
      <c r="J328"/>
      <c r="K328"/>
      <c r="V328"/>
      <c r="Y328"/>
      <c r="AB328" s="46"/>
      <c r="AC328" s="46"/>
      <c r="AE328"/>
      <c r="AG328" s="75"/>
    </row>
    <row r="329" spans="1:33">
      <c r="A329"/>
      <c r="B329"/>
      <c r="C329"/>
      <c r="D329" s="75"/>
      <c r="E329" s="46"/>
      <c r="F329" s="46"/>
      <c r="G329"/>
      <c r="H329"/>
      <c r="I329"/>
      <c r="J329"/>
      <c r="K329"/>
      <c r="V329"/>
      <c r="Y329"/>
      <c r="AB329" s="46"/>
      <c r="AC329" s="46"/>
      <c r="AE329"/>
      <c r="AG329" s="75"/>
    </row>
    <row r="330" spans="1:33">
      <c r="A330"/>
      <c r="B330"/>
      <c r="C330"/>
      <c r="D330" s="75"/>
      <c r="E330" s="46"/>
      <c r="F330" s="46"/>
      <c r="G330"/>
      <c r="H330"/>
      <c r="I330"/>
      <c r="J330"/>
      <c r="K330"/>
      <c r="V330"/>
      <c r="Y330"/>
      <c r="AB330" s="46"/>
      <c r="AC330" s="46"/>
      <c r="AE330"/>
      <c r="AG330" s="75"/>
    </row>
    <row r="331" spans="1:33">
      <c r="A331"/>
      <c r="B331"/>
      <c r="C331"/>
      <c r="D331" s="75"/>
      <c r="E331" s="46"/>
      <c r="F331" s="46"/>
      <c r="G331"/>
      <c r="H331"/>
      <c r="I331"/>
      <c r="J331"/>
      <c r="K331"/>
      <c r="V331"/>
      <c r="Y331"/>
      <c r="AB331" s="46"/>
      <c r="AC331" s="46"/>
      <c r="AE331"/>
      <c r="AG331" s="75"/>
    </row>
    <row r="332" spans="1:33">
      <c r="A332"/>
      <c r="B332"/>
      <c r="C332"/>
      <c r="D332" s="75"/>
      <c r="E332" s="46"/>
      <c r="F332" s="46"/>
      <c r="G332"/>
      <c r="H332"/>
      <c r="I332"/>
      <c r="J332"/>
      <c r="K332"/>
      <c r="V332"/>
      <c r="Y332"/>
      <c r="AB332" s="46"/>
      <c r="AC332" s="46"/>
      <c r="AE332"/>
      <c r="AG332" s="75"/>
    </row>
    <row r="333" spans="1:33">
      <c r="A333"/>
      <c r="B333"/>
      <c r="C333"/>
      <c r="D333" s="75"/>
      <c r="E333" s="46"/>
      <c r="F333" s="46"/>
      <c r="G333"/>
      <c r="H333"/>
      <c r="I333"/>
      <c r="J333"/>
      <c r="K333"/>
      <c r="V333"/>
      <c r="Y333"/>
      <c r="AB333" s="46"/>
      <c r="AC333" s="46"/>
      <c r="AE333"/>
      <c r="AG333" s="75"/>
    </row>
    <row r="334" spans="1:33">
      <c r="A334"/>
      <c r="B334"/>
      <c r="C334"/>
      <c r="D334" s="75"/>
      <c r="E334" s="46"/>
      <c r="F334" s="46"/>
      <c r="G334"/>
      <c r="H334"/>
      <c r="I334"/>
      <c r="J334"/>
      <c r="K334"/>
      <c r="V334"/>
      <c r="Y334"/>
      <c r="AB334" s="46"/>
      <c r="AC334" s="46"/>
      <c r="AE334"/>
      <c r="AG334" s="75"/>
    </row>
    <row r="335" spans="1:33">
      <c r="A335"/>
      <c r="B335"/>
      <c r="C335"/>
      <c r="D335" s="75"/>
      <c r="E335" s="46"/>
      <c r="F335" s="46"/>
      <c r="G335"/>
      <c r="H335"/>
      <c r="I335"/>
      <c r="J335"/>
      <c r="K335"/>
      <c r="V335"/>
      <c r="Y335"/>
      <c r="AB335" s="46"/>
      <c r="AC335" s="46"/>
      <c r="AE335"/>
      <c r="AG335" s="75"/>
    </row>
    <row r="336" spans="1:33">
      <c r="A336"/>
      <c r="B336"/>
      <c r="C336"/>
      <c r="D336" s="75"/>
      <c r="E336" s="46"/>
      <c r="F336" s="46"/>
      <c r="G336"/>
      <c r="H336"/>
      <c r="I336"/>
      <c r="J336"/>
      <c r="K336"/>
      <c r="V336"/>
      <c r="Y336"/>
      <c r="AB336" s="46"/>
      <c r="AC336" s="46"/>
      <c r="AE336"/>
      <c r="AG336" s="75"/>
    </row>
    <row r="337" spans="1:33">
      <c r="A337"/>
      <c r="B337"/>
      <c r="C337"/>
      <c r="D337" s="75"/>
      <c r="E337" s="46"/>
      <c r="F337" s="46"/>
      <c r="G337"/>
      <c r="H337"/>
      <c r="I337"/>
      <c r="J337"/>
      <c r="K337"/>
      <c r="V337"/>
      <c r="Y337"/>
      <c r="AB337" s="46"/>
      <c r="AC337" s="46"/>
      <c r="AE337"/>
      <c r="AG337" s="75"/>
    </row>
    <row r="338" spans="1:33">
      <c r="A338"/>
      <c r="B338"/>
      <c r="C338"/>
      <c r="D338" s="75"/>
      <c r="E338" s="46"/>
      <c r="F338" s="46"/>
      <c r="G338"/>
      <c r="H338"/>
      <c r="I338"/>
      <c r="J338"/>
      <c r="K338"/>
      <c r="V338"/>
      <c r="Y338"/>
      <c r="AB338" s="46"/>
      <c r="AC338" s="46"/>
      <c r="AE338"/>
      <c r="AG338" s="75"/>
    </row>
    <row r="339" spans="1:33">
      <c r="A339"/>
      <c r="B339"/>
      <c r="C339"/>
      <c r="D339" s="75"/>
      <c r="E339" s="46"/>
      <c r="F339" s="46"/>
      <c r="G339"/>
      <c r="H339"/>
      <c r="I339"/>
      <c r="J339"/>
      <c r="K339"/>
      <c r="V339"/>
      <c r="Y339"/>
      <c r="AB339" s="46"/>
      <c r="AC339" s="46"/>
      <c r="AE339"/>
      <c r="AG339" s="75"/>
    </row>
    <row r="340" spans="1:33">
      <c r="A340"/>
      <c r="B340"/>
      <c r="C340"/>
      <c r="D340" s="75"/>
      <c r="E340" s="46"/>
      <c r="F340" s="46"/>
      <c r="G340"/>
      <c r="H340"/>
      <c r="I340"/>
      <c r="J340"/>
      <c r="K340"/>
      <c r="V340"/>
      <c r="Y340"/>
      <c r="AB340" s="46"/>
      <c r="AC340" s="46"/>
      <c r="AE340"/>
      <c r="AG340" s="75"/>
    </row>
    <row r="341" spans="1:33">
      <c r="A341"/>
      <c r="B341"/>
      <c r="C341"/>
      <c r="D341" s="75"/>
      <c r="E341" s="46"/>
      <c r="F341" s="46"/>
      <c r="G341"/>
      <c r="H341"/>
      <c r="I341"/>
      <c r="J341"/>
      <c r="K341"/>
      <c r="V341"/>
      <c r="Y341"/>
      <c r="AB341" s="46"/>
      <c r="AC341" s="46"/>
      <c r="AE341"/>
      <c r="AG341" s="75"/>
    </row>
    <row r="342" spans="1:33">
      <c r="A342"/>
      <c r="B342"/>
      <c r="C342"/>
      <c r="D342" s="75"/>
      <c r="E342" s="46"/>
      <c r="F342" s="46"/>
      <c r="G342"/>
      <c r="H342"/>
      <c r="I342"/>
      <c r="J342"/>
      <c r="K342"/>
      <c r="V342"/>
      <c r="Y342"/>
      <c r="AB342" s="46"/>
      <c r="AC342" s="46"/>
      <c r="AE342"/>
      <c r="AG342" s="75"/>
    </row>
    <row r="343" spans="1:33">
      <c r="A343"/>
      <c r="B343"/>
      <c r="C343"/>
      <c r="D343" s="75"/>
      <c r="E343" s="46"/>
      <c r="F343" s="46"/>
      <c r="G343"/>
      <c r="H343"/>
      <c r="I343"/>
      <c r="J343"/>
      <c r="K343"/>
      <c r="V343"/>
      <c r="Y343"/>
      <c r="AB343" s="46"/>
      <c r="AC343" s="46"/>
      <c r="AE343"/>
      <c r="AG343" s="75"/>
    </row>
    <row r="344" spans="1:33">
      <c r="A344"/>
      <c r="B344"/>
      <c r="C344"/>
      <c r="D344" s="75"/>
      <c r="E344" s="46"/>
      <c r="F344" s="46"/>
      <c r="G344"/>
      <c r="H344"/>
      <c r="I344"/>
      <c r="J344"/>
      <c r="K344"/>
      <c r="V344"/>
      <c r="Y344"/>
      <c r="AB344" s="46"/>
      <c r="AC344" s="46"/>
      <c r="AE344"/>
      <c r="AG344" s="75"/>
    </row>
    <row r="345" spans="1:33">
      <c r="A345"/>
      <c r="B345"/>
      <c r="C345"/>
      <c r="D345" s="75"/>
      <c r="E345" s="46"/>
      <c r="F345" s="46"/>
      <c r="G345"/>
      <c r="H345"/>
      <c r="I345"/>
      <c r="J345"/>
      <c r="K345"/>
      <c r="V345"/>
      <c r="Y345"/>
      <c r="AB345" s="46"/>
      <c r="AC345" s="46"/>
      <c r="AE345"/>
      <c r="AG345" s="75"/>
    </row>
    <row r="346" spans="1:33">
      <c r="A346"/>
      <c r="B346"/>
      <c r="C346"/>
      <c r="D346" s="75"/>
      <c r="E346" s="46"/>
      <c r="F346" s="46"/>
      <c r="G346"/>
      <c r="H346"/>
      <c r="I346"/>
      <c r="J346"/>
      <c r="K346"/>
      <c r="V346"/>
      <c r="Y346"/>
      <c r="AB346" s="46"/>
      <c r="AC346" s="46"/>
      <c r="AE346"/>
      <c r="AG346" s="75"/>
    </row>
    <row r="347" spans="1:33">
      <c r="A347"/>
      <c r="B347"/>
      <c r="C347"/>
      <c r="D347" s="75"/>
      <c r="E347" s="46"/>
      <c r="F347" s="46"/>
      <c r="G347"/>
      <c r="H347"/>
      <c r="I347"/>
      <c r="J347"/>
      <c r="K347"/>
      <c r="V347"/>
      <c r="Y347"/>
      <c r="AB347" s="46"/>
      <c r="AC347" s="46"/>
      <c r="AE347"/>
      <c r="AG347" s="75"/>
    </row>
    <row r="348" spans="1:33">
      <c r="A348"/>
      <c r="B348"/>
      <c r="C348"/>
      <c r="D348" s="75"/>
      <c r="E348" s="46"/>
      <c r="F348" s="46"/>
      <c r="G348"/>
      <c r="H348"/>
      <c r="I348"/>
      <c r="J348"/>
      <c r="K348"/>
      <c r="V348"/>
      <c r="Y348"/>
      <c r="AB348" s="46"/>
      <c r="AC348" s="46"/>
      <c r="AE348"/>
      <c r="AG348" s="75"/>
    </row>
    <row r="349" spans="1:33">
      <c r="A349"/>
      <c r="B349"/>
      <c r="C349"/>
      <c r="D349" s="75"/>
      <c r="E349" s="46"/>
      <c r="F349" s="46"/>
      <c r="G349"/>
      <c r="H349"/>
      <c r="I349"/>
      <c r="J349"/>
      <c r="K349"/>
      <c r="V349"/>
      <c r="Y349"/>
      <c r="AB349" s="46"/>
      <c r="AC349" s="46"/>
      <c r="AE349"/>
      <c r="AG349" s="75"/>
    </row>
    <row r="350" spans="1:33">
      <c r="A350"/>
      <c r="B350"/>
      <c r="C350"/>
      <c r="D350" s="75"/>
      <c r="E350" s="46"/>
      <c r="F350" s="46"/>
      <c r="G350"/>
      <c r="H350"/>
      <c r="I350"/>
      <c r="J350"/>
      <c r="K350"/>
      <c r="V350"/>
      <c r="Y350"/>
      <c r="AB350" s="46"/>
      <c r="AC350" s="46"/>
      <c r="AE350"/>
      <c r="AG350" s="75"/>
    </row>
    <row r="351" spans="1:33">
      <c r="A351"/>
      <c r="B351"/>
      <c r="C351"/>
      <c r="D351" s="75"/>
      <c r="E351" s="46"/>
      <c r="F351" s="46"/>
      <c r="G351"/>
      <c r="H351"/>
      <c r="I351"/>
      <c r="J351"/>
      <c r="K351"/>
      <c r="V351"/>
      <c r="Y351"/>
      <c r="AB351" s="46"/>
      <c r="AC351" s="46"/>
      <c r="AE351"/>
      <c r="AG351" s="75"/>
    </row>
    <row r="352" spans="1:33">
      <c r="A352"/>
      <c r="B352"/>
      <c r="C352"/>
      <c r="D352" s="75"/>
      <c r="E352" s="46"/>
      <c r="F352" s="46"/>
      <c r="G352"/>
      <c r="H352"/>
      <c r="I352"/>
      <c r="J352"/>
      <c r="K352"/>
      <c r="V352"/>
      <c r="Y352"/>
      <c r="AB352" s="46"/>
      <c r="AC352" s="46"/>
      <c r="AE352"/>
      <c r="AG352" s="75"/>
    </row>
    <row r="353" spans="1:33">
      <c r="A353"/>
      <c r="B353"/>
      <c r="C353"/>
      <c r="D353" s="75"/>
      <c r="E353" s="46"/>
      <c r="F353" s="46"/>
      <c r="G353"/>
      <c r="H353"/>
      <c r="I353"/>
      <c r="J353"/>
      <c r="K353"/>
      <c r="V353"/>
      <c r="Y353"/>
      <c r="AB353" s="46"/>
      <c r="AC353" s="46"/>
      <c r="AE353"/>
      <c r="AG353" s="75"/>
    </row>
    <row r="354" spans="1:33">
      <c r="A354"/>
      <c r="B354"/>
      <c r="C354"/>
      <c r="D354" s="75"/>
      <c r="E354" s="46"/>
      <c r="F354" s="46"/>
      <c r="G354"/>
      <c r="H354"/>
      <c r="I354"/>
      <c r="J354"/>
      <c r="K354"/>
      <c r="V354"/>
      <c r="Y354"/>
      <c r="AB354" s="46"/>
      <c r="AC354" s="46"/>
      <c r="AE354"/>
      <c r="AG354" s="75"/>
    </row>
    <row r="355" spans="1:33">
      <c r="A355"/>
      <c r="B355"/>
      <c r="C355"/>
      <c r="D355" s="75"/>
      <c r="E355" s="46"/>
      <c r="F355" s="46"/>
      <c r="G355"/>
      <c r="H355"/>
      <c r="I355"/>
      <c r="J355"/>
      <c r="K355"/>
      <c r="V355"/>
      <c r="Y355"/>
      <c r="AB355" s="46"/>
      <c r="AC355" s="46"/>
      <c r="AE355"/>
      <c r="AG355" s="75"/>
    </row>
    <row r="356" spans="1:33">
      <c r="A356"/>
      <c r="B356"/>
      <c r="C356"/>
      <c r="D356" s="75"/>
      <c r="E356" s="46"/>
      <c r="F356" s="46"/>
      <c r="G356"/>
      <c r="H356"/>
      <c r="I356"/>
      <c r="J356"/>
      <c r="K356"/>
      <c r="V356"/>
      <c r="Y356"/>
      <c r="AB356" s="46"/>
      <c r="AC356" s="46"/>
      <c r="AE356"/>
      <c r="AG356" s="75"/>
    </row>
    <row r="357" spans="1:33">
      <c r="A357"/>
      <c r="B357"/>
      <c r="C357"/>
      <c r="D357" s="75"/>
      <c r="E357" s="46"/>
      <c r="F357" s="46"/>
      <c r="G357"/>
      <c r="H357"/>
      <c r="I357"/>
      <c r="J357"/>
      <c r="K357"/>
      <c r="V357"/>
      <c r="Y357"/>
      <c r="AB357" s="46"/>
      <c r="AC357" s="46"/>
      <c r="AE357"/>
      <c r="AG357" s="75"/>
    </row>
    <row r="358" spans="1:33">
      <c r="A358"/>
      <c r="B358"/>
      <c r="C358"/>
      <c r="D358" s="75"/>
      <c r="E358" s="46"/>
      <c r="F358" s="46"/>
      <c r="G358"/>
      <c r="H358"/>
      <c r="I358"/>
      <c r="J358"/>
      <c r="K358"/>
      <c r="V358"/>
      <c r="Y358"/>
      <c r="AB358" s="46"/>
      <c r="AC358" s="46"/>
      <c r="AE358"/>
      <c r="AG358" s="75"/>
    </row>
    <row r="359" spans="1:33">
      <c r="A359"/>
      <c r="B359"/>
      <c r="C359"/>
      <c r="D359" s="75"/>
      <c r="E359" s="46"/>
      <c r="F359" s="46"/>
      <c r="G359"/>
      <c r="H359"/>
      <c r="I359"/>
      <c r="J359"/>
      <c r="K359"/>
      <c r="V359"/>
      <c r="Y359"/>
      <c r="AB359" s="46"/>
      <c r="AC359" s="46"/>
      <c r="AE359"/>
      <c r="AG359" s="75"/>
    </row>
    <row r="360" spans="1:33">
      <c r="A360"/>
      <c r="B360"/>
      <c r="C360"/>
      <c r="D360" s="75"/>
      <c r="E360" s="46"/>
      <c r="F360" s="46"/>
      <c r="G360"/>
      <c r="H360"/>
      <c r="I360"/>
      <c r="J360"/>
      <c r="K360"/>
      <c r="V360"/>
      <c r="Y360"/>
      <c r="AB360" s="46"/>
      <c r="AC360" s="46"/>
      <c r="AE360"/>
      <c r="AG360" s="75"/>
    </row>
    <row r="361" spans="1:33">
      <c r="A361"/>
      <c r="B361"/>
      <c r="C361"/>
      <c r="D361" s="75"/>
      <c r="E361" s="46"/>
      <c r="F361" s="46"/>
      <c r="G361"/>
      <c r="H361"/>
      <c r="I361"/>
      <c r="J361"/>
      <c r="K361"/>
      <c r="V361"/>
      <c r="Y361"/>
      <c r="AB361" s="46"/>
      <c r="AC361" s="46"/>
      <c r="AE361"/>
      <c r="AG361" s="75"/>
    </row>
    <row r="362" spans="1:33">
      <c r="A362"/>
      <c r="B362"/>
      <c r="C362"/>
      <c r="D362" s="75"/>
      <c r="E362" s="46"/>
      <c r="F362" s="46"/>
      <c r="G362"/>
      <c r="H362"/>
      <c r="I362"/>
      <c r="J362"/>
      <c r="K362"/>
      <c r="V362"/>
      <c r="Y362"/>
      <c r="AB362" s="46"/>
      <c r="AC362" s="46"/>
      <c r="AE362"/>
      <c r="AG362" s="75"/>
    </row>
    <row r="363" spans="1:33">
      <c r="A363"/>
      <c r="B363"/>
      <c r="C363"/>
      <c r="D363" s="75"/>
      <c r="E363" s="46"/>
      <c r="F363" s="46"/>
      <c r="G363"/>
      <c r="H363"/>
      <c r="I363"/>
      <c r="J363"/>
      <c r="K363"/>
      <c r="V363"/>
      <c r="Y363"/>
      <c r="AB363" s="46"/>
      <c r="AC363" s="46"/>
      <c r="AE363"/>
      <c r="AG363" s="75"/>
    </row>
    <row r="364" spans="1:33">
      <c r="A364"/>
      <c r="B364"/>
      <c r="C364"/>
      <c r="D364" s="75"/>
      <c r="E364" s="46"/>
      <c r="F364" s="46"/>
      <c r="G364"/>
      <c r="H364"/>
      <c r="I364"/>
      <c r="J364"/>
      <c r="K364"/>
      <c r="V364"/>
      <c r="Y364"/>
      <c r="AB364" s="46"/>
      <c r="AC364" s="46"/>
      <c r="AE364"/>
      <c r="AG364" s="75"/>
    </row>
    <row r="365" spans="1:33">
      <c r="A365"/>
      <c r="B365"/>
      <c r="C365"/>
      <c r="D365" s="75"/>
      <c r="E365" s="46"/>
      <c r="F365" s="46"/>
      <c r="G365"/>
      <c r="H365"/>
      <c r="I365"/>
      <c r="J365"/>
      <c r="K365"/>
      <c r="V365"/>
      <c r="Y365"/>
      <c r="AB365" s="46"/>
      <c r="AC365" s="46"/>
      <c r="AE365"/>
      <c r="AG365" s="75"/>
    </row>
    <row r="366" spans="1:33">
      <c r="A366"/>
      <c r="B366"/>
      <c r="C366"/>
      <c r="D366" s="75"/>
      <c r="E366" s="46"/>
      <c r="F366" s="46"/>
      <c r="G366"/>
      <c r="H366"/>
      <c r="I366"/>
      <c r="J366"/>
      <c r="K366"/>
      <c r="V366"/>
      <c r="X366" s="75"/>
      <c r="Y366"/>
      <c r="AA366" s="75"/>
      <c r="AC366" s="26"/>
      <c r="AE366"/>
      <c r="AG366" s="75"/>
    </row>
    <row r="367" spans="1:33">
      <c r="A367"/>
      <c r="B367"/>
      <c r="C367"/>
      <c r="D367" s="75"/>
      <c r="E367" s="46"/>
      <c r="F367" s="46"/>
      <c r="G367"/>
      <c r="H367"/>
      <c r="I367"/>
      <c r="J367"/>
      <c r="K367"/>
      <c r="V367"/>
      <c r="X367" s="75"/>
      <c r="Y367"/>
      <c r="AA367" s="75"/>
      <c r="AC367" s="26"/>
      <c r="AE367"/>
      <c r="AG367" s="75"/>
    </row>
    <row r="368" spans="1:33">
      <c r="A368"/>
      <c r="B368"/>
      <c r="C368"/>
      <c r="D368" s="75"/>
      <c r="E368" s="46"/>
      <c r="F368" s="46"/>
      <c r="G368"/>
      <c r="H368"/>
      <c r="I368"/>
      <c r="J368"/>
      <c r="K368"/>
      <c r="V368"/>
      <c r="X368" s="75"/>
      <c r="Y368"/>
      <c r="AA368" s="75"/>
      <c r="AC368" s="26"/>
      <c r="AE368"/>
      <c r="AG368" s="75"/>
    </row>
    <row r="369" spans="1:33">
      <c r="A369"/>
      <c r="B369"/>
      <c r="C369"/>
      <c r="D369" s="75"/>
      <c r="E369" s="46"/>
      <c r="F369" s="46"/>
      <c r="G369"/>
      <c r="H369"/>
      <c r="I369"/>
      <c r="J369"/>
      <c r="K369"/>
      <c r="V369"/>
      <c r="X369" s="75"/>
      <c r="Y369"/>
      <c r="AA369" s="75"/>
      <c r="AC369" s="26"/>
      <c r="AE369"/>
      <c r="AG369" s="75"/>
    </row>
    <row r="370" spans="1:33">
      <c r="A370"/>
      <c r="B370"/>
      <c r="C370"/>
      <c r="D370" s="75"/>
      <c r="E370" s="46"/>
      <c r="F370" s="46"/>
      <c r="G370"/>
      <c r="H370"/>
      <c r="I370"/>
      <c r="J370"/>
      <c r="K370"/>
      <c r="V370"/>
      <c r="X370" s="75"/>
      <c r="Y370"/>
      <c r="AA370" s="75"/>
      <c r="AC370" s="26"/>
      <c r="AE370"/>
      <c r="AG370" s="75"/>
    </row>
    <row r="371" spans="1:33">
      <c r="A371"/>
      <c r="B371"/>
      <c r="C371"/>
      <c r="D371" s="75"/>
      <c r="E371" s="46"/>
      <c r="F371" s="46"/>
      <c r="G371"/>
      <c r="H371"/>
      <c r="I371"/>
      <c r="J371"/>
      <c r="K371"/>
      <c r="V371"/>
      <c r="X371" s="75"/>
      <c r="Y371"/>
      <c r="AA371" s="75"/>
      <c r="AC371" s="26"/>
      <c r="AE371"/>
      <c r="AG371" s="75"/>
    </row>
    <row r="372" spans="1:33">
      <c r="A372"/>
      <c r="B372"/>
      <c r="C372"/>
      <c r="D372" s="75"/>
      <c r="E372" s="46"/>
      <c r="F372" s="46"/>
      <c r="G372"/>
      <c r="H372"/>
      <c r="I372"/>
      <c r="J372"/>
      <c r="K372"/>
      <c r="V372"/>
      <c r="X372" s="75"/>
      <c r="Y372"/>
      <c r="AA372" s="75"/>
      <c r="AC372" s="26"/>
      <c r="AE372"/>
      <c r="AG372" s="75"/>
    </row>
    <row r="373" spans="1:33">
      <c r="A373"/>
      <c r="B373"/>
      <c r="C373"/>
      <c r="D373" s="75"/>
      <c r="E373" s="46"/>
      <c r="F373" s="46"/>
      <c r="G373"/>
      <c r="H373"/>
      <c r="I373"/>
      <c r="J373"/>
      <c r="K373"/>
      <c r="V373"/>
      <c r="X373" s="75"/>
      <c r="Y373"/>
      <c r="AA373" s="75"/>
      <c r="AC373" s="26"/>
      <c r="AE373"/>
      <c r="AG373" s="75"/>
    </row>
    <row r="374" spans="1:33">
      <c r="A374"/>
      <c r="B374"/>
      <c r="C374"/>
      <c r="D374" s="75"/>
      <c r="E374" s="46"/>
      <c r="F374" s="46"/>
      <c r="G374"/>
      <c r="H374"/>
      <c r="I374"/>
      <c r="J374"/>
      <c r="K374"/>
      <c r="V374"/>
      <c r="X374" s="75"/>
      <c r="Y374"/>
      <c r="AA374" s="75"/>
      <c r="AC374" s="26"/>
      <c r="AE374"/>
      <c r="AG374" s="75"/>
    </row>
    <row r="375" spans="1:33">
      <c r="A375"/>
      <c r="B375"/>
      <c r="C375"/>
      <c r="D375" s="75"/>
      <c r="E375" s="46"/>
      <c r="F375" s="46"/>
      <c r="G375"/>
      <c r="H375"/>
      <c r="I375"/>
      <c r="J375"/>
      <c r="K375"/>
      <c r="V375"/>
      <c r="X375" s="75"/>
      <c r="Y375"/>
      <c r="AA375" s="75"/>
      <c r="AC375" s="26"/>
      <c r="AE375"/>
      <c r="AG375" s="75"/>
    </row>
    <row r="376" spans="1:33">
      <c r="A376"/>
      <c r="B376"/>
      <c r="C376"/>
      <c r="D376" s="75"/>
      <c r="E376" s="46"/>
      <c r="F376" s="46"/>
      <c r="G376"/>
      <c r="H376"/>
      <c r="I376"/>
      <c r="J376"/>
      <c r="K376"/>
      <c r="V376"/>
      <c r="X376" s="75"/>
      <c r="Y376"/>
      <c r="AA376" s="75"/>
      <c r="AC376" s="26"/>
      <c r="AE376"/>
      <c r="AG376" s="75"/>
    </row>
    <row r="377" spans="1:33">
      <c r="A377"/>
      <c r="B377"/>
      <c r="C377"/>
      <c r="D377" s="75"/>
      <c r="E377" s="46"/>
      <c r="F377" s="46"/>
      <c r="G377"/>
      <c r="H377"/>
      <c r="I377"/>
      <c r="J377"/>
      <c r="K377"/>
      <c r="V377"/>
      <c r="X377" s="75"/>
      <c r="Y377"/>
      <c r="AA377" s="75"/>
      <c r="AC377" s="26"/>
      <c r="AE377"/>
      <c r="AG377" s="75"/>
    </row>
    <row r="378" spans="1:33">
      <c r="A378"/>
      <c r="B378"/>
      <c r="C378"/>
      <c r="D378" s="75"/>
      <c r="E378" s="46"/>
      <c r="F378" s="46"/>
      <c r="G378"/>
      <c r="H378"/>
      <c r="I378"/>
      <c r="J378"/>
      <c r="K378"/>
      <c r="V378"/>
      <c r="X378" s="75"/>
      <c r="Y378"/>
      <c r="AA378" s="75"/>
      <c r="AC378" s="26"/>
      <c r="AE378"/>
      <c r="AG378" s="75"/>
    </row>
    <row r="379" spans="1:33">
      <c r="A379"/>
      <c r="B379"/>
      <c r="C379"/>
      <c r="D379" s="75"/>
      <c r="E379" s="46"/>
      <c r="F379" s="46"/>
      <c r="G379"/>
      <c r="H379"/>
      <c r="I379"/>
      <c r="J379"/>
      <c r="K379"/>
      <c r="V379"/>
      <c r="X379" s="75"/>
      <c r="Y379"/>
      <c r="AA379" s="75"/>
      <c r="AC379" s="26"/>
      <c r="AE379"/>
      <c r="AG379" s="75"/>
    </row>
    <row r="380" spans="1:33">
      <c r="A380"/>
      <c r="B380"/>
      <c r="C380"/>
      <c r="D380" s="75"/>
      <c r="E380" s="46"/>
      <c r="F380" s="46"/>
      <c r="G380"/>
      <c r="H380"/>
      <c r="I380"/>
      <c r="J380"/>
      <c r="K380"/>
      <c r="V380"/>
      <c r="X380" s="75"/>
      <c r="Y380"/>
      <c r="AA380" s="75"/>
      <c r="AC380" s="26"/>
      <c r="AE380"/>
      <c r="AG380" s="75"/>
    </row>
    <row r="381" spans="1:33">
      <c r="A381"/>
      <c r="B381"/>
      <c r="C381"/>
      <c r="D381" s="75"/>
      <c r="E381" s="46"/>
      <c r="F381" s="46"/>
      <c r="G381"/>
      <c r="H381"/>
      <c r="I381"/>
      <c r="J381"/>
      <c r="K381"/>
      <c r="V381"/>
      <c r="X381" s="75"/>
      <c r="Y381"/>
      <c r="AA381" s="75"/>
      <c r="AC381" s="26"/>
      <c r="AE381"/>
      <c r="AG381" s="75"/>
    </row>
    <row r="382" spans="1:33">
      <c r="A382"/>
      <c r="B382"/>
      <c r="C382"/>
      <c r="D382" s="75"/>
      <c r="E382" s="46"/>
      <c r="F382" s="46"/>
      <c r="G382"/>
      <c r="H382"/>
      <c r="I382"/>
      <c r="J382"/>
      <c r="K382"/>
      <c r="V382"/>
      <c r="X382" s="75"/>
      <c r="Y382"/>
      <c r="AA382" s="75"/>
      <c r="AC382" s="26"/>
      <c r="AE382"/>
      <c r="AG382" s="75"/>
    </row>
    <row r="383" spans="1:33">
      <c r="A383"/>
      <c r="B383"/>
      <c r="C383"/>
      <c r="D383" s="75"/>
      <c r="E383" s="46"/>
      <c r="F383" s="46"/>
      <c r="G383"/>
      <c r="H383"/>
      <c r="I383"/>
      <c r="J383"/>
      <c r="K383"/>
      <c r="V383"/>
      <c r="X383" s="75"/>
      <c r="Y383"/>
      <c r="AA383" s="75"/>
      <c r="AC383" s="26"/>
      <c r="AE383"/>
      <c r="AG383" s="75"/>
    </row>
    <row r="384" spans="1:33">
      <c r="A384"/>
      <c r="B384"/>
      <c r="C384"/>
      <c r="D384" s="75"/>
      <c r="E384" s="46"/>
      <c r="F384" s="46"/>
      <c r="G384"/>
      <c r="H384"/>
      <c r="I384"/>
      <c r="J384"/>
      <c r="K384"/>
      <c r="V384"/>
      <c r="X384" s="75"/>
      <c r="Y384"/>
      <c r="AA384" s="75"/>
      <c r="AC384" s="26"/>
      <c r="AE384"/>
      <c r="AG384" s="75"/>
    </row>
    <row r="385" spans="1:33">
      <c r="A385"/>
      <c r="B385"/>
      <c r="C385"/>
      <c r="D385" s="75"/>
      <c r="E385" s="46"/>
      <c r="F385" s="46"/>
      <c r="G385"/>
      <c r="H385"/>
      <c r="I385"/>
      <c r="J385"/>
      <c r="K385"/>
      <c r="V385"/>
      <c r="X385" s="75"/>
      <c r="Y385"/>
      <c r="AA385" s="75"/>
      <c r="AC385" s="26"/>
      <c r="AE385"/>
      <c r="AG385" s="75"/>
    </row>
    <row r="386" spans="1:33">
      <c r="A386"/>
      <c r="B386"/>
      <c r="C386"/>
      <c r="D386" s="75"/>
      <c r="E386" s="46"/>
      <c r="F386" s="46"/>
      <c r="G386"/>
      <c r="H386"/>
      <c r="I386"/>
      <c r="J386"/>
      <c r="K386"/>
      <c r="V386"/>
      <c r="X386" s="75"/>
      <c r="Y386"/>
      <c r="AA386" s="75"/>
      <c r="AC386" s="26"/>
      <c r="AE386"/>
      <c r="AG386" s="75"/>
    </row>
    <row r="387" spans="1:33">
      <c r="A387"/>
      <c r="B387"/>
      <c r="C387"/>
      <c r="D387" s="75"/>
      <c r="E387" s="46"/>
      <c r="F387" s="46"/>
      <c r="G387"/>
      <c r="H387"/>
      <c r="I387"/>
      <c r="J387"/>
      <c r="K387"/>
      <c r="V387"/>
      <c r="X387" s="75"/>
      <c r="Y387"/>
      <c r="AA387" s="75"/>
      <c r="AC387" s="26"/>
      <c r="AE387"/>
      <c r="AG387" s="75"/>
    </row>
    <row r="388" spans="1:33">
      <c r="A388"/>
      <c r="B388"/>
      <c r="C388"/>
      <c r="D388" s="75"/>
      <c r="E388" s="46"/>
      <c r="F388" s="46"/>
      <c r="G388"/>
      <c r="H388"/>
      <c r="I388"/>
      <c r="J388"/>
      <c r="K388"/>
      <c r="V388"/>
      <c r="X388" s="75"/>
      <c r="Y388"/>
      <c r="AA388" s="75"/>
      <c r="AC388" s="26"/>
      <c r="AE388"/>
      <c r="AG388" s="75"/>
    </row>
    <row r="389" spans="1:33">
      <c r="A389"/>
      <c r="B389"/>
      <c r="C389"/>
      <c r="D389" s="75"/>
      <c r="E389" s="46"/>
      <c r="F389" s="46"/>
      <c r="G389"/>
      <c r="H389"/>
      <c r="I389"/>
      <c r="J389"/>
      <c r="K389"/>
      <c r="V389"/>
      <c r="X389" s="75"/>
      <c r="Y389"/>
      <c r="AA389" s="75"/>
      <c r="AC389" s="26"/>
      <c r="AE389"/>
      <c r="AG389" s="75"/>
    </row>
    <row r="390" spans="1:33">
      <c r="A390"/>
      <c r="B390"/>
      <c r="C390"/>
      <c r="D390" s="75"/>
      <c r="E390" s="46"/>
      <c r="F390" s="46"/>
      <c r="G390"/>
      <c r="H390"/>
      <c r="I390"/>
      <c r="J390"/>
      <c r="K390"/>
      <c r="V390"/>
      <c r="X390" s="75"/>
      <c r="Y390"/>
      <c r="AA390" s="75"/>
      <c r="AC390" s="26"/>
      <c r="AE390"/>
      <c r="AG390" s="75"/>
    </row>
    <row r="391" spans="1:33">
      <c r="A391"/>
      <c r="B391"/>
      <c r="C391"/>
      <c r="D391" s="75"/>
      <c r="E391" s="46"/>
      <c r="F391" s="46"/>
      <c r="G391"/>
      <c r="H391"/>
      <c r="I391"/>
      <c r="J391"/>
      <c r="K391"/>
      <c r="V391"/>
      <c r="X391" s="75"/>
      <c r="Y391"/>
      <c r="AA391" s="75"/>
      <c r="AC391" s="26"/>
      <c r="AE391"/>
      <c r="AG391" s="75"/>
    </row>
    <row r="392" spans="1:33">
      <c r="A392"/>
      <c r="B392"/>
      <c r="C392"/>
      <c r="D392" s="75"/>
      <c r="E392" s="46"/>
      <c r="F392" s="46"/>
      <c r="G392"/>
      <c r="H392"/>
      <c r="I392"/>
      <c r="J392"/>
      <c r="K392"/>
      <c r="V392"/>
      <c r="X392" s="75"/>
      <c r="Y392"/>
      <c r="AA392" s="75"/>
      <c r="AC392" s="26"/>
      <c r="AE392"/>
      <c r="AG392" s="75"/>
    </row>
    <row r="393" spans="1:33">
      <c r="A393"/>
      <c r="B393"/>
      <c r="C393"/>
      <c r="D393" s="75"/>
      <c r="E393" s="46"/>
      <c r="F393" s="46"/>
      <c r="G393"/>
      <c r="H393"/>
      <c r="I393"/>
      <c r="J393"/>
      <c r="K393"/>
      <c r="V393"/>
      <c r="X393" s="75"/>
      <c r="Y393"/>
      <c r="AA393" s="75"/>
      <c r="AC393" s="26"/>
      <c r="AE393"/>
      <c r="AG393" s="75"/>
    </row>
    <row r="394" spans="1:33">
      <c r="A394"/>
      <c r="B394"/>
      <c r="C394"/>
      <c r="D394" s="75"/>
      <c r="E394" s="46"/>
      <c r="F394" s="46"/>
      <c r="G394"/>
      <c r="H394"/>
      <c r="I394"/>
      <c r="J394"/>
      <c r="K394"/>
      <c r="V394"/>
      <c r="X394" s="75"/>
      <c r="Y394"/>
      <c r="AA394" s="75"/>
      <c r="AC394" s="26"/>
      <c r="AE394"/>
      <c r="AG394" s="75"/>
    </row>
    <row r="395" spans="1:33">
      <c r="A395"/>
      <c r="B395"/>
      <c r="C395"/>
      <c r="D395" s="75"/>
      <c r="E395" s="46"/>
      <c r="F395" s="46"/>
      <c r="G395"/>
      <c r="H395"/>
      <c r="I395"/>
      <c r="J395"/>
      <c r="K395"/>
      <c r="V395"/>
      <c r="X395" s="75"/>
      <c r="Y395"/>
      <c r="AA395" s="75"/>
      <c r="AC395" s="26"/>
      <c r="AE395"/>
      <c r="AG395" s="75"/>
    </row>
    <row r="396" spans="1:33">
      <c r="A396"/>
      <c r="B396"/>
      <c r="C396"/>
      <c r="D396" s="75"/>
      <c r="E396" s="46"/>
      <c r="F396" s="46"/>
      <c r="G396"/>
      <c r="H396"/>
      <c r="I396"/>
      <c r="J396"/>
      <c r="K396"/>
      <c r="V396"/>
      <c r="X396" s="75"/>
      <c r="Y396"/>
      <c r="AA396" s="75"/>
      <c r="AC396" s="26"/>
      <c r="AE396"/>
      <c r="AG396" s="75"/>
    </row>
    <row r="397" spans="1:33">
      <c r="A397"/>
      <c r="B397"/>
      <c r="C397"/>
      <c r="D397" s="75"/>
      <c r="E397" s="46"/>
      <c r="F397" s="46"/>
      <c r="G397"/>
      <c r="H397"/>
      <c r="I397"/>
      <c r="J397"/>
      <c r="K397"/>
      <c r="V397"/>
      <c r="X397" s="75"/>
      <c r="Y397"/>
      <c r="AA397" s="75"/>
      <c r="AC397" s="26"/>
      <c r="AE397"/>
      <c r="AG397" s="75"/>
    </row>
    <row r="398" spans="1:33">
      <c r="A398"/>
      <c r="B398"/>
      <c r="C398"/>
      <c r="D398" s="75"/>
      <c r="E398" s="46"/>
      <c r="F398" s="46"/>
      <c r="G398"/>
      <c r="H398"/>
      <c r="I398"/>
      <c r="J398"/>
      <c r="K398"/>
      <c r="V398"/>
      <c r="X398" s="75"/>
      <c r="Y398"/>
      <c r="AA398" s="75"/>
      <c r="AC398" s="26"/>
      <c r="AE398"/>
      <c r="AG398" s="75"/>
    </row>
    <row r="399" spans="1:33">
      <c r="A399"/>
      <c r="B399"/>
      <c r="C399"/>
      <c r="D399" s="75"/>
      <c r="E399" s="46"/>
      <c r="F399" s="46"/>
      <c r="G399"/>
      <c r="H399"/>
      <c r="I399"/>
      <c r="J399"/>
      <c r="K399"/>
      <c r="V399"/>
      <c r="X399" s="75"/>
      <c r="Y399"/>
      <c r="AA399" s="75"/>
      <c r="AC399" s="26"/>
      <c r="AE399"/>
      <c r="AG399" s="75"/>
    </row>
    <row r="400" spans="1:33">
      <c r="A400"/>
      <c r="B400"/>
      <c r="C400"/>
      <c r="D400" s="75"/>
      <c r="E400" s="46"/>
      <c r="F400" s="46"/>
      <c r="G400"/>
      <c r="H400"/>
      <c r="I400"/>
      <c r="J400"/>
      <c r="K400"/>
      <c r="V400"/>
      <c r="X400" s="75"/>
      <c r="Y400"/>
      <c r="AA400" s="75"/>
      <c r="AC400" s="26"/>
      <c r="AE400"/>
      <c r="AG400" s="75"/>
    </row>
    <row r="401" spans="1:33">
      <c r="A401"/>
      <c r="B401"/>
      <c r="C401"/>
      <c r="D401" s="75"/>
      <c r="E401" s="46"/>
      <c r="F401" s="46"/>
      <c r="G401"/>
      <c r="H401"/>
      <c r="I401"/>
      <c r="J401"/>
      <c r="K401"/>
      <c r="V401"/>
      <c r="X401" s="75"/>
      <c r="Y401"/>
      <c r="AA401" s="75"/>
      <c r="AC401" s="26"/>
      <c r="AE401"/>
      <c r="AG401" s="75"/>
    </row>
    <row r="402" spans="1:33">
      <c r="A402"/>
      <c r="B402"/>
      <c r="C402"/>
      <c r="D402" s="75"/>
      <c r="E402" s="46"/>
      <c r="F402" s="46"/>
      <c r="G402"/>
      <c r="H402"/>
      <c r="I402"/>
      <c r="J402"/>
      <c r="K402"/>
      <c r="V402"/>
      <c r="X402" s="75"/>
      <c r="Y402"/>
      <c r="AA402" s="75"/>
      <c r="AC402" s="26"/>
      <c r="AE402"/>
      <c r="AG402" s="75"/>
    </row>
    <row r="403" spans="1:33">
      <c r="A403"/>
      <c r="B403"/>
      <c r="C403"/>
      <c r="D403" s="75"/>
      <c r="E403" s="46"/>
      <c r="F403" s="46"/>
      <c r="G403"/>
      <c r="H403"/>
      <c r="I403"/>
      <c r="J403"/>
      <c r="K403"/>
      <c r="V403"/>
      <c r="X403" s="75"/>
      <c r="Y403"/>
      <c r="AA403" s="75"/>
      <c r="AC403" s="26"/>
      <c r="AE403"/>
      <c r="AG403" s="75"/>
    </row>
    <row r="404" spans="1:33">
      <c r="A404"/>
      <c r="B404"/>
      <c r="C404"/>
      <c r="D404" s="75"/>
      <c r="E404" s="46"/>
      <c r="F404" s="46"/>
      <c r="G404"/>
      <c r="H404"/>
      <c r="I404"/>
      <c r="J404"/>
      <c r="K404"/>
      <c r="V404"/>
      <c r="X404" s="75"/>
      <c r="Y404"/>
      <c r="AA404" s="75"/>
      <c r="AC404" s="26"/>
      <c r="AE404"/>
      <c r="AG404" s="75"/>
    </row>
    <row r="405" spans="1:33">
      <c r="A405"/>
      <c r="B405"/>
      <c r="C405"/>
      <c r="D405" s="75"/>
      <c r="E405" s="46"/>
      <c r="F405" s="46"/>
      <c r="G405"/>
      <c r="H405"/>
      <c r="I405"/>
      <c r="J405"/>
      <c r="K405"/>
      <c r="V405"/>
      <c r="X405" s="75"/>
      <c r="Y405"/>
      <c r="AA405" s="75"/>
      <c r="AC405" s="26"/>
      <c r="AE405"/>
      <c r="AG405" s="75"/>
    </row>
    <row r="406" spans="1:33">
      <c r="A406"/>
      <c r="B406"/>
      <c r="C406"/>
      <c r="D406" s="75"/>
      <c r="E406" s="46"/>
      <c r="F406" s="46"/>
      <c r="G406"/>
      <c r="H406"/>
      <c r="I406"/>
      <c r="J406"/>
      <c r="K406"/>
      <c r="V406"/>
      <c r="X406" s="75"/>
      <c r="Y406"/>
      <c r="AA406" s="75"/>
      <c r="AB406" s="46"/>
      <c r="AC406" s="26"/>
      <c r="AE406"/>
      <c r="AG406" s="75"/>
    </row>
    <row r="407" spans="1:33">
      <c r="A407"/>
      <c r="B407"/>
      <c r="C407"/>
      <c r="D407" s="75"/>
      <c r="E407" s="46"/>
      <c r="F407" s="46"/>
      <c r="G407"/>
      <c r="H407"/>
      <c r="I407"/>
      <c r="J407"/>
      <c r="K407"/>
      <c r="V407"/>
      <c r="X407" s="75"/>
      <c r="Y407"/>
      <c r="AA407" s="75"/>
      <c r="AB407" s="46"/>
      <c r="AC407" s="26"/>
      <c r="AE407"/>
      <c r="AG407" s="75"/>
    </row>
    <row r="408" spans="1:33">
      <c r="A408"/>
      <c r="B408"/>
      <c r="C408"/>
      <c r="D408" s="75"/>
      <c r="E408" s="46"/>
      <c r="F408" s="46"/>
      <c r="G408"/>
      <c r="H408"/>
      <c r="I408"/>
      <c r="J408"/>
      <c r="K408"/>
      <c r="V408"/>
      <c r="X408" s="75"/>
      <c r="Y408"/>
      <c r="AA408" s="75"/>
      <c r="AB408" s="77"/>
      <c r="AC408" s="76"/>
      <c r="AE408"/>
      <c r="AG408" s="75"/>
    </row>
    <row r="409" spans="1:33">
      <c r="A409"/>
      <c r="B409"/>
      <c r="C409"/>
      <c r="D409" s="75"/>
      <c r="E409" s="46"/>
      <c r="F409" s="46"/>
      <c r="G409"/>
      <c r="H409"/>
      <c r="I409"/>
      <c r="J409"/>
      <c r="K409"/>
      <c r="V409"/>
      <c r="X409" s="75"/>
      <c r="Y409"/>
      <c r="AA409" s="75"/>
      <c r="AB409" s="77"/>
      <c r="AC409" s="76"/>
      <c r="AE409"/>
      <c r="AG409" s="75"/>
    </row>
    <row r="410" spans="1:33">
      <c r="A410"/>
      <c r="B410"/>
      <c r="C410"/>
      <c r="D410" s="75"/>
      <c r="E410" s="46"/>
      <c r="F410" s="46"/>
      <c r="G410"/>
      <c r="H410"/>
      <c r="I410"/>
      <c r="J410"/>
      <c r="K410"/>
      <c r="V410"/>
      <c r="X410" s="75"/>
      <c r="Y410"/>
      <c r="AA410" s="75"/>
      <c r="AB410" s="77"/>
      <c r="AC410" s="76"/>
      <c r="AE410"/>
      <c r="AG410" s="75"/>
    </row>
    <row r="411" spans="1:33">
      <c r="A411"/>
      <c r="B411"/>
      <c r="C411"/>
      <c r="D411" s="75"/>
      <c r="E411" s="46"/>
      <c r="F411" s="46"/>
      <c r="G411"/>
      <c r="H411"/>
      <c r="I411"/>
      <c r="J411"/>
      <c r="K411"/>
      <c r="V411"/>
      <c r="X411" s="75"/>
      <c r="Y411"/>
      <c r="AA411" s="75"/>
      <c r="AB411" s="77"/>
      <c r="AC411" s="76"/>
      <c r="AE411"/>
      <c r="AG411" s="75"/>
    </row>
    <row r="412" spans="1:33">
      <c r="A412"/>
      <c r="B412"/>
      <c r="C412"/>
      <c r="D412" s="75"/>
      <c r="E412" s="46"/>
      <c r="F412" s="46"/>
      <c r="G412"/>
      <c r="H412"/>
      <c r="I412"/>
      <c r="J412"/>
      <c r="K412"/>
      <c r="V412"/>
      <c r="Y412"/>
      <c r="Z412" s="46"/>
      <c r="AB412" s="46"/>
      <c r="AC412" s="46"/>
      <c r="AE412"/>
      <c r="AG412" s="75"/>
    </row>
    <row r="413" spans="1:33">
      <c r="A413"/>
      <c r="B413"/>
      <c r="C413"/>
      <c r="D413" s="75"/>
      <c r="E413" s="46"/>
      <c r="F413" s="46"/>
      <c r="G413"/>
      <c r="H413"/>
      <c r="I413"/>
      <c r="J413"/>
      <c r="K413"/>
      <c r="V413"/>
      <c r="Y413"/>
      <c r="AB413" s="46"/>
      <c r="AC413" s="46"/>
      <c r="AE413"/>
      <c r="AG413" s="75"/>
    </row>
    <row r="414" spans="1:33">
      <c r="A414"/>
      <c r="B414"/>
      <c r="C414"/>
      <c r="D414" s="75"/>
      <c r="E414" s="46"/>
      <c r="F414" s="46"/>
      <c r="G414"/>
      <c r="H414"/>
      <c r="I414"/>
      <c r="J414"/>
      <c r="K414"/>
      <c r="V414"/>
      <c r="Y414"/>
      <c r="AB414" s="46"/>
      <c r="AC414" s="46"/>
      <c r="AE414"/>
      <c r="AG414" s="75"/>
    </row>
    <row r="415" spans="1:33">
      <c r="A415"/>
      <c r="B415"/>
      <c r="C415"/>
      <c r="D415" s="75"/>
      <c r="E415" s="46"/>
      <c r="F415" s="46"/>
      <c r="G415"/>
      <c r="H415"/>
      <c r="I415"/>
      <c r="J415"/>
      <c r="K415"/>
      <c r="V415"/>
      <c r="X415" s="75"/>
      <c r="Y415"/>
      <c r="AA415" s="75"/>
      <c r="AC415" s="26"/>
      <c r="AE415"/>
      <c r="AG415" s="75"/>
    </row>
    <row r="416" spans="1:33">
      <c r="A416"/>
      <c r="B416"/>
      <c r="C416"/>
      <c r="D416" s="75"/>
      <c r="E416" s="46"/>
      <c r="F416" s="46"/>
      <c r="G416"/>
      <c r="H416"/>
      <c r="I416"/>
      <c r="J416"/>
      <c r="K416"/>
      <c r="V416"/>
      <c r="X416" s="75"/>
      <c r="Y416"/>
      <c r="AA416" s="75"/>
      <c r="AC416" s="26"/>
      <c r="AE416"/>
      <c r="AG416" s="75"/>
    </row>
    <row r="417" spans="1:35">
      <c r="A417"/>
      <c r="B417"/>
      <c r="C417"/>
      <c r="D417" s="75"/>
      <c r="E417" s="46"/>
      <c r="F417" s="46"/>
      <c r="G417"/>
      <c r="H417"/>
      <c r="I417"/>
      <c r="J417"/>
      <c r="K417"/>
      <c r="V417"/>
      <c r="X417" s="75"/>
      <c r="Y417"/>
      <c r="AA417" s="75"/>
      <c r="AC417" s="26"/>
      <c r="AE417"/>
      <c r="AG417" s="75"/>
    </row>
    <row r="418" spans="1:35">
      <c r="A418"/>
      <c r="B418"/>
      <c r="C418"/>
      <c r="D418" s="75"/>
      <c r="E418" s="46"/>
      <c r="F418" s="46"/>
      <c r="G418"/>
      <c r="H418"/>
      <c r="I418"/>
      <c r="J418"/>
      <c r="K418"/>
      <c r="V418"/>
      <c r="X418" s="75"/>
      <c r="Y418"/>
      <c r="AA418" s="75"/>
      <c r="AC418" s="26"/>
      <c r="AE418"/>
      <c r="AG418" s="75"/>
    </row>
    <row r="419" spans="1:35">
      <c r="A419"/>
      <c r="B419"/>
      <c r="C419"/>
      <c r="D419" s="75"/>
      <c r="E419" s="46"/>
      <c r="F419" s="46"/>
      <c r="G419"/>
      <c r="H419"/>
      <c r="I419"/>
      <c r="J419"/>
      <c r="K419"/>
      <c r="V419"/>
      <c r="X419" s="75"/>
      <c r="Y419"/>
      <c r="AA419" s="75"/>
      <c r="AC419" s="26"/>
      <c r="AE419"/>
      <c r="AG419" s="75"/>
    </row>
    <row r="420" spans="1:35">
      <c r="A420"/>
      <c r="B420"/>
      <c r="C420"/>
      <c r="D420" s="75"/>
      <c r="E420" s="46"/>
      <c r="F420" s="46"/>
      <c r="G420"/>
      <c r="H420"/>
      <c r="I420"/>
      <c r="J420"/>
      <c r="K420"/>
      <c r="V420"/>
      <c r="X420" s="75"/>
      <c r="Y420"/>
      <c r="AA420" s="75"/>
      <c r="AC420" s="26"/>
      <c r="AE420"/>
      <c r="AG420" s="75"/>
    </row>
    <row r="421" spans="1:35">
      <c r="A421"/>
      <c r="B421"/>
      <c r="C421"/>
      <c r="D421" s="75"/>
      <c r="E421" s="46"/>
      <c r="F421" s="46"/>
      <c r="G421"/>
      <c r="H421"/>
      <c r="I421"/>
      <c r="J421"/>
      <c r="K421"/>
      <c r="V421"/>
      <c r="X421" s="75"/>
      <c r="Y421"/>
      <c r="AA421" s="75"/>
      <c r="AC421" s="26"/>
      <c r="AE421"/>
      <c r="AG421" s="75"/>
    </row>
    <row r="422" spans="1:35">
      <c r="A422"/>
      <c r="B422"/>
      <c r="C422"/>
      <c r="D422" s="75"/>
      <c r="E422" s="46"/>
      <c r="F422" s="46"/>
      <c r="G422"/>
      <c r="H422"/>
      <c r="I422"/>
      <c r="J422"/>
      <c r="K422"/>
      <c r="V422"/>
      <c r="X422" s="75"/>
      <c r="Y422"/>
      <c r="AA422" s="75"/>
      <c r="AC422" s="26"/>
      <c r="AE422"/>
      <c r="AG422" s="75"/>
    </row>
    <row r="423" spans="1:35">
      <c r="A423"/>
      <c r="B423"/>
      <c r="C423"/>
      <c r="D423" s="75"/>
      <c r="E423" s="46"/>
      <c r="F423" s="46"/>
      <c r="G423"/>
      <c r="H423"/>
      <c r="I423"/>
      <c r="J423"/>
      <c r="K423"/>
      <c r="V423"/>
      <c r="X423" s="75"/>
      <c r="Y423"/>
      <c r="AA423" s="75"/>
      <c r="AC423" s="26"/>
      <c r="AE423"/>
      <c r="AG423" s="75"/>
    </row>
    <row r="424" spans="1:35">
      <c r="A424"/>
      <c r="B424"/>
      <c r="C424"/>
      <c r="D424" s="75"/>
      <c r="E424" s="46"/>
      <c r="F424" s="46"/>
      <c r="G424"/>
      <c r="H424"/>
      <c r="I424"/>
      <c r="J424"/>
      <c r="K424"/>
      <c r="V424"/>
      <c r="X424" s="75"/>
      <c r="Y424"/>
      <c r="AA424" s="75"/>
      <c r="AC424" s="26"/>
      <c r="AE424"/>
      <c r="AG424" s="75"/>
    </row>
    <row r="425" spans="1:35" s="78" customFormat="1">
      <c r="A425"/>
      <c r="B425"/>
      <c r="C425"/>
      <c r="D425" s="75"/>
      <c r="E425" s="46"/>
      <c r="F425" s="46"/>
      <c r="G425"/>
      <c r="H425"/>
      <c r="I425"/>
      <c r="J425"/>
      <c r="K42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/>
      <c r="W425" s="15"/>
      <c r="X425" s="75"/>
      <c r="Y425"/>
      <c r="Z425" s="15"/>
      <c r="AA425" s="75"/>
      <c r="AB425" s="15"/>
      <c r="AC425" s="26"/>
      <c r="AD425" s="15"/>
      <c r="AE425"/>
      <c r="AF425" s="15"/>
      <c r="AG425" s="75"/>
      <c r="AH425" s="75"/>
      <c r="AI425" s="75"/>
    </row>
    <row r="426" spans="1:35" s="78" customFormat="1">
      <c r="A426"/>
      <c r="B426"/>
      <c r="C426"/>
      <c r="D426" s="75"/>
      <c r="E426" s="46"/>
      <c r="F426" s="46"/>
      <c r="G426"/>
      <c r="H426"/>
      <c r="I426"/>
      <c r="J426"/>
      <c r="K426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/>
      <c r="W426" s="15"/>
      <c r="X426" s="75"/>
      <c r="Y426"/>
      <c r="Z426" s="15"/>
      <c r="AA426" s="75"/>
      <c r="AB426" s="15"/>
      <c r="AC426" s="26"/>
      <c r="AD426" s="15"/>
      <c r="AE426"/>
      <c r="AF426" s="15"/>
      <c r="AG426" s="75"/>
      <c r="AH426" s="75"/>
      <c r="AI426" s="75"/>
    </row>
    <row r="427" spans="1:35" s="78" customFormat="1">
      <c r="A427"/>
      <c r="B427"/>
      <c r="C427"/>
      <c r="D427" s="75"/>
      <c r="E427" s="46"/>
      <c r="F427" s="46"/>
      <c r="G427"/>
      <c r="H427"/>
      <c r="I427"/>
      <c r="J427"/>
      <c r="K427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/>
      <c r="W427" s="15"/>
      <c r="X427" s="75"/>
      <c r="Y427"/>
      <c r="Z427" s="15"/>
      <c r="AA427" s="75"/>
      <c r="AB427" s="15"/>
      <c r="AC427" s="26"/>
      <c r="AD427" s="15"/>
      <c r="AE427"/>
      <c r="AF427" s="15"/>
      <c r="AG427" s="75"/>
      <c r="AH427" s="75"/>
      <c r="AI427" s="75"/>
    </row>
    <row r="428" spans="1:35" s="78" customFormat="1">
      <c r="A428"/>
      <c r="B428"/>
      <c r="C428"/>
      <c r="D428" s="75"/>
      <c r="E428" s="46"/>
      <c r="F428" s="46"/>
      <c r="G428"/>
      <c r="H428"/>
      <c r="I428"/>
      <c r="J428"/>
      <c r="K428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/>
      <c r="W428" s="15"/>
      <c r="X428" s="75"/>
      <c r="Y428"/>
      <c r="Z428" s="15"/>
      <c r="AA428" s="75"/>
      <c r="AB428" s="15"/>
      <c r="AC428" s="26"/>
      <c r="AD428" s="15"/>
      <c r="AE428"/>
      <c r="AF428" s="15"/>
      <c r="AG428" s="75"/>
      <c r="AH428" s="75"/>
      <c r="AI428" s="75"/>
    </row>
    <row r="429" spans="1:35" s="78" customFormat="1">
      <c r="A429"/>
      <c r="B429"/>
      <c r="C429"/>
      <c r="D429" s="75"/>
      <c r="E429" s="46"/>
      <c r="F429" s="46"/>
      <c r="G429"/>
      <c r="H429"/>
      <c r="I429"/>
      <c r="J429"/>
      <c r="K429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/>
      <c r="W429" s="15"/>
      <c r="X429" s="75"/>
      <c r="Y429"/>
      <c r="Z429" s="15"/>
      <c r="AA429" s="75"/>
      <c r="AB429" s="15"/>
      <c r="AC429" s="26"/>
      <c r="AD429" s="15"/>
      <c r="AE429"/>
      <c r="AF429" s="15"/>
      <c r="AG429" s="75"/>
      <c r="AH429" s="75"/>
      <c r="AI429" s="75"/>
    </row>
    <row r="430" spans="1:35" s="78" customFormat="1">
      <c r="A430"/>
      <c r="B430"/>
      <c r="C430"/>
      <c r="D430" s="75"/>
      <c r="E430" s="46"/>
      <c r="F430" s="46"/>
      <c r="G430"/>
      <c r="H430"/>
      <c r="I430"/>
      <c r="J430"/>
      <c r="K430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/>
      <c r="W430" s="15"/>
      <c r="X430" s="75"/>
      <c r="Y430"/>
      <c r="Z430" s="15"/>
      <c r="AA430" s="75"/>
      <c r="AB430" s="15"/>
      <c r="AC430" s="26"/>
      <c r="AD430" s="15"/>
      <c r="AE430"/>
      <c r="AF430" s="15"/>
      <c r="AG430" s="75"/>
      <c r="AH430" s="75"/>
      <c r="AI430" s="75"/>
    </row>
    <row r="431" spans="1:35" s="78" customFormat="1">
      <c r="A431"/>
      <c r="B431"/>
      <c r="C431"/>
      <c r="D431" s="75"/>
      <c r="E431" s="46"/>
      <c r="F431" s="46"/>
      <c r="G431"/>
      <c r="H431"/>
      <c r="I431"/>
      <c r="J431"/>
      <c r="K431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/>
      <c r="W431" s="15"/>
      <c r="X431" s="75"/>
      <c r="Y431"/>
      <c r="Z431" s="15"/>
      <c r="AA431" s="75"/>
      <c r="AB431" s="15"/>
      <c r="AC431" s="26"/>
      <c r="AD431" s="15"/>
      <c r="AE431"/>
      <c r="AF431" s="15"/>
      <c r="AG431" s="75"/>
      <c r="AH431" s="75"/>
      <c r="AI431" s="75"/>
    </row>
    <row r="432" spans="1:35" s="78" customFormat="1">
      <c r="A432"/>
      <c r="B432"/>
      <c r="C432"/>
      <c r="D432" s="75"/>
      <c r="E432" s="46"/>
      <c r="F432" s="46"/>
      <c r="G432"/>
      <c r="H432"/>
      <c r="I432"/>
      <c r="J432"/>
      <c r="K432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/>
      <c r="W432" s="15"/>
      <c r="X432" s="75"/>
      <c r="Y432"/>
      <c r="Z432" s="15"/>
      <c r="AA432" s="75"/>
      <c r="AB432" s="15"/>
      <c r="AC432" s="26"/>
      <c r="AD432" s="15"/>
      <c r="AE432"/>
      <c r="AF432" s="15"/>
      <c r="AG432" s="75"/>
      <c r="AH432" s="75"/>
      <c r="AI432" s="75"/>
    </row>
    <row r="433" spans="1:35" s="78" customFormat="1">
      <c r="A433"/>
      <c r="B433"/>
      <c r="C433"/>
      <c r="D433" s="75"/>
      <c r="E433" s="46"/>
      <c r="F433" s="46"/>
      <c r="G433"/>
      <c r="H433"/>
      <c r="I433"/>
      <c r="J433"/>
      <c r="K433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/>
      <c r="W433" s="15"/>
      <c r="X433" s="75"/>
      <c r="Y433"/>
      <c r="Z433" s="15"/>
      <c r="AA433" s="75"/>
      <c r="AB433" s="15"/>
      <c r="AC433" s="26"/>
      <c r="AD433" s="15"/>
      <c r="AE433"/>
      <c r="AF433" s="15"/>
      <c r="AG433" s="75"/>
      <c r="AH433" s="75"/>
      <c r="AI433" s="75"/>
    </row>
    <row r="434" spans="1:35" s="78" customFormat="1">
      <c r="A434"/>
      <c r="B434"/>
      <c r="C434"/>
      <c r="D434" s="75"/>
      <c r="E434" s="46"/>
      <c r="F434" s="46"/>
      <c r="G434"/>
      <c r="H434"/>
      <c r="I434"/>
      <c r="J434"/>
      <c r="K434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/>
      <c r="W434" s="15"/>
      <c r="X434" s="75"/>
      <c r="Y434"/>
      <c r="Z434" s="15"/>
      <c r="AA434" s="75"/>
      <c r="AB434" s="15"/>
      <c r="AC434" s="26"/>
      <c r="AD434" s="15"/>
      <c r="AE434"/>
      <c r="AF434" s="15"/>
      <c r="AG434" s="75"/>
      <c r="AH434" s="75"/>
      <c r="AI434" s="75"/>
    </row>
    <row r="435" spans="1:35" s="78" customFormat="1">
      <c r="A435"/>
      <c r="B435"/>
      <c r="C435"/>
      <c r="D435" s="75"/>
      <c r="E435" s="46"/>
      <c r="F435" s="46"/>
      <c r="G435"/>
      <c r="H435"/>
      <c r="I435"/>
      <c r="J435"/>
      <c r="K43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/>
      <c r="W435" s="15"/>
      <c r="X435" s="75"/>
      <c r="Y435"/>
      <c r="Z435" s="15"/>
      <c r="AA435" s="75"/>
      <c r="AB435" s="15"/>
      <c r="AC435" s="26"/>
      <c r="AD435" s="15"/>
      <c r="AE435"/>
      <c r="AF435" s="15"/>
      <c r="AG435" s="75"/>
      <c r="AH435" s="75"/>
      <c r="AI435" s="75"/>
    </row>
    <row r="436" spans="1:35" s="78" customFormat="1">
      <c r="A436"/>
      <c r="B436"/>
      <c r="C436"/>
      <c r="D436" s="75"/>
      <c r="E436" s="46"/>
      <c r="F436" s="46"/>
      <c r="G436"/>
      <c r="H436"/>
      <c r="I436"/>
      <c r="J436"/>
      <c r="K436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/>
      <c r="W436" s="15"/>
      <c r="X436" s="75"/>
      <c r="Y436"/>
      <c r="Z436" s="15"/>
      <c r="AA436" s="75"/>
      <c r="AB436" s="15"/>
      <c r="AC436" s="26"/>
      <c r="AD436" s="15"/>
      <c r="AE436"/>
      <c r="AF436" s="15"/>
      <c r="AG436" s="75"/>
      <c r="AH436" s="75"/>
      <c r="AI436" s="75"/>
    </row>
    <row r="437" spans="1:35">
      <c r="A437"/>
      <c r="B437"/>
      <c r="C437"/>
      <c r="D437" s="75"/>
      <c r="E437" s="46"/>
      <c r="F437" s="46"/>
      <c r="G437"/>
      <c r="H437"/>
      <c r="I437"/>
      <c r="J437"/>
      <c r="K437"/>
      <c r="V437"/>
      <c r="X437" s="75"/>
      <c r="Y437"/>
      <c r="AA437" s="75"/>
      <c r="AC437" s="26"/>
      <c r="AE437"/>
      <c r="AG437" s="75"/>
    </row>
    <row r="438" spans="1:35">
      <c r="A438"/>
      <c r="B438"/>
      <c r="C438"/>
      <c r="D438" s="75"/>
      <c r="E438" s="46"/>
      <c r="F438" s="46"/>
      <c r="G438"/>
      <c r="H438"/>
      <c r="I438"/>
      <c r="J438"/>
      <c r="K438"/>
      <c r="V438"/>
      <c r="X438" s="75"/>
      <c r="Y438"/>
      <c r="AA438" s="75"/>
      <c r="AC438" s="26"/>
      <c r="AE438"/>
      <c r="AG438" s="75"/>
    </row>
    <row r="439" spans="1:35">
      <c r="A439"/>
      <c r="B439"/>
      <c r="C439"/>
      <c r="D439" s="75"/>
      <c r="E439" s="46"/>
      <c r="F439" s="46"/>
      <c r="G439"/>
      <c r="H439"/>
      <c r="I439"/>
      <c r="J439"/>
      <c r="K439"/>
      <c r="V439"/>
      <c r="X439" s="75"/>
      <c r="Y439"/>
      <c r="AA439" s="75"/>
      <c r="AC439" s="26"/>
      <c r="AE439"/>
      <c r="AG439" s="75"/>
    </row>
    <row r="440" spans="1:35">
      <c r="A440"/>
      <c r="B440"/>
      <c r="C440"/>
      <c r="D440" s="75"/>
      <c r="E440" s="46"/>
      <c r="F440" s="46"/>
      <c r="G440"/>
      <c r="H440"/>
      <c r="I440"/>
      <c r="J440"/>
      <c r="K440"/>
      <c r="V440"/>
      <c r="X440" s="75"/>
      <c r="Y440"/>
      <c r="AA440" s="75"/>
      <c r="AC440" s="26"/>
      <c r="AE440"/>
      <c r="AG440" s="75"/>
    </row>
    <row r="441" spans="1:35">
      <c r="A441"/>
      <c r="B441"/>
      <c r="C441"/>
      <c r="D441" s="75"/>
      <c r="E441" s="46"/>
      <c r="F441" s="46"/>
      <c r="G441"/>
      <c r="H441"/>
      <c r="I441"/>
      <c r="J441"/>
      <c r="K441"/>
      <c r="V441"/>
      <c r="X441" s="75"/>
      <c r="Y441"/>
      <c r="AA441" s="75"/>
      <c r="AC441" s="26"/>
      <c r="AE441"/>
      <c r="AG441" s="75"/>
    </row>
    <row r="442" spans="1:35">
      <c r="A442"/>
      <c r="B442"/>
      <c r="C442"/>
      <c r="D442" s="75"/>
      <c r="E442" s="46"/>
      <c r="F442" s="46"/>
      <c r="G442"/>
      <c r="H442"/>
      <c r="I442"/>
      <c r="J442"/>
      <c r="K442"/>
      <c r="V442"/>
      <c r="X442" s="75"/>
      <c r="Y442"/>
      <c r="AA442" s="75"/>
      <c r="AC442" s="26"/>
      <c r="AE442"/>
      <c r="AG442" s="75"/>
    </row>
    <row r="443" spans="1:35">
      <c r="A443"/>
      <c r="B443"/>
      <c r="C443"/>
      <c r="D443" s="75"/>
      <c r="E443" s="46"/>
      <c r="F443" s="46"/>
      <c r="G443"/>
      <c r="H443"/>
      <c r="I443"/>
      <c r="J443"/>
      <c r="K443"/>
      <c r="V443"/>
      <c r="X443" s="75"/>
      <c r="Y443"/>
      <c r="AA443" s="75"/>
      <c r="AC443" s="26"/>
      <c r="AE443"/>
      <c r="AG443" s="75"/>
    </row>
    <row r="444" spans="1:35">
      <c r="A444"/>
      <c r="B444"/>
      <c r="C444"/>
      <c r="D444" s="75"/>
      <c r="E444" s="46"/>
      <c r="F444" s="46"/>
      <c r="G444"/>
      <c r="H444"/>
      <c r="I444"/>
      <c r="J444"/>
      <c r="K444"/>
      <c r="V444"/>
      <c r="X444" s="75"/>
      <c r="Y444"/>
      <c r="AA444" s="75"/>
      <c r="AC444" s="26"/>
      <c r="AE444"/>
      <c r="AG444" s="75"/>
    </row>
    <row r="445" spans="1:35">
      <c r="A445"/>
      <c r="B445"/>
      <c r="C445"/>
      <c r="D445" s="75"/>
      <c r="E445" s="46"/>
      <c r="F445" s="46"/>
      <c r="G445"/>
      <c r="H445"/>
      <c r="I445"/>
      <c r="J445"/>
      <c r="K445"/>
      <c r="V445"/>
      <c r="X445" s="75"/>
      <c r="Y445"/>
      <c r="AA445" s="75"/>
      <c r="AC445" s="26"/>
      <c r="AE445"/>
      <c r="AG445" s="75"/>
    </row>
    <row r="446" spans="1:35">
      <c r="A446"/>
      <c r="B446"/>
      <c r="C446"/>
      <c r="D446" s="75"/>
      <c r="E446" s="46"/>
      <c r="F446" s="46"/>
      <c r="G446"/>
      <c r="H446"/>
      <c r="I446"/>
      <c r="J446"/>
      <c r="K446"/>
      <c r="V446"/>
      <c r="X446" s="75"/>
      <c r="Y446"/>
      <c r="AA446" s="75"/>
      <c r="AC446" s="26"/>
      <c r="AE446"/>
      <c r="AG446" s="75"/>
    </row>
    <row r="447" spans="1:35">
      <c r="A447"/>
      <c r="B447"/>
      <c r="C447"/>
      <c r="D447" s="75"/>
      <c r="E447" s="46"/>
      <c r="F447" s="46"/>
      <c r="G447"/>
      <c r="H447"/>
      <c r="I447"/>
      <c r="J447"/>
      <c r="K447"/>
      <c r="V447"/>
      <c r="X447" s="75"/>
      <c r="Y447"/>
      <c r="AA447" s="75"/>
      <c r="AC447" s="26"/>
      <c r="AE447"/>
      <c r="AG447" s="75"/>
    </row>
    <row r="448" spans="1:35">
      <c r="A448"/>
      <c r="B448"/>
      <c r="C448"/>
      <c r="D448" s="75"/>
      <c r="E448" s="46"/>
      <c r="F448" s="46"/>
      <c r="G448"/>
      <c r="H448"/>
      <c r="I448"/>
      <c r="J448"/>
      <c r="K448"/>
      <c r="V448"/>
      <c r="X448" s="75"/>
      <c r="Y448"/>
      <c r="AA448" s="75"/>
      <c r="AC448" s="26"/>
      <c r="AE448"/>
      <c r="AG448" s="75"/>
    </row>
    <row r="449" spans="1:33">
      <c r="A449"/>
      <c r="B449"/>
      <c r="C449"/>
      <c r="D449" s="75"/>
      <c r="E449" s="46"/>
      <c r="F449" s="46"/>
      <c r="G449"/>
      <c r="H449"/>
      <c r="I449"/>
      <c r="J449"/>
      <c r="K449"/>
      <c r="V449"/>
      <c r="X449" s="75"/>
      <c r="Y449"/>
      <c r="AA449" s="75"/>
      <c r="AC449" s="26"/>
      <c r="AE449"/>
      <c r="AG449" s="75"/>
    </row>
    <row r="450" spans="1:33">
      <c r="A450"/>
      <c r="B450"/>
      <c r="C450"/>
      <c r="D450" s="75"/>
      <c r="E450" s="46"/>
      <c r="F450" s="46"/>
      <c r="G450"/>
      <c r="H450"/>
      <c r="I450"/>
      <c r="J450"/>
      <c r="K450"/>
      <c r="V450"/>
      <c r="X450" s="75"/>
      <c r="Y450"/>
      <c r="AA450" s="75"/>
      <c r="AC450" s="26"/>
      <c r="AE450"/>
      <c r="AG450" s="75"/>
    </row>
    <row r="451" spans="1:33">
      <c r="A451"/>
      <c r="B451"/>
      <c r="C451"/>
      <c r="D451" s="75"/>
      <c r="E451" s="46"/>
      <c r="F451" s="46"/>
      <c r="G451"/>
      <c r="H451"/>
      <c r="I451"/>
      <c r="J451"/>
      <c r="K451"/>
      <c r="V451"/>
      <c r="X451" s="75"/>
      <c r="Y451"/>
      <c r="AA451" s="75"/>
      <c r="AC451" s="26"/>
      <c r="AE451"/>
      <c r="AG451" s="75"/>
    </row>
    <row r="452" spans="1:33">
      <c r="A452"/>
      <c r="B452"/>
      <c r="C452"/>
      <c r="D452" s="75"/>
      <c r="E452" s="46"/>
      <c r="F452" s="46"/>
      <c r="G452"/>
      <c r="H452"/>
      <c r="I452"/>
      <c r="J452"/>
      <c r="K452"/>
      <c r="V452"/>
      <c r="X452" s="75"/>
      <c r="Y452"/>
      <c r="AA452" s="75"/>
      <c r="AC452" s="26"/>
      <c r="AE452"/>
      <c r="AG452" s="75"/>
    </row>
    <row r="453" spans="1:33">
      <c r="A453"/>
      <c r="B453"/>
      <c r="C453"/>
      <c r="D453" s="75"/>
      <c r="E453" s="46"/>
      <c r="F453" s="46"/>
      <c r="G453"/>
      <c r="H453"/>
      <c r="I453"/>
      <c r="J453"/>
      <c r="K453"/>
      <c r="V453"/>
      <c r="X453" s="75"/>
      <c r="Y453"/>
      <c r="AA453" s="75"/>
      <c r="AC453" s="26"/>
      <c r="AE453"/>
      <c r="AG453" s="75"/>
    </row>
    <row r="454" spans="1:33">
      <c r="A454"/>
      <c r="B454"/>
      <c r="C454"/>
      <c r="D454" s="75"/>
      <c r="E454" s="46"/>
      <c r="F454" s="46"/>
      <c r="G454"/>
      <c r="H454"/>
      <c r="I454"/>
      <c r="J454"/>
      <c r="K454"/>
      <c r="V454"/>
      <c r="X454" s="75"/>
      <c r="Y454"/>
      <c r="AA454" s="75"/>
      <c r="AC454" s="26"/>
      <c r="AE454"/>
      <c r="AG454" s="75"/>
    </row>
    <row r="455" spans="1:33">
      <c r="A455"/>
      <c r="B455"/>
      <c r="C455"/>
      <c r="D455" s="75"/>
      <c r="E455" s="46"/>
      <c r="F455" s="46"/>
      <c r="G455"/>
      <c r="H455"/>
      <c r="I455"/>
      <c r="J455"/>
      <c r="K455"/>
      <c r="V455"/>
      <c r="X455" s="75"/>
      <c r="Y455"/>
      <c r="AA455" s="75"/>
      <c r="AC455" s="26"/>
      <c r="AE455"/>
      <c r="AG455" s="75"/>
    </row>
    <row r="456" spans="1:33">
      <c r="A456"/>
      <c r="B456"/>
      <c r="C456"/>
      <c r="D456" s="75"/>
      <c r="E456" s="46"/>
      <c r="F456" s="46"/>
      <c r="G456"/>
      <c r="H456"/>
      <c r="I456"/>
      <c r="J456"/>
      <c r="K456"/>
      <c r="V456"/>
      <c r="X456" s="75"/>
      <c r="Y456"/>
      <c r="AA456" s="75"/>
      <c r="AC456" s="26"/>
      <c r="AE456"/>
      <c r="AG456" s="75"/>
    </row>
    <row r="457" spans="1:33">
      <c r="A457"/>
      <c r="B457"/>
      <c r="C457"/>
      <c r="D457" s="75"/>
      <c r="E457" s="46"/>
      <c r="F457" s="46"/>
      <c r="G457"/>
      <c r="H457"/>
      <c r="I457"/>
      <c r="J457"/>
      <c r="K457"/>
      <c r="V457"/>
      <c r="X457" s="75"/>
      <c r="Y457"/>
      <c r="AA457" s="75"/>
      <c r="AC457" s="26"/>
      <c r="AE457"/>
      <c r="AG457" s="75"/>
    </row>
    <row r="458" spans="1:33">
      <c r="A458"/>
      <c r="B458"/>
      <c r="C458"/>
      <c r="D458" s="75"/>
      <c r="E458" s="46"/>
      <c r="F458" s="46"/>
      <c r="G458"/>
      <c r="H458"/>
      <c r="I458"/>
      <c r="J458"/>
      <c r="K458"/>
      <c r="V458"/>
      <c r="X458" s="75"/>
      <c r="Y458"/>
      <c r="AA458" s="75"/>
      <c r="AC458" s="26"/>
      <c r="AE458"/>
      <c r="AG458" s="75"/>
    </row>
    <row r="459" spans="1:33">
      <c r="A459"/>
      <c r="B459"/>
      <c r="C459"/>
      <c r="D459" s="75"/>
      <c r="E459" s="46"/>
      <c r="F459" s="46"/>
      <c r="G459"/>
      <c r="H459"/>
      <c r="I459"/>
      <c r="J459"/>
      <c r="K459"/>
      <c r="V459"/>
      <c r="X459" s="75"/>
      <c r="Y459"/>
      <c r="AA459" s="75"/>
      <c r="AC459" s="26"/>
      <c r="AE459"/>
      <c r="AG459" s="75"/>
    </row>
    <row r="460" spans="1:33">
      <c r="A460"/>
      <c r="B460"/>
      <c r="C460"/>
      <c r="D460" s="75"/>
      <c r="E460" s="46"/>
      <c r="F460" s="46"/>
      <c r="G460"/>
      <c r="H460"/>
      <c r="I460"/>
      <c r="J460"/>
      <c r="K460"/>
      <c r="V460"/>
      <c r="X460" s="75"/>
      <c r="Y460"/>
      <c r="AA460" s="75"/>
      <c r="AC460" s="26"/>
      <c r="AE460"/>
      <c r="AG460" s="75"/>
    </row>
    <row r="461" spans="1:33">
      <c r="A461"/>
      <c r="B461"/>
      <c r="C461"/>
      <c r="D461" s="75"/>
      <c r="E461" s="46"/>
      <c r="F461" s="46"/>
      <c r="G461"/>
      <c r="H461"/>
      <c r="I461"/>
      <c r="J461"/>
      <c r="K461"/>
      <c r="V461"/>
      <c r="X461" s="75"/>
      <c r="Y461"/>
      <c r="AA461" s="75"/>
      <c r="AC461" s="26"/>
      <c r="AE461"/>
      <c r="AG461" s="75"/>
    </row>
    <row r="462" spans="1:33">
      <c r="A462"/>
      <c r="B462"/>
      <c r="C462"/>
      <c r="D462" s="75"/>
      <c r="E462" s="46"/>
      <c r="F462" s="46"/>
      <c r="G462"/>
      <c r="H462"/>
      <c r="I462"/>
      <c r="J462"/>
      <c r="K462"/>
      <c r="V462"/>
      <c r="X462" s="75"/>
      <c r="Y462"/>
      <c r="AA462" s="75"/>
      <c r="AC462" s="26"/>
      <c r="AE462"/>
      <c r="AG462" s="75"/>
    </row>
    <row r="463" spans="1:33">
      <c r="A463"/>
      <c r="B463"/>
      <c r="C463"/>
      <c r="D463" s="75"/>
      <c r="E463" s="46"/>
      <c r="F463" s="46"/>
      <c r="G463"/>
      <c r="H463"/>
      <c r="I463"/>
      <c r="J463"/>
      <c r="K463"/>
      <c r="V463"/>
      <c r="X463" s="75"/>
      <c r="Y463"/>
      <c r="AA463" s="75"/>
      <c r="AC463" s="26"/>
      <c r="AE463"/>
      <c r="AG463" s="75"/>
    </row>
    <row r="464" spans="1:33">
      <c r="A464"/>
      <c r="B464"/>
      <c r="C464"/>
      <c r="D464" s="75"/>
      <c r="E464" s="46"/>
      <c r="F464" s="46"/>
      <c r="G464"/>
      <c r="H464"/>
      <c r="I464"/>
      <c r="J464"/>
      <c r="K464"/>
      <c r="V464"/>
      <c r="X464" s="75"/>
      <c r="Y464"/>
      <c r="AA464" s="75"/>
      <c r="AC464" s="26"/>
      <c r="AE464"/>
      <c r="AG464" s="75"/>
    </row>
    <row r="465" spans="1:33">
      <c r="A465"/>
      <c r="B465"/>
      <c r="C465"/>
      <c r="D465" s="75"/>
      <c r="E465" s="46"/>
      <c r="F465" s="46"/>
      <c r="G465"/>
      <c r="H465"/>
      <c r="I465"/>
      <c r="J465"/>
      <c r="K465"/>
      <c r="V465"/>
      <c r="X465" s="75"/>
      <c r="Y465"/>
      <c r="AA465" s="75"/>
      <c r="AC465" s="26"/>
      <c r="AE465"/>
      <c r="AG465" s="75"/>
    </row>
    <row r="466" spans="1:33">
      <c r="A466"/>
      <c r="B466"/>
      <c r="C466"/>
      <c r="D466" s="75"/>
      <c r="E466" s="46"/>
      <c r="F466" s="46"/>
      <c r="G466"/>
      <c r="H466"/>
      <c r="I466"/>
      <c r="J466"/>
      <c r="K466"/>
      <c r="V466"/>
      <c r="X466" s="75"/>
      <c r="Y466"/>
      <c r="AA466" s="75"/>
      <c r="AC466" s="26"/>
      <c r="AE466"/>
      <c r="AG466" s="75"/>
    </row>
    <row r="467" spans="1:33">
      <c r="A467"/>
      <c r="B467"/>
      <c r="C467"/>
      <c r="D467" s="75"/>
      <c r="E467" s="46"/>
      <c r="F467" s="46"/>
      <c r="G467"/>
      <c r="H467"/>
      <c r="I467"/>
      <c r="J467"/>
      <c r="K467"/>
      <c r="V467"/>
      <c r="X467" s="75"/>
      <c r="Y467"/>
      <c r="AA467" s="75"/>
      <c r="AC467" s="26"/>
      <c r="AE467"/>
      <c r="AG467" s="75"/>
    </row>
    <row r="468" spans="1:33">
      <c r="A468"/>
      <c r="B468"/>
      <c r="C468"/>
      <c r="D468" s="75"/>
      <c r="E468" s="46"/>
      <c r="F468" s="46"/>
      <c r="G468"/>
      <c r="H468"/>
      <c r="I468"/>
      <c r="J468"/>
      <c r="K468"/>
      <c r="V468"/>
      <c r="X468" s="75"/>
      <c r="Y468"/>
      <c r="AA468" s="75"/>
      <c r="AC468" s="26"/>
      <c r="AE468"/>
      <c r="AG468" s="75"/>
    </row>
    <row r="469" spans="1:33">
      <c r="A469"/>
      <c r="B469"/>
      <c r="C469"/>
      <c r="D469" s="75"/>
      <c r="E469" s="46"/>
      <c r="F469" s="46"/>
      <c r="G469"/>
      <c r="H469"/>
      <c r="I469"/>
      <c r="J469"/>
      <c r="K469"/>
      <c r="V469"/>
      <c r="X469" s="75"/>
      <c r="Y469"/>
      <c r="AA469" s="75"/>
      <c r="AC469" s="26"/>
      <c r="AE469"/>
      <c r="AG469" s="75"/>
    </row>
    <row r="470" spans="1:33">
      <c r="A470"/>
      <c r="B470"/>
      <c r="C470"/>
      <c r="D470" s="75"/>
      <c r="E470" s="46"/>
      <c r="F470" s="46"/>
      <c r="G470"/>
      <c r="H470"/>
      <c r="I470"/>
      <c r="J470"/>
      <c r="K470"/>
      <c r="V470"/>
      <c r="X470" s="75"/>
      <c r="Y470"/>
      <c r="AA470" s="75"/>
      <c r="AC470" s="26"/>
      <c r="AE470"/>
      <c r="AG470" s="75"/>
    </row>
    <row r="471" spans="1:33">
      <c r="A471"/>
      <c r="B471"/>
      <c r="C471"/>
      <c r="D471" s="75"/>
      <c r="E471" s="46"/>
      <c r="F471" s="46"/>
      <c r="G471"/>
      <c r="H471"/>
      <c r="I471"/>
      <c r="J471"/>
      <c r="K471"/>
      <c r="V471"/>
      <c r="X471" s="75"/>
      <c r="Y471"/>
      <c r="AA471" s="75"/>
      <c r="AC471" s="26"/>
      <c r="AE471"/>
      <c r="AG471" s="75"/>
    </row>
    <row r="472" spans="1:33">
      <c r="A472"/>
      <c r="B472"/>
      <c r="C472"/>
      <c r="D472" s="75"/>
      <c r="E472" s="46"/>
      <c r="F472" s="46"/>
      <c r="G472"/>
      <c r="H472"/>
      <c r="I472"/>
      <c r="J472"/>
      <c r="K472"/>
      <c r="V472"/>
      <c r="X472" s="75"/>
      <c r="Y472"/>
      <c r="AA472" s="75"/>
      <c r="AC472" s="26"/>
      <c r="AE472"/>
      <c r="AG472" s="75"/>
    </row>
    <row r="473" spans="1:33">
      <c r="A473"/>
      <c r="B473"/>
      <c r="C473"/>
      <c r="D473" s="75"/>
      <c r="E473" s="46"/>
      <c r="F473" s="46"/>
      <c r="G473"/>
      <c r="H473"/>
      <c r="I473"/>
      <c r="J473"/>
      <c r="K473"/>
      <c r="V473"/>
      <c r="X473" s="75"/>
      <c r="Y473"/>
      <c r="AA473" s="75"/>
      <c r="AC473" s="26"/>
      <c r="AE473"/>
      <c r="AG473" s="75"/>
    </row>
    <row r="474" spans="1:33">
      <c r="A474"/>
      <c r="B474"/>
      <c r="C474"/>
      <c r="D474" s="75"/>
      <c r="E474" s="46"/>
      <c r="F474" s="46"/>
      <c r="G474"/>
      <c r="H474"/>
      <c r="I474"/>
      <c r="J474"/>
      <c r="K474"/>
      <c r="V474"/>
      <c r="X474" s="75"/>
      <c r="Y474"/>
      <c r="AA474" s="75"/>
      <c r="AC474" s="26"/>
      <c r="AE474"/>
      <c r="AG474" s="75"/>
    </row>
    <row r="475" spans="1:33">
      <c r="A475"/>
      <c r="B475"/>
      <c r="C475"/>
      <c r="D475" s="75"/>
      <c r="E475" s="46"/>
      <c r="F475" s="46"/>
      <c r="G475"/>
      <c r="H475"/>
      <c r="I475"/>
      <c r="J475"/>
      <c r="K475"/>
      <c r="V475"/>
      <c r="X475" s="75"/>
      <c r="Y475"/>
      <c r="AA475" s="75"/>
      <c r="AC475" s="26"/>
      <c r="AE475"/>
      <c r="AG475" s="75"/>
    </row>
    <row r="476" spans="1:33">
      <c r="A476"/>
      <c r="B476"/>
      <c r="C476"/>
      <c r="D476" s="75"/>
      <c r="E476" s="46"/>
      <c r="F476" s="46"/>
      <c r="G476"/>
      <c r="H476"/>
      <c r="I476"/>
      <c r="J476"/>
      <c r="K476"/>
      <c r="V476"/>
      <c r="X476" s="75"/>
      <c r="Y476"/>
      <c r="AA476" s="75"/>
      <c r="AC476" s="26"/>
      <c r="AE476"/>
      <c r="AG476" s="75"/>
    </row>
    <row r="477" spans="1:33">
      <c r="A477"/>
      <c r="B477"/>
      <c r="C477"/>
      <c r="D477" s="75"/>
      <c r="E477" s="46"/>
      <c r="F477" s="46"/>
      <c r="G477"/>
      <c r="H477"/>
      <c r="I477"/>
      <c r="J477"/>
      <c r="K477"/>
      <c r="V477"/>
      <c r="X477" s="75"/>
      <c r="Y477"/>
      <c r="AA477" s="75"/>
      <c r="AC477" s="26"/>
      <c r="AE477"/>
      <c r="AG477" s="75"/>
    </row>
    <row r="478" spans="1:33">
      <c r="A478"/>
      <c r="B478"/>
      <c r="C478"/>
      <c r="D478" s="75"/>
      <c r="E478" s="46"/>
      <c r="F478" s="46"/>
      <c r="G478"/>
      <c r="H478"/>
      <c r="I478"/>
      <c r="J478"/>
      <c r="K478"/>
      <c r="V478"/>
      <c r="X478" s="75"/>
      <c r="Y478"/>
      <c r="AA478" s="75"/>
      <c r="AC478" s="26"/>
      <c r="AE478"/>
      <c r="AG478" s="75"/>
    </row>
    <row r="479" spans="1:33">
      <c r="A479"/>
      <c r="B479"/>
      <c r="C479"/>
      <c r="D479" s="75"/>
      <c r="E479" s="46"/>
      <c r="F479" s="46"/>
      <c r="G479"/>
      <c r="H479"/>
      <c r="I479"/>
      <c r="J479"/>
      <c r="K479"/>
      <c r="V479"/>
      <c r="X479" s="75"/>
      <c r="Y479"/>
      <c r="AA479" s="75"/>
      <c r="AC479" s="26"/>
      <c r="AE479"/>
      <c r="AG479" s="75"/>
    </row>
    <row r="480" spans="1:33">
      <c r="A480"/>
      <c r="B480"/>
      <c r="C480"/>
      <c r="D480" s="75"/>
      <c r="E480" s="46"/>
      <c r="F480" s="46"/>
      <c r="G480"/>
      <c r="H480"/>
      <c r="I480"/>
      <c r="J480"/>
      <c r="K480"/>
      <c r="V480"/>
      <c r="X480" s="75"/>
      <c r="Y480"/>
      <c r="AA480" s="75"/>
      <c r="AC480" s="26"/>
      <c r="AE480"/>
      <c r="AG480" s="75"/>
    </row>
    <row r="481" spans="1:33">
      <c r="A481"/>
      <c r="B481"/>
      <c r="C481"/>
      <c r="D481" s="75"/>
      <c r="E481" s="46"/>
      <c r="F481" s="46"/>
      <c r="G481"/>
      <c r="H481"/>
      <c r="I481"/>
      <c r="J481"/>
      <c r="K481"/>
      <c r="V481"/>
      <c r="X481" s="75"/>
      <c r="Y481"/>
      <c r="AA481" s="75"/>
      <c r="AC481" s="26"/>
      <c r="AE481"/>
      <c r="AG481" s="75"/>
    </row>
    <row r="482" spans="1:33">
      <c r="A482"/>
      <c r="B482"/>
      <c r="C482"/>
      <c r="D482" s="75"/>
      <c r="E482" s="46"/>
      <c r="F482" s="46"/>
      <c r="G482"/>
      <c r="H482"/>
      <c r="I482"/>
      <c r="J482"/>
      <c r="K482"/>
      <c r="V482"/>
      <c r="X482" s="75"/>
      <c r="Y482"/>
      <c r="AA482" s="75"/>
      <c r="AC482" s="26"/>
      <c r="AE482"/>
      <c r="AG482" s="75"/>
    </row>
    <row r="483" spans="1:33">
      <c r="A483"/>
      <c r="B483"/>
      <c r="C483"/>
      <c r="D483" s="75"/>
      <c r="E483" s="46"/>
      <c r="F483" s="46"/>
      <c r="G483"/>
      <c r="H483"/>
      <c r="I483"/>
      <c r="J483"/>
      <c r="K483"/>
      <c r="V483"/>
      <c r="X483" s="75"/>
      <c r="Y483"/>
      <c r="AA483" s="75"/>
      <c r="AC483" s="26"/>
      <c r="AE483"/>
      <c r="AG483" s="75"/>
    </row>
    <row r="484" spans="1:33">
      <c r="A484"/>
      <c r="B484"/>
      <c r="C484"/>
      <c r="D484" s="75"/>
      <c r="E484" s="46"/>
      <c r="F484" s="46"/>
      <c r="G484"/>
      <c r="H484"/>
      <c r="I484"/>
      <c r="J484"/>
      <c r="K484"/>
      <c r="V484"/>
      <c r="X484" s="75"/>
      <c r="Y484"/>
      <c r="AA484" s="75"/>
      <c r="AC484" s="26"/>
      <c r="AE484"/>
      <c r="AG484" s="75"/>
    </row>
    <row r="485" spans="1:33">
      <c r="A485"/>
      <c r="B485"/>
      <c r="C485"/>
      <c r="D485" s="75"/>
      <c r="E485" s="46"/>
      <c r="F485" s="46"/>
      <c r="G485"/>
      <c r="H485"/>
      <c r="I485"/>
      <c r="J485"/>
      <c r="K485"/>
      <c r="V485"/>
      <c r="X485" s="75"/>
      <c r="Y485"/>
      <c r="AA485" s="75"/>
      <c r="AC485" s="26"/>
      <c r="AE485"/>
      <c r="AG485" s="75"/>
    </row>
    <row r="486" spans="1:33">
      <c r="A486"/>
      <c r="B486"/>
      <c r="C486"/>
      <c r="D486" s="75"/>
      <c r="E486" s="46"/>
      <c r="F486" s="46"/>
      <c r="G486"/>
      <c r="H486"/>
      <c r="I486"/>
      <c r="J486"/>
      <c r="K486"/>
      <c r="V486"/>
      <c r="X486" s="75"/>
      <c r="Y486"/>
      <c r="AA486" s="75"/>
      <c r="AC486" s="26"/>
      <c r="AE486"/>
      <c r="AG486" s="75"/>
    </row>
    <row r="487" spans="1:33">
      <c r="A487"/>
      <c r="B487"/>
      <c r="C487"/>
      <c r="D487" s="75"/>
      <c r="E487" s="46"/>
      <c r="F487" s="46"/>
      <c r="G487"/>
      <c r="H487"/>
      <c r="I487"/>
      <c r="J487"/>
      <c r="K487"/>
      <c r="V487"/>
      <c r="X487" s="75"/>
      <c r="Y487"/>
      <c r="AA487" s="75"/>
      <c r="AC487" s="26"/>
      <c r="AE487"/>
      <c r="AG487" s="75"/>
    </row>
    <row r="488" spans="1:33">
      <c r="A488"/>
      <c r="B488"/>
      <c r="C488"/>
      <c r="D488" s="75"/>
      <c r="E488" s="46"/>
      <c r="F488" s="46"/>
      <c r="G488"/>
      <c r="H488"/>
      <c r="I488"/>
      <c r="J488"/>
      <c r="K488"/>
      <c r="V488"/>
      <c r="X488" s="75"/>
      <c r="Y488"/>
      <c r="AA488" s="75"/>
      <c r="AC488" s="26"/>
      <c r="AE488"/>
      <c r="AG488" s="75"/>
    </row>
    <row r="489" spans="1:33">
      <c r="A489"/>
      <c r="B489"/>
      <c r="C489"/>
      <c r="D489" s="75"/>
      <c r="E489" s="46"/>
      <c r="F489" s="46"/>
      <c r="G489"/>
      <c r="H489"/>
      <c r="I489"/>
      <c r="J489"/>
      <c r="K489"/>
      <c r="V489"/>
      <c r="X489" s="75"/>
      <c r="Y489"/>
      <c r="AA489" s="75"/>
      <c r="AC489" s="26"/>
      <c r="AE489"/>
      <c r="AG489" s="75"/>
    </row>
    <row r="490" spans="1:33">
      <c r="A490"/>
      <c r="B490"/>
      <c r="C490"/>
      <c r="D490" s="75"/>
      <c r="E490" s="46"/>
      <c r="F490" s="46"/>
      <c r="G490"/>
      <c r="H490"/>
      <c r="I490"/>
      <c r="J490"/>
      <c r="K490"/>
      <c r="V490"/>
      <c r="X490" s="75"/>
      <c r="Y490"/>
      <c r="AA490" s="75"/>
      <c r="AC490" s="26"/>
      <c r="AE490"/>
      <c r="AG490" s="75"/>
    </row>
    <row r="491" spans="1:33">
      <c r="A491"/>
      <c r="B491"/>
      <c r="C491"/>
      <c r="D491" s="75"/>
      <c r="E491" s="46"/>
      <c r="F491" s="46"/>
      <c r="G491"/>
      <c r="H491"/>
      <c r="I491"/>
      <c r="J491"/>
      <c r="K491"/>
      <c r="V491"/>
      <c r="X491" s="75"/>
      <c r="Y491"/>
      <c r="AA491" s="75"/>
      <c r="AC491" s="26"/>
      <c r="AE491"/>
      <c r="AG491" s="75"/>
    </row>
    <row r="492" spans="1:33">
      <c r="A492"/>
      <c r="B492"/>
      <c r="C492"/>
      <c r="D492" s="75"/>
      <c r="E492" s="46"/>
      <c r="F492" s="46"/>
      <c r="G492"/>
      <c r="H492"/>
      <c r="I492"/>
      <c r="J492"/>
      <c r="K492"/>
      <c r="V492"/>
      <c r="X492" s="75"/>
      <c r="Y492"/>
      <c r="AA492" s="75"/>
      <c r="AC492" s="26"/>
      <c r="AE492"/>
      <c r="AG492" s="75"/>
    </row>
    <row r="493" spans="1:33">
      <c r="A493"/>
      <c r="B493"/>
      <c r="C493"/>
      <c r="D493" s="75"/>
      <c r="E493" s="46"/>
      <c r="F493" s="46"/>
      <c r="G493"/>
      <c r="H493"/>
      <c r="I493"/>
      <c r="J493"/>
      <c r="K493"/>
      <c r="V493"/>
      <c r="X493" s="75"/>
      <c r="Y493"/>
      <c r="AA493" s="75"/>
      <c r="AC493" s="26"/>
      <c r="AE493"/>
      <c r="AG493" s="75"/>
    </row>
    <row r="494" spans="1:33">
      <c r="A494"/>
      <c r="B494"/>
      <c r="C494"/>
      <c r="D494" s="75"/>
      <c r="E494" s="46"/>
      <c r="F494" s="46"/>
      <c r="G494"/>
      <c r="H494"/>
      <c r="I494"/>
      <c r="J494"/>
      <c r="K494"/>
      <c r="V494"/>
      <c r="X494" s="75"/>
      <c r="Y494"/>
      <c r="AA494" s="75"/>
      <c r="AC494" s="26"/>
      <c r="AE494"/>
      <c r="AG494" s="75"/>
    </row>
    <row r="495" spans="1:33">
      <c r="A495"/>
      <c r="B495"/>
      <c r="C495"/>
      <c r="D495" s="75"/>
      <c r="E495" s="46"/>
      <c r="F495" s="46"/>
      <c r="G495"/>
      <c r="H495"/>
      <c r="I495"/>
      <c r="J495"/>
      <c r="K495"/>
      <c r="V495"/>
      <c r="X495" s="75"/>
      <c r="Y495"/>
      <c r="AA495" s="75"/>
      <c r="AC495" s="26"/>
      <c r="AE495"/>
      <c r="AG495" s="75"/>
    </row>
    <row r="496" spans="1:33">
      <c r="A496"/>
      <c r="B496"/>
      <c r="C496"/>
      <c r="D496" s="75"/>
      <c r="E496" s="46"/>
      <c r="F496" s="46"/>
      <c r="G496"/>
      <c r="H496"/>
      <c r="I496"/>
      <c r="J496"/>
      <c r="K496"/>
      <c r="V496"/>
      <c r="X496" s="75"/>
      <c r="Y496"/>
      <c r="AA496" s="75"/>
      <c r="AC496" s="26"/>
      <c r="AE496"/>
      <c r="AG496" s="75"/>
    </row>
    <row r="497" spans="1:33">
      <c r="A497"/>
      <c r="B497"/>
      <c r="C497"/>
      <c r="D497" s="75"/>
      <c r="E497" s="46"/>
      <c r="F497" s="46"/>
      <c r="G497"/>
      <c r="H497"/>
      <c r="I497"/>
      <c r="J497"/>
      <c r="K497"/>
      <c r="V497"/>
      <c r="X497" s="75"/>
      <c r="Y497"/>
      <c r="AA497" s="75"/>
      <c r="AC497" s="26"/>
      <c r="AE497"/>
      <c r="AG497" s="75"/>
    </row>
    <row r="498" spans="1:33">
      <c r="A498"/>
      <c r="B498"/>
      <c r="C498"/>
      <c r="D498" s="75"/>
      <c r="E498" s="46"/>
      <c r="F498" s="46"/>
      <c r="G498"/>
      <c r="H498"/>
      <c r="I498"/>
      <c r="J498"/>
      <c r="K498"/>
      <c r="V498"/>
      <c r="X498" s="75"/>
      <c r="Y498"/>
      <c r="AA498" s="75"/>
      <c r="AC498" s="26"/>
      <c r="AE498"/>
      <c r="AG498" s="75"/>
    </row>
    <row r="499" spans="1:33">
      <c r="A499"/>
      <c r="B499"/>
      <c r="C499"/>
      <c r="D499" s="75"/>
      <c r="E499" s="46"/>
      <c r="F499" s="46"/>
      <c r="G499"/>
      <c r="H499"/>
      <c r="I499"/>
      <c r="J499"/>
      <c r="K499"/>
      <c r="V499"/>
      <c r="X499" s="75"/>
      <c r="Y499"/>
      <c r="AA499" s="75"/>
      <c r="AC499" s="26"/>
      <c r="AE499"/>
      <c r="AG499" s="75"/>
    </row>
    <row r="500" spans="1:33">
      <c r="A500"/>
      <c r="B500"/>
      <c r="C500"/>
      <c r="D500" s="75"/>
      <c r="E500" s="46"/>
      <c r="F500" s="46"/>
      <c r="G500"/>
      <c r="H500"/>
      <c r="I500"/>
      <c r="J500"/>
      <c r="K500"/>
      <c r="V500"/>
      <c r="X500" s="75"/>
      <c r="Y500"/>
      <c r="AA500" s="75"/>
      <c r="AC500" s="26"/>
      <c r="AE500"/>
      <c r="AG500" s="75"/>
    </row>
    <row r="501" spans="1:33">
      <c r="A501"/>
      <c r="B501"/>
      <c r="C501"/>
      <c r="D501" s="75"/>
      <c r="E501" s="46"/>
      <c r="F501" s="46"/>
      <c r="G501"/>
      <c r="H501"/>
      <c r="I501"/>
      <c r="J501"/>
      <c r="K501"/>
      <c r="V501"/>
      <c r="X501" s="75"/>
      <c r="Y501"/>
      <c r="AA501" s="75"/>
      <c r="AC501" s="26"/>
      <c r="AE501"/>
      <c r="AG501" s="75"/>
    </row>
    <row r="502" spans="1:33">
      <c r="A502"/>
      <c r="B502"/>
      <c r="C502"/>
      <c r="D502" s="75"/>
      <c r="E502" s="46"/>
      <c r="F502" s="46"/>
      <c r="G502"/>
      <c r="H502"/>
      <c r="I502"/>
      <c r="J502"/>
      <c r="K502"/>
      <c r="V502"/>
      <c r="X502" s="75"/>
      <c r="Y502"/>
      <c r="AA502" s="75"/>
      <c r="AC502" s="26"/>
      <c r="AE502"/>
      <c r="AG502" s="75"/>
    </row>
    <row r="503" spans="1:33">
      <c r="A503"/>
      <c r="B503"/>
      <c r="C503"/>
      <c r="D503" s="75"/>
      <c r="E503" s="46"/>
      <c r="F503" s="46"/>
      <c r="G503"/>
      <c r="H503"/>
      <c r="I503"/>
      <c r="J503"/>
      <c r="K503"/>
      <c r="V503"/>
      <c r="X503" s="75"/>
      <c r="Y503"/>
      <c r="AA503" s="75"/>
      <c r="AC503" s="26"/>
      <c r="AE503"/>
      <c r="AG503" s="75"/>
    </row>
    <row r="504" spans="1:33">
      <c r="A504"/>
      <c r="B504"/>
      <c r="C504"/>
      <c r="D504" s="75"/>
      <c r="E504" s="46"/>
      <c r="F504" s="46"/>
      <c r="G504"/>
      <c r="H504"/>
      <c r="I504"/>
      <c r="J504"/>
      <c r="K504"/>
      <c r="V504"/>
      <c r="X504" s="75"/>
      <c r="Y504"/>
      <c r="AA504" s="75"/>
      <c r="AC504" s="26"/>
      <c r="AE504"/>
      <c r="AG504" s="75"/>
    </row>
    <row r="505" spans="1:33">
      <c r="A505"/>
      <c r="B505"/>
      <c r="C505"/>
      <c r="D505" s="75"/>
      <c r="E505" s="46"/>
      <c r="F505" s="46"/>
      <c r="G505"/>
      <c r="H505"/>
      <c r="I505"/>
      <c r="J505"/>
      <c r="K505"/>
      <c r="V505"/>
      <c r="X505" s="75"/>
      <c r="Y505"/>
      <c r="AA505" s="75"/>
      <c r="AC505" s="26"/>
      <c r="AE505"/>
      <c r="AG505" s="75"/>
    </row>
    <row r="506" spans="1:33">
      <c r="A506"/>
      <c r="B506"/>
      <c r="C506"/>
      <c r="D506" s="75"/>
      <c r="E506" s="46"/>
      <c r="F506" s="46"/>
      <c r="G506"/>
      <c r="H506"/>
      <c r="I506"/>
      <c r="J506"/>
      <c r="K506"/>
      <c r="V506"/>
      <c r="X506" s="75"/>
      <c r="Y506"/>
      <c r="AA506" s="75"/>
      <c r="AC506" s="26"/>
      <c r="AE506"/>
      <c r="AG506" s="75"/>
    </row>
    <row r="507" spans="1:33">
      <c r="A507"/>
      <c r="B507"/>
      <c r="C507"/>
      <c r="D507" s="75"/>
      <c r="E507" s="46"/>
      <c r="F507" s="46"/>
      <c r="G507"/>
      <c r="H507"/>
      <c r="I507"/>
      <c r="J507"/>
      <c r="K507"/>
      <c r="V507"/>
      <c r="X507" s="75"/>
      <c r="Y507"/>
      <c r="AA507" s="75"/>
      <c r="AB507" s="46"/>
      <c r="AC507" s="26"/>
      <c r="AE507"/>
      <c r="AG507" s="75"/>
    </row>
    <row r="508" spans="1:33">
      <c r="A508"/>
      <c r="B508"/>
      <c r="C508"/>
      <c r="D508" s="75"/>
      <c r="E508" s="46"/>
      <c r="F508" s="46"/>
      <c r="G508"/>
      <c r="H508"/>
      <c r="I508"/>
      <c r="J508"/>
      <c r="K508"/>
      <c r="V508"/>
      <c r="X508" s="75"/>
      <c r="Y508"/>
      <c r="AA508" s="75"/>
      <c r="AB508" s="46"/>
      <c r="AC508" s="26"/>
      <c r="AE508"/>
      <c r="AG508" s="75"/>
    </row>
    <row r="509" spans="1:33">
      <c r="A509"/>
      <c r="B509"/>
      <c r="C509"/>
      <c r="D509" s="75"/>
      <c r="E509" s="46"/>
      <c r="F509" s="46"/>
      <c r="G509"/>
      <c r="H509"/>
      <c r="I509"/>
      <c r="J509"/>
      <c r="K509"/>
      <c r="V509"/>
      <c r="X509" s="75"/>
      <c r="Y509"/>
      <c r="AA509" s="75"/>
      <c r="AB509" s="46"/>
      <c r="AC509" s="26"/>
      <c r="AE509"/>
      <c r="AG509" s="75"/>
    </row>
    <row r="510" spans="1:33">
      <c r="A510"/>
      <c r="B510"/>
      <c r="C510"/>
      <c r="D510" s="75"/>
      <c r="E510" s="46"/>
      <c r="F510" s="46"/>
      <c r="G510"/>
      <c r="H510"/>
      <c r="I510"/>
      <c r="J510"/>
      <c r="K510"/>
      <c r="V510"/>
      <c r="X510" s="75"/>
      <c r="Y510"/>
      <c r="AA510" s="75"/>
      <c r="AB510" s="46"/>
      <c r="AC510" s="26"/>
      <c r="AE510"/>
      <c r="AG510" s="75"/>
    </row>
    <row r="511" spans="1:33">
      <c r="A511"/>
      <c r="B511"/>
      <c r="C511"/>
      <c r="D511" s="75"/>
      <c r="E511" s="46"/>
      <c r="F511" s="46"/>
      <c r="G511"/>
      <c r="H511"/>
      <c r="I511"/>
      <c r="J511"/>
      <c r="K511"/>
      <c r="V511"/>
      <c r="X511" s="75"/>
      <c r="Y511"/>
      <c r="AA511" s="75"/>
      <c r="AB511" s="76"/>
      <c r="AC511" s="76"/>
      <c r="AE511"/>
      <c r="AG511" s="75"/>
    </row>
    <row r="512" spans="1:33">
      <c r="A512"/>
      <c r="B512"/>
      <c r="C512"/>
      <c r="D512" s="75"/>
      <c r="E512" s="46"/>
      <c r="F512" s="46"/>
      <c r="G512"/>
      <c r="H512"/>
      <c r="I512"/>
      <c r="J512"/>
      <c r="K512"/>
      <c r="V512"/>
      <c r="X512" s="75"/>
      <c r="Y512"/>
      <c r="AA512" s="75"/>
      <c r="AB512" s="76"/>
      <c r="AC512" s="76"/>
      <c r="AE512"/>
      <c r="AG512" s="75"/>
    </row>
    <row r="513" spans="1:33">
      <c r="A513"/>
      <c r="B513"/>
      <c r="C513"/>
      <c r="D513" s="75"/>
      <c r="E513" s="46"/>
      <c r="F513" s="46"/>
      <c r="G513"/>
      <c r="H513"/>
      <c r="I513"/>
      <c r="J513"/>
      <c r="K513"/>
      <c r="V513"/>
      <c r="X513" s="75"/>
      <c r="Y513"/>
      <c r="AA513" s="75"/>
      <c r="AB513" s="76"/>
      <c r="AC513" s="76"/>
      <c r="AE513"/>
      <c r="AG513" s="75"/>
    </row>
    <row r="514" spans="1:33">
      <c r="A514"/>
      <c r="B514"/>
      <c r="C514"/>
      <c r="D514" s="75"/>
      <c r="E514" s="46"/>
      <c r="F514" s="46"/>
      <c r="G514"/>
      <c r="H514"/>
      <c r="I514"/>
      <c r="J514"/>
      <c r="K514"/>
      <c r="V514"/>
      <c r="X514" s="75"/>
      <c r="Y514"/>
      <c r="AA514" s="75"/>
      <c r="AB514" s="76"/>
      <c r="AC514" s="76"/>
      <c r="AE514"/>
      <c r="AG514" s="75"/>
    </row>
    <row r="515" spans="1:33">
      <c r="A515"/>
      <c r="B515"/>
      <c r="C515"/>
      <c r="D515" s="75"/>
      <c r="E515" s="46"/>
      <c r="F515" s="46"/>
      <c r="G515"/>
      <c r="H515"/>
      <c r="I515"/>
      <c r="J515"/>
      <c r="K515"/>
      <c r="V515"/>
      <c r="X515" s="75"/>
      <c r="Y515"/>
      <c r="AA515" s="75"/>
      <c r="AB515" s="76"/>
      <c r="AC515" s="76"/>
      <c r="AE515"/>
      <c r="AG515" s="75"/>
    </row>
    <row r="516" spans="1:33">
      <c r="A516"/>
      <c r="B516"/>
      <c r="C516"/>
      <c r="D516" s="75"/>
      <c r="E516" s="46"/>
      <c r="F516" s="46"/>
      <c r="G516"/>
      <c r="H516"/>
      <c r="I516"/>
      <c r="J516"/>
      <c r="K516"/>
      <c r="V516"/>
      <c r="X516" s="75"/>
      <c r="Y516"/>
      <c r="AA516" s="75"/>
      <c r="AB516" s="76"/>
      <c r="AC516" s="76"/>
      <c r="AE516"/>
      <c r="AG516" s="75"/>
    </row>
    <row r="517" spans="1:33">
      <c r="A517"/>
      <c r="B517"/>
      <c r="C517"/>
      <c r="D517" s="75"/>
      <c r="E517" s="46"/>
      <c r="F517" s="46"/>
      <c r="G517"/>
      <c r="H517"/>
      <c r="I517"/>
      <c r="J517"/>
      <c r="K517"/>
      <c r="V517"/>
      <c r="X517" s="75"/>
      <c r="Y517"/>
      <c r="AA517" s="75"/>
      <c r="AB517" s="76"/>
      <c r="AC517" s="76"/>
      <c r="AE517"/>
      <c r="AG517" s="75"/>
    </row>
    <row r="518" spans="1:33">
      <c r="A518"/>
      <c r="B518"/>
      <c r="C518"/>
      <c r="D518" s="75"/>
      <c r="E518" s="46"/>
      <c r="F518" s="46"/>
      <c r="G518"/>
      <c r="H518"/>
      <c r="I518"/>
      <c r="J518"/>
      <c r="K518"/>
      <c r="V518"/>
      <c r="X518" s="75"/>
      <c r="Y518"/>
      <c r="AA518" s="75"/>
      <c r="AB518" s="76"/>
      <c r="AC518" s="76"/>
      <c r="AE518"/>
      <c r="AG518" s="75"/>
    </row>
    <row r="519" spans="1:33">
      <c r="A519"/>
      <c r="B519"/>
      <c r="C519"/>
      <c r="D519" s="75"/>
      <c r="E519" s="46"/>
      <c r="F519" s="46"/>
      <c r="G519"/>
      <c r="H519"/>
      <c r="I519"/>
      <c r="J519"/>
      <c r="K519"/>
      <c r="V519"/>
      <c r="X519" s="75"/>
      <c r="Y519"/>
      <c r="AA519" s="75"/>
      <c r="AB519" s="76"/>
      <c r="AC519" s="76"/>
      <c r="AE519"/>
      <c r="AG519" s="75"/>
    </row>
    <row r="520" spans="1:33">
      <c r="A520"/>
      <c r="B520"/>
      <c r="C520"/>
      <c r="D520" s="75"/>
      <c r="E520" s="46"/>
      <c r="F520" s="46"/>
      <c r="G520"/>
      <c r="H520"/>
      <c r="I520"/>
      <c r="J520"/>
      <c r="K520"/>
      <c r="V520"/>
      <c r="X520" s="75"/>
      <c r="Y520"/>
      <c r="AA520" s="75"/>
      <c r="AB520" s="76"/>
      <c r="AC520" s="76"/>
      <c r="AE520"/>
      <c r="AG520" s="75"/>
    </row>
    <row r="521" spans="1:33">
      <c r="A521"/>
      <c r="B521"/>
      <c r="C521"/>
      <c r="D521" s="75"/>
      <c r="E521" s="46"/>
      <c r="F521" s="46"/>
      <c r="G521"/>
      <c r="H521"/>
      <c r="I521"/>
      <c r="J521"/>
      <c r="K521"/>
      <c r="V521"/>
      <c r="X521" s="75"/>
      <c r="Y521"/>
      <c r="AA521" s="75"/>
      <c r="AB521" s="76"/>
      <c r="AC521" s="76"/>
      <c r="AE521"/>
      <c r="AG521" s="75"/>
    </row>
    <row r="522" spans="1:33">
      <c r="A522"/>
      <c r="B522"/>
      <c r="C522"/>
      <c r="D522" s="75"/>
      <c r="E522" s="46"/>
      <c r="F522" s="46"/>
      <c r="G522"/>
      <c r="H522"/>
      <c r="I522"/>
      <c r="J522"/>
      <c r="K522"/>
      <c r="V522"/>
      <c r="X522" s="75"/>
      <c r="Y522"/>
      <c r="AA522" s="75"/>
      <c r="AB522" s="76"/>
      <c r="AC522" s="76"/>
      <c r="AE522"/>
      <c r="AG522" s="75"/>
    </row>
    <row r="523" spans="1:33">
      <c r="A523"/>
      <c r="B523"/>
      <c r="C523"/>
      <c r="D523" s="75"/>
      <c r="E523" s="46"/>
      <c r="F523" s="46"/>
      <c r="G523"/>
      <c r="H523"/>
      <c r="I523"/>
      <c r="J523"/>
      <c r="K523"/>
      <c r="V523"/>
      <c r="X523" s="75"/>
      <c r="Y523"/>
      <c r="AA523" s="75"/>
      <c r="AB523" s="76"/>
      <c r="AC523" s="76"/>
      <c r="AE523"/>
      <c r="AG523" s="75"/>
    </row>
    <row r="524" spans="1:33">
      <c r="A524"/>
      <c r="B524"/>
      <c r="C524"/>
      <c r="D524" s="75"/>
      <c r="E524" s="46"/>
      <c r="F524" s="46"/>
      <c r="G524"/>
      <c r="H524"/>
      <c r="I524"/>
      <c r="J524"/>
      <c r="K524"/>
      <c r="V524"/>
      <c r="X524" s="75"/>
      <c r="Y524"/>
      <c r="AA524" s="75"/>
      <c r="AB524" s="76"/>
      <c r="AC524" s="76"/>
      <c r="AE524"/>
      <c r="AG524" s="75"/>
    </row>
    <row r="525" spans="1:33">
      <c r="A525"/>
      <c r="B525"/>
      <c r="C525"/>
      <c r="D525" s="75"/>
      <c r="E525" s="46"/>
      <c r="F525" s="46"/>
      <c r="G525"/>
      <c r="H525"/>
      <c r="I525"/>
      <c r="J525"/>
      <c r="K525"/>
      <c r="V525"/>
      <c r="X525" s="75"/>
      <c r="Y525"/>
      <c r="AA525" s="75"/>
      <c r="AB525" s="76"/>
      <c r="AC525" s="76"/>
      <c r="AE525"/>
      <c r="AG525" s="75"/>
    </row>
    <row r="526" spans="1:33">
      <c r="A526"/>
      <c r="B526"/>
      <c r="C526"/>
      <c r="D526" s="75"/>
      <c r="E526" s="46"/>
      <c r="F526" s="46"/>
      <c r="G526"/>
      <c r="H526"/>
      <c r="I526"/>
      <c r="J526"/>
      <c r="K526"/>
      <c r="V526"/>
      <c r="X526" s="75"/>
      <c r="Y526"/>
      <c r="AA526" s="75"/>
      <c r="AB526" s="76"/>
      <c r="AC526" s="76"/>
      <c r="AE526"/>
      <c r="AG526" s="75"/>
    </row>
    <row r="527" spans="1:33">
      <c r="A527"/>
      <c r="B527"/>
      <c r="C527"/>
      <c r="D527" s="75"/>
      <c r="E527" s="46"/>
      <c r="F527" s="46"/>
      <c r="G527"/>
      <c r="H527"/>
      <c r="I527"/>
      <c r="J527"/>
      <c r="K527"/>
      <c r="V527"/>
      <c r="X527" s="75"/>
      <c r="Y527"/>
      <c r="AA527" s="75"/>
      <c r="AB527" s="76"/>
      <c r="AC527" s="76"/>
      <c r="AE527"/>
      <c r="AG527" s="75"/>
    </row>
    <row r="528" spans="1:33">
      <c r="A528"/>
      <c r="B528"/>
      <c r="C528"/>
      <c r="D528" s="75"/>
      <c r="E528" s="46"/>
      <c r="F528" s="46"/>
      <c r="G528"/>
      <c r="H528"/>
      <c r="I528"/>
      <c r="J528"/>
      <c r="K528"/>
      <c r="V528"/>
      <c r="Y528"/>
      <c r="Z528" s="46"/>
      <c r="AB528" s="46"/>
      <c r="AC528" s="46"/>
      <c r="AE528"/>
      <c r="AG528" s="75"/>
    </row>
    <row r="529" spans="1:33">
      <c r="A529"/>
      <c r="B529"/>
      <c r="C529"/>
      <c r="D529" s="75"/>
      <c r="E529" s="46"/>
      <c r="F529" s="46"/>
      <c r="G529"/>
      <c r="H529"/>
      <c r="I529"/>
      <c r="J529"/>
      <c r="K529"/>
      <c r="V529"/>
      <c r="Y529"/>
      <c r="Z529" s="46"/>
      <c r="AB529" s="46"/>
      <c r="AC529" s="46"/>
      <c r="AE529"/>
      <c r="AG529" s="75"/>
    </row>
    <row r="530" spans="1:33">
      <c r="A530"/>
      <c r="B530"/>
      <c r="C530"/>
      <c r="D530" s="75"/>
      <c r="E530" s="46"/>
      <c r="F530" s="46"/>
      <c r="G530"/>
      <c r="H530"/>
      <c r="I530"/>
      <c r="J530"/>
      <c r="K530"/>
      <c r="V530"/>
      <c r="Y530"/>
      <c r="Z530" s="46"/>
      <c r="AB530" s="46"/>
      <c r="AC530" s="46"/>
      <c r="AE530"/>
      <c r="AG530" s="75"/>
    </row>
    <row r="531" spans="1:33">
      <c r="A531"/>
      <c r="B531"/>
      <c r="C531"/>
      <c r="D531" s="75"/>
      <c r="E531" s="46"/>
      <c r="F531" s="46"/>
      <c r="G531"/>
      <c r="H531"/>
      <c r="I531"/>
      <c r="J531"/>
      <c r="K531"/>
      <c r="V531"/>
      <c r="Y531"/>
      <c r="Z531" s="46"/>
      <c r="AB531" s="46"/>
      <c r="AC531" s="46"/>
      <c r="AE531"/>
      <c r="AG531" s="75"/>
    </row>
    <row r="532" spans="1:33">
      <c r="A532"/>
      <c r="B532"/>
      <c r="C532"/>
      <c r="D532" s="75"/>
      <c r="E532" s="46"/>
      <c r="F532" s="46"/>
      <c r="G532"/>
      <c r="H532"/>
      <c r="I532"/>
      <c r="J532"/>
      <c r="K532"/>
      <c r="V532"/>
      <c r="Y532"/>
      <c r="Z532" s="46"/>
      <c r="AB532" s="46"/>
      <c r="AC532" s="46"/>
      <c r="AE532"/>
      <c r="AG532" s="75"/>
    </row>
    <row r="533" spans="1:33">
      <c r="A533"/>
      <c r="B533"/>
      <c r="C533"/>
      <c r="D533" s="75"/>
      <c r="E533" s="46"/>
      <c r="F533" s="46"/>
      <c r="G533"/>
      <c r="H533"/>
      <c r="I533"/>
      <c r="J533"/>
      <c r="K533"/>
      <c r="V533"/>
      <c r="Y533"/>
      <c r="Z533" s="46"/>
      <c r="AB533" s="46"/>
      <c r="AC533" s="46"/>
      <c r="AE533"/>
      <c r="AG533" s="75"/>
    </row>
    <row r="534" spans="1:33">
      <c r="A534"/>
      <c r="B534"/>
      <c r="C534"/>
      <c r="D534" s="75"/>
      <c r="E534" s="46"/>
      <c r="F534" s="46"/>
      <c r="G534"/>
      <c r="H534"/>
      <c r="I534"/>
      <c r="J534"/>
      <c r="K534"/>
      <c r="V534"/>
      <c r="Y534"/>
      <c r="AB534" s="46"/>
      <c r="AC534" s="46"/>
      <c r="AE534"/>
      <c r="AG534" s="75"/>
    </row>
    <row r="535" spans="1:33">
      <c r="A535"/>
      <c r="B535"/>
      <c r="C535"/>
      <c r="D535" s="75"/>
      <c r="E535" s="46"/>
      <c r="F535" s="46"/>
      <c r="G535"/>
      <c r="H535"/>
      <c r="I535"/>
      <c r="J535"/>
      <c r="K535"/>
      <c r="V535"/>
      <c r="Y535"/>
      <c r="AB535" s="46"/>
      <c r="AC535" s="46"/>
      <c r="AE535"/>
      <c r="AG535" s="75"/>
    </row>
    <row r="536" spans="1:33">
      <c r="A536"/>
      <c r="B536"/>
      <c r="C536"/>
      <c r="D536" s="75"/>
      <c r="E536" s="46"/>
      <c r="F536" s="46"/>
      <c r="G536"/>
      <c r="H536"/>
      <c r="I536"/>
      <c r="J536"/>
      <c r="K536"/>
      <c r="V536"/>
      <c r="Y536"/>
      <c r="AB536" s="46"/>
      <c r="AC536" s="46"/>
      <c r="AE536"/>
      <c r="AG536" s="75"/>
    </row>
    <row r="537" spans="1:33">
      <c r="A537"/>
      <c r="B537"/>
      <c r="C537"/>
      <c r="D537" s="75"/>
      <c r="E537" s="46"/>
      <c r="F537" s="46"/>
      <c r="G537"/>
      <c r="H537"/>
      <c r="I537"/>
      <c r="J537"/>
      <c r="K537"/>
      <c r="V537"/>
      <c r="Y537"/>
      <c r="AB537" s="46"/>
      <c r="AC537" s="46"/>
      <c r="AE537"/>
      <c r="AG537" s="75"/>
    </row>
    <row r="538" spans="1:33">
      <c r="A538"/>
      <c r="B538"/>
      <c r="C538"/>
      <c r="D538" s="75"/>
      <c r="E538" s="46"/>
      <c r="F538" s="46"/>
      <c r="G538"/>
      <c r="H538"/>
      <c r="I538"/>
      <c r="J538"/>
      <c r="K538"/>
      <c r="V538"/>
      <c r="Y538"/>
      <c r="AB538" s="46"/>
      <c r="AC538" s="46"/>
      <c r="AE538"/>
      <c r="AG538" s="75"/>
    </row>
    <row r="539" spans="1:33">
      <c r="A539"/>
      <c r="B539"/>
      <c r="C539"/>
      <c r="D539" s="75"/>
      <c r="E539" s="46"/>
      <c r="F539" s="46"/>
      <c r="G539"/>
      <c r="H539"/>
      <c r="I539"/>
      <c r="J539"/>
      <c r="K539"/>
      <c r="V539"/>
      <c r="Y539"/>
      <c r="AB539" s="46"/>
      <c r="AC539" s="46"/>
      <c r="AE539"/>
      <c r="AG539" s="75"/>
    </row>
    <row r="540" spans="1:33">
      <c r="A540"/>
      <c r="B540"/>
      <c r="C540"/>
      <c r="D540" s="75"/>
      <c r="E540" s="46"/>
      <c r="F540" s="46"/>
      <c r="G540"/>
      <c r="H540"/>
      <c r="I540"/>
      <c r="J540"/>
      <c r="K540"/>
      <c r="V540"/>
      <c r="Y540"/>
      <c r="AB540" s="46"/>
      <c r="AC540" s="46"/>
      <c r="AE540"/>
      <c r="AG540" s="75"/>
    </row>
    <row r="541" spans="1:33">
      <c r="A541"/>
      <c r="B541"/>
      <c r="C541"/>
      <c r="D541" s="75"/>
      <c r="E541" s="46"/>
      <c r="F541" s="46"/>
      <c r="G541"/>
      <c r="H541"/>
      <c r="I541"/>
      <c r="J541"/>
      <c r="K541"/>
      <c r="V541"/>
      <c r="Y541"/>
      <c r="AB541" s="46"/>
      <c r="AC541" s="46"/>
      <c r="AE541"/>
      <c r="AG541" s="75"/>
    </row>
    <row r="542" spans="1:33">
      <c r="A542"/>
      <c r="B542"/>
      <c r="C542"/>
      <c r="D542" s="75"/>
      <c r="E542" s="46"/>
      <c r="F542" s="46"/>
      <c r="G542"/>
      <c r="H542"/>
      <c r="I542"/>
      <c r="J542"/>
      <c r="K542"/>
      <c r="V542"/>
      <c r="Y542"/>
      <c r="AB542" s="46"/>
      <c r="AC542" s="46"/>
      <c r="AE542"/>
      <c r="AG542" s="75"/>
    </row>
    <row r="543" spans="1:33">
      <c r="A543"/>
      <c r="B543"/>
      <c r="C543"/>
      <c r="D543" s="75"/>
      <c r="E543" s="46"/>
      <c r="F543" s="46"/>
      <c r="G543"/>
      <c r="H543"/>
      <c r="I543"/>
      <c r="J543"/>
      <c r="K543"/>
      <c r="V543"/>
      <c r="Y543"/>
      <c r="AB543" s="46"/>
      <c r="AC543" s="46"/>
      <c r="AE543"/>
      <c r="AG543" s="75"/>
    </row>
    <row r="544" spans="1:33">
      <c r="A544"/>
      <c r="B544"/>
      <c r="C544"/>
      <c r="D544" s="75"/>
      <c r="E544" s="46"/>
      <c r="F544" s="46"/>
      <c r="G544"/>
      <c r="H544"/>
      <c r="I544"/>
      <c r="J544"/>
      <c r="K544"/>
      <c r="V544"/>
      <c r="X544" s="75"/>
      <c r="Y544"/>
      <c r="AA544" s="75"/>
      <c r="AC544" s="26"/>
      <c r="AE544"/>
      <c r="AG544" s="75"/>
    </row>
    <row r="545" spans="1:33">
      <c r="A545"/>
      <c r="B545"/>
      <c r="C545"/>
      <c r="D545" s="75"/>
      <c r="E545" s="46"/>
      <c r="F545" s="46"/>
      <c r="G545"/>
      <c r="H545"/>
      <c r="I545"/>
      <c r="J545"/>
      <c r="K545"/>
      <c r="V545"/>
      <c r="X545" s="75"/>
      <c r="Y545"/>
      <c r="AA545" s="75"/>
      <c r="AC545" s="26"/>
      <c r="AE545"/>
      <c r="AG545" s="75"/>
    </row>
    <row r="546" spans="1:33">
      <c r="A546"/>
      <c r="B546"/>
      <c r="C546"/>
      <c r="D546" s="75"/>
      <c r="E546" s="46"/>
      <c r="F546" s="46"/>
      <c r="G546"/>
      <c r="H546"/>
      <c r="I546"/>
      <c r="J546"/>
      <c r="K546"/>
      <c r="V546"/>
      <c r="X546" s="75"/>
      <c r="Y546"/>
      <c r="AA546" s="75"/>
      <c r="AC546" s="26"/>
      <c r="AE546"/>
      <c r="AG546" s="75"/>
    </row>
    <row r="547" spans="1:33">
      <c r="A547"/>
      <c r="B547"/>
      <c r="C547"/>
      <c r="D547" s="75"/>
      <c r="E547" s="46"/>
      <c r="F547" s="46"/>
      <c r="G547"/>
      <c r="H547"/>
      <c r="I547"/>
      <c r="J547"/>
      <c r="K547"/>
      <c r="V547"/>
      <c r="X547" s="75"/>
      <c r="Y547"/>
      <c r="AA547" s="75"/>
      <c r="AC547" s="26"/>
      <c r="AE547"/>
      <c r="AG547" s="75"/>
    </row>
    <row r="548" spans="1:33">
      <c r="A548"/>
      <c r="B548"/>
      <c r="C548"/>
      <c r="D548" s="75"/>
      <c r="E548" s="46"/>
      <c r="F548" s="46"/>
      <c r="G548"/>
      <c r="H548"/>
      <c r="I548"/>
      <c r="J548"/>
      <c r="K548"/>
      <c r="V548"/>
      <c r="X548" s="75"/>
      <c r="Y548"/>
      <c r="AA548" s="75"/>
      <c r="AC548" s="26"/>
      <c r="AE548"/>
      <c r="AG548" s="75"/>
    </row>
    <row r="549" spans="1:33">
      <c r="A549"/>
      <c r="B549"/>
      <c r="C549"/>
      <c r="D549" s="75"/>
      <c r="E549" s="46"/>
      <c r="F549" s="46"/>
      <c r="G549"/>
      <c r="H549"/>
      <c r="I549"/>
      <c r="J549"/>
      <c r="K549"/>
      <c r="V549"/>
      <c r="X549" s="75"/>
      <c r="Y549"/>
      <c r="AA549" s="75"/>
      <c r="AC549" s="26"/>
      <c r="AE549"/>
      <c r="AG549" s="75"/>
    </row>
    <row r="550" spans="1:33">
      <c r="A550"/>
      <c r="B550"/>
      <c r="C550"/>
      <c r="D550" s="75"/>
      <c r="E550" s="46"/>
      <c r="F550" s="46"/>
      <c r="G550"/>
      <c r="H550"/>
      <c r="I550"/>
      <c r="J550"/>
      <c r="K550"/>
      <c r="V550"/>
      <c r="X550" s="75"/>
      <c r="Y550"/>
      <c r="AA550" s="75"/>
      <c r="AC550" s="26"/>
      <c r="AE550"/>
      <c r="AG550" s="75"/>
    </row>
    <row r="551" spans="1:33">
      <c r="A551"/>
      <c r="B551"/>
      <c r="C551"/>
      <c r="D551" s="75"/>
      <c r="E551" s="46"/>
      <c r="F551" s="46"/>
      <c r="G551"/>
      <c r="H551"/>
      <c r="I551"/>
      <c r="J551"/>
      <c r="K551"/>
      <c r="V551"/>
      <c r="X551" s="75"/>
      <c r="Y551"/>
      <c r="AA551" s="75"/>
      <c r="AC551" s="26"/>
      <c r="AE551"/>
      <c r="AG551" s="75"/>
    </row>
    <row r="552" spans="1:33">
      <c r="A552"/>
      <c r="B552"/>
      <c r="C552"/>
      <c r="D552" s="75"/>
      <c r="E552" s="46"/>
      <c r="F552" s="46"/>
      <c r="G552"/>
      <c r="H552"/>
      <c r="I552"/>
      <c r="J552"/>
      <c r="K552"/>
      <c r="V552"/>
      <c r="Y552"/>
      <c r="AB552" s="46"/>
      <c r="AC552" s="46"/>
      <c r="AE552"/>
      <c r="AG552" s="75"/>
    </row>
    <row r="553" spans="1:33">
      <c r="A553"/>
      <c r="B553"/>
      <c r="C553"/>
      <c r="D553" s="75"/>
      <c r="E553" s="46"/>
      <c r="F553" s="46"/>
      <c r="G553"/>
      <c r="H553"/>
      <c r="I553"/>
      <c r="J553"/>
      <c r="K553"/>
      <c r="V553"/>
      <c r="Y553"/>
      <c r="AC553" s="17"/>
      <c r="AE553"/>
      <c r="AG553" s="75"/>
    </row>
    <row r="554" spans="1:33">
      <c r="A554"/>
      <c r="B554"/>
      <c r="C554"/>
      <c r="D554" s="75"/>
      <c r="E554" s="46"/>
      <c r="F554" s="46"/>
      <c r="G554"/>
      <c r="H554"/>
      <c r="I554"/>
      <c r="J554"/>
      <c r="K554"/>
      <c r="V554"/>
      <c r="Y554"/>
      <c r="AC554" s="17"/>
      <c r="AE554"/>
      <c r="AG554" s="75"/>
    </row>
    <row r="555" spans="1:33">
      <c r="A555"/>
      <c r="B555"/>
      <c r="C555"/>
      <c r="D555" s="75"/>
      <c r="E555" s="46"/>
      <c r="F555" s="46"/>
      <c r="G555"/>
      <c r="H555"/>
      <c r="I555"/>
      <c r="J555"/>
      <c r="K555"/>
      <c r="V555"/>
      <c r="Y555"/>
      <c r="AC555" s="17"/>
      <c r="AE555"/>
      <c r="AG555" s="75"/>
    </row>
    <row r="556" spans="1:33">
      <c r="A556"/>
      <c r="B556"/>
      <c r="C556"/>
      <c r="D556" s="75"/>
      <c r="E556" s="46"/>
      <c r="F556" s="46"/>
      <c r="G556"/>
      <c r="H556"/>
      <c r="I556"/>
      <c r="J556"/>
      <c r="K556"/>
      <c r="V556"/>
      <c r="Y556"/>
      <c r="AC556" s="17"/>
      <c r="AE556"/>
      <c r="AG556" s="75"/>
    </row>
    <row r="557" spans="1:33">
      <c r="A557"/>
      <c r="B557"/>
      <c r="C557"/>
      <c r="D557" s="75"/>
      <c r="E557" s="46"/>
      <c r="F557" s="46"/>
      <c r="G557"/>
      <c r="H557"/>
      <c r="I557"/>
      <c r="J557"/>
      <c r="K557"/>
      <c r="V557"/>
      <c r="Y557"/>
      <c r="AC557" s="17"/>
      <c r="AE557"/>
      <c r="AG557" s="75"/>
    </row>
    <row r="558" spans="1:33">
      <c r="A558"/>
      <c r="B558"/>
      <c r="C558"/>
      <c r="D558" s="75"/>
      <c r="E558" s="46"/>
      <c r="F558" s="46"/>
      <c r="G558"/>
      <c r="H558"/>
      <c r="I558"/>
      <c r="J558"/>
      <c r="K558"/>
      <c r="V558"/>
      <c r="Y558"/>
      <c r="AC558" s="17"/>
      <c r="AE558"/>
      <c r="AG558" s="75"/>
    </row>
    <row r="559" spans="1:33">
      <c r="A559"/>
      <c r="B559"/>
      <c r="C559"/>
      <c r="D559" s="75"/>
      <c r="E559" s="46"/>
      <c r="F559" s="46"/>
      <c r="G559"/>
      <c r="H559"/>
      <c r="I559"/>
      <c r="J559"/>
      <c r="K559"/>
      <c r="V559"/>
      <c r="Y559"/>
      <c r="AC559" s="17"/>
      <c r="AE559"/>
      <c r="AG559" s="75"/>
    </row>
    <row r="560" spans="1:33">
      <c r="A560"/>
      <c r="B560"/>
      <c r="C560"/>
      <c r="D560" s="75"/>
      <c r="E560" s="46"/>
      <c r="F560" s="46"/>
      <c r="G560"/>
      <c r="H560"/>
      <c r="I560"/>
      <c r="J560"/>
      <c r="K560"/>
      <c r="V560"/>
      <c r="Y560"/>
      <c r="AC560" s="17"/>
      <c r="AE560"/>
      <c r="AG560" s="75"/>
    </row>
    <row r="561" spans="1:33">
      <c r="A561"/>
      <c r="B561"/>
      <c r="C561"/>
      <c r="D561" s="75"/>
      <c r="E561" s="46"/>
      <c r="F561" s="46"/>
      <c r="G561"/>
      <c r="H561"/>
      <c r="I561"/>
      <c r="J561"/>
      <c r="K561"/>
      <c r="V561"/>
      <c r="Y561"/>
      <c r="AC561" s="17"/>
      <c r="AE561"/>
      <c r="AG561" s="75"/>
    </row>
    <row r="562" spans="1:33">
      <c r="A562"/>
      <c r="B562"/>
      <c r="C562"/>
      <c r="D562" s="75"/>
      <c r="E562" s="46"/>
      <c r="F562" s="46"/>
      <c r="G562"/>
      <c r="H562"/>
      <c r="I562"/>
      <c r="J562"/>
      <c r="K562"/>
      <c r="V562"/>
      <c r="Y562"/>
      <c r="AC562" s="17"/>
      <c r="AE562"/>
      <c r="AG562" s="75"/>
    </row>
    <row r="563" spans="1:33">
      <c r="A563"/>
      <c r="B563"/>
      <c r="C563"/>
      <c r="D563" s="75"/>
      <c r="E563" s="46"/>
      <c r="F563" s="46"/>
      <c r="G563"/>
      <c r="H563"/>
      <c r="I563"/>
      <c r="J563"/>
      <c r="K563"/>
      <c r="V563"/>
      <c r="Y563"/>
      <c r="AC563" s="17"/>
      <c r="AE563"/>
      <c r="AG563" s="75"/>
    </row>
    <row r="564" spans="1:33">
      <c r="A564"/>
      <c r="B564"/>
      <c r="C564"/>
      <c r="D564" s="75"/>
      <c r="E564" s="46"/>
      <c r="F564" s="46"/>
      <c r="G564"/>
      <c r="H564"/>
      <c r="I564"/>
      <c r="J564"/>
      <c r="K564"/>
      <c r="V564"/>
      <c r="Y564"/>
      <c r="AC564" s="17"/>
      <c r="AE564"/>
      <c r="AG564" s="75"/>
    </row>
    <row r="565" spans="1:33">
      <c r="A565"/>
      <c r="B565"/>
      <c r="C565"/>
      <c r="D565" s="75"/>
      <c r="E565" s="46"/>
      <c r="F565" s="46"/>
      <c r="G565"/>
      <c r="H565"/>
      <c r="I565"/>
      <c r="J565"/>
      <c r="K565"/>
      <c r="V565"/>
      <c r="Y565"/>
      <c r="AC565" s="17"/>
      <c r="AE565"/>
      <c r="AG565" s="75"/>
    </row>
    <row r="566" spans="1:33">
      <c r="A566"/>
      <c r="B566"/>
      <c r="C566"/>
      <c r="D566" s="75"/>
      <c r="E566" s="46"/>
      <c r="F566" s="46"/>
      <c r="G566"/>
      <c r="H566"/>
      <c r="I566"/>
      <c r="J566"/>
      <c r="K566"/>
      <c r="V566"/>
      <c r="Y566"/>
      <c r="AC566" s="17"/>
      <c r="AE566"/>
      <c r="AG566" s="75"/>
    </row>
    <row r="567" spans="1:33">
      <c r="A567"/>
      <c r="B567"/>
      <c r="C567"/>
      <c r="D567" s="75"/>
      <c r="E567" s="46"/>
      <c r="F567" s="46"/>
      <c r="G567"/>
      <c r="H567"/>
      <c r="I567"/>
      <c r="J567"/>
      <c r="K567"/>
      <c r="V567"/>
      <c r="Y567"/>
      <c r="AC567" s="17"/>
      <c r="AE567"/>
      <c r="AG567" s="75"/>
    </row>
    <row r="568" spans="1:33">
      <c r="A568"/>
      <c r="B568"/>
      <c r="C568"/>
      <c r="D568" s="75"/>
      <c r="E568" s="46"/>
      <c r="F568" s="46"/>
      <c r="G568"/>
      <c r="H568"/>
      <c r="I568"/>
      <c r="J568"/>
      <c r="K568"/>
      <c r="V568"/>
      <c r="Y568"/>
      <c r="AC568" s="17"/>
      <c r="AE568"/>
      <c r="AG568" s="75"/>
    </row>
    <row r="569" spans="1:33">
      <c r="A569"/>
      <c r="B569"/>
      <c r="C569"/>
      <c r="D569" s="75"/>
      <c r="E569" s="46"/>
      <c r="F569" s="46"/>
      <c r="G569"/>
      <c r="H569"/>
      <c r="I569"/>
      <c r="J569"/>
      <c r="K569"/>
      <c r="V569"/>
      <c r="Y569"/>
      <c r="AC569" s="17"/>
      <c r="AE569"/>
      <c r="AG569" s="75"/>
    </row>
    <row r="570" spans="1:33">
      <c r="A570"/>
      <c r="B570"/>
      <c r="C570"/>
      <c r="D570" s="75"/>
      <c r="E570" s="46"/>
      <c r="F570" s="46"/>
      <c r="G570"/>
      <c r="H570"/>
      <c r="I570"/>
      <c r="J570"/>
      <c r="K570"/>
      <c r="V570"/>
      <c r="Y570"/>
      <c r="AC570" s="17"/>
      <c r="AE570"/>
      <c r="AG570" s="75"/>
    </row>
    <row r="571" spans="1:33">
      <c r="A571"/>
      <c r="B571"/>
      <c r="C571"/>
      <c r="D571" s="75"/>
      <c r="E571" s="46"/>
      <c r="F571" s="46"/>
      <c r="G571"/>
      <c r="H571"/>
      <c r="I571"/>
      <c r="J571"/>
      <c r="K571"/>
      <c r="V571"/>
      <c r="Y571"/>
      <c r="AC571" s="17"/>
      <c r="AE571"/>
      <c r="AG571" s="75"/>
    </row>
    <row r="572" spans="1:33">
      <c r="A572"/>
      <c r="B572"/>
      <c r="C572"/>
      <c r="D572" s="75"/>
      <c r="E572" s="46"/>
      <c r="F572" s="46"/>
      <c r="G572"/>
      <c r="H572"/>
      <c r="I572"/>
      <c r="J572"/>
      <c r="K572"/>
      <c r="V572"/>
      <c r="Y572"/>
      <c r="AC572" s="17"/>
      <c r="AE572"/>
      <c r="AG572" s="75"/>
    </row>
    <row r="573" spans="1:33">
      <c r="A573"/>
      <c r="B573"/>
      <c r="C573"/>
      <c r="D573" s="75"/>
      <c r="E573" s="46"/>
      <c r="F573" s="46"/>
      <c r="G573"/>
      <c r="H573"/>
      <c r="I573"/>
      <c r="J573"/>
      <c r="K573"/>
      <c r="V573"/>
      <c r="Y573"/>
      <c r="AC573" s="17"/>
      <c r="AE573"/>
      <c r="AG573" s="75"/>
    </row>
    <row r="574" spans="1:33">
      <c r="A574"/>
      <c r="B574"/>
      <c r="C574"/>
      <c r="D574" s="75"/>
      <c r="E574" s="46"/>
      <c r="F574" s="46"/>
      <c r="G574"/>
      <c r="H574"/>
      <c r="I574"/>
      <c r="J574"/>
      <c r="K574"/>
      <c r="V574"/>
      <c r="Y574"/>
      <c r="AC574" s="17"/>
      <c r="AE574"/>
      <c r="AG574" s="75"/>
    </row>
    <row r="575" spans="1:33">
      <c r="A575"/>
      <c r="B575"/>
      <c r="C575"/>
      <c r="D575" s="75"/>
      <c r="E575" s="46"/>
      <c r="F575" s="46"/>
      <c r="G575"/>
      <c r="H575"/>
      <c r="I575"/>
      <c r="J575"/>
      <c r="K575"/>
      <c r="V575"/>
      <c r="Y575"/>
      <c r="AC575" s="17"/>
      <c r="AE575"/>
      <c r="AG575" s="75"/>
    </row>
    <row r="576" spans="1:33">
      <c r="A576"/>
      <c r="B576"/>
      <c r="C576"/>
      <c r="D576" s="75"/>
      <c r="E576" s="46"/>
      <c r="F576" s="46"/>
      <c r="G576"/>
      <c r="H576"/>
      <c r="I576"/>
      <c r="J576"/>
      <c r="K576"/>
      <c r="V576"/>
      <c r="Y576"/>
      <c r="AC576" s="17"/>
      <c r="AE576"/>
      <c r="AG576" s="75"/>
    </row>
    <row r="577" spans="1:33">
      <c r="A577"/>
      <c r="B577"/>
      <c r="C577"/>
      <c r="D577" s="75"/>
      <c r="E577" s="46"/>
      <c r="F577" s="46"/>
      <c r="G577"/>
      <c r="H577"/>
      <c r="I577"/>
      <c r="J577"/>
      <c r="K577"/>
      <c r="V577"/>
      <c r="Y577"/>
      <c r="AC577" s="17"/>
      <c r="AE577"/>
      <c r="AG577" s="75"/>
    </row>
    <row r="578" spans="1:33">
      <c r="A578"/>
      <c r="B578"/>
      <c r="C578"/>
      <c r="D578" s="75"/>
      <c r="E578" s="46"/>
      <c r="F578" s="46"/>
      <c r="G578"/>
      <c r="H578"/>
      <c r="I578"/>
      <c r="J578"/>
      <c r="K578"/>
      <c r="V578"/>
      <c r="Y578"/>
      <c r="AC578" s="17"/>
      <c r="AE578"/>
      <c r="AG578" s="75"/>
    </row>
    <row r="579" spans="1:33">
      <c r="A579"/>
      <c r="B579"/>
      <c r="C579"/>
      <c r="D579" s="75"/>
      <c r="E579" s="46"/>
      <c r="F579" s="46"/>
      <c r="G579"/>
      <c r="H579"/>
      <c r="I579"/>
      <c r="J579"/>
      <c r="K579"/>
      <c r="V579"/>
      <c r="Y579"/>
      <c r="AC579" s="17"/>
      <c r="AE579"/>
      <c r="AG579" s="75"/>
    </row>
    <row r="580" spans="1:33">
      <c r="A580"/>
      <c r="B580"/>
      <c r="C580"/>
      <c r="D580" s="75"/>
      <c r="E580" s="46"/>
      <c r="F580" s="46"/>
      <c r="G580"/>
      <c r="H580"/>
      <c r="I580"/>
      <c r="J580"/>
      <c r="K580"/>
      <c r="V580"/>
      <c r="Y580"/>
      <c r="AC580" s="17"/>
      <c r="AE580"/>
      <c r="AG580" s="75"/>
    </row>
    <row r="581" spans="1:33">
      <c r="A581"/>
      <c r="B581"/>
      <c r="C581"/>
      <c r="D581" s="75"/>
      <c r="E581" s="46"/>
      <c r="F581" s="46"/>
      <c r="G581"/>
      <c r="H581"/>
      <c r="I581"/>
      <c r="J581"/>
      <c r="K581"/>
      <c r="V581"/>
      <c r="Y581"/>
      <c r="AC581" s="17"/>
      <c r="AE581"/>
      <c r="AG581" s="75"/>
    </row>
    <row r="582" spans="1:33">
      <c r="A582"/>
      <c r="B582"/>
      <c r="C582"/>
      <c r="D582" s="75"/>
      <c r="E582" s="46"/>
      <c r="F582" s="46"/>
      <c r="G582"/>
      <c r="H582"/>
      <c r="I582"/>
      <c r="J582"/>
      <c r="K582"/>
      <c r="V582"/>
      <c r="Y582"/>
      <c r="AC582" s="17"/>
      <c r="AE582"/>
      <c r="AG582" s="75"/>
    </row>
    <row r="583" spans="1:33">
      <c r="A583"/>
      <c r="B583"/>
      <c r="C583"/>
      <c r="D583" s="75"/>
      <c r="E583" s="46"/>
      <c r="F583" s="46"/>
      <c r="G583"/>
      <c r="H583"/>
      <c r="I583"/>
      <c r="J583"/>
      <c r="K583"/>
      <c r="V583"/>
      <c r="Y583"/>
      <c r="AC583" s="17"/>
      <c r="AE583"/>
      <c r="AG583" s="75"/>
    </row>
    <row r="584" spans="1:33">
      <c r="A584"/>
      <c r="B584"/>
      <c r="C584"/>
      <c r="E584" s="46"/>
      <c r="F584" s="46"/>
      <c r="G584"/>
      <c r="H584"/>
      <c r="I584"/>
      <c r="J584"/>
      <c r="K584"/>
      <c r="L584" s="79"/>
      <c r="P584" s="79"/>
      <c r="V584"/>
      <c r="Y584"/>
      <c r="AE584"/>
    </row>
    <row r="585" spans="1:33">
      <c r="A585"/>
      <c r="B585"/>
      <c r="C585"/>
      <c r="E585" s="46"/>
      <c r="F585" s="46"/>
      <c r="G585"/>
      <c r="H585"/>
      <c r="I585"/>
      <c r="J585"/>
      <c r="K585"/>
      <c r="L585" s="79"/>
      <c r="P585" s="79"/>
      <c r="V585"/>
      <c r="Y585"/>
      <c r="AE585"/>
    </row>
    <row r="586" spans="1:33">
      <c r="A586"/>
      <c r="B586"/>
      <c r="C586"/>
      <c r="E586" s="46"/>
      <c r="F586" s="46"/>
      <c r="G586"/>
      <c r="H586"/>
      <c r="I586"/>
      <c r="J586"/>
      <c r="K586"/>
      <c r="L586" s="79"/>
      <c r="P586" s="79"/>
      <c r="V586"/>
      <c r="Y586"/>
      <c r="AE586"/>
    </row>
    <row r="587" spans="1:33">
      <c r="A587"/>
      <c r="B587"/>
      <c r="C587"/>
      <c r="E587" s="46"/>
      <c r="F587" s="46"/>
      <c r="G587"/>
      <c r="H587"/>
      <c r="I587"/>
      <c r="J587"/>
      <c r="K587"/>
      <c r="L587" s="79"/>
      <c r="P587" s="79"/>
      <c r="V587"/>
      <c r="Y587"/>
      <c r="AE587"/>
    </row>
    <row r="588" spans="1:33">
      <c r="A588"/>
      <c r="B588"/>
      <c r="C588"/>
      <c r="E588" s="46"/>
      <c r="F588" s="46"/>
      <c r="G588"/>
      <c r="H588"/>
      <c r="I588"/>
      <c r="J588"/>
      <c r="K588"/>
      <c r="L588" s="79"/>
      <c r="P588" s="79"/>
      <c r="V588"/>
      <c r="Y588"/>
      <c r="AE588"/>
    </row>
    <row r="589" spans="1:33">
      <c r="A589"/>
      <c r="B589"/>
      <c r="C589"/>
      <c r="E589" s="46"/>
      <c r="F589" s="46"/>
      <c r="G589"/>
      <c r="H589"/>
      <c r="I589"/>
      <c r="J589"/>
      <c r="K589"/>
      <c r="L589" s="79"/>
      <c r="P589" s="79"/>
      <c r="V589"/>
      <c r="Y589"/>
      <c r="AE589"/>
    </row>
    <row r="590" spans="1:33">
      <c r="A590"/>
      <c r="B590"/>
      <c r="C590"/>
      <c r="E590" s="46"/>
      <c r="F590" s="46"/>
      <c r="G590"/>
      <c r="H590"/>
      <c r="I590"/>
      <c r="J590"/>
      <c r="K590"/>
      <c r="L590" s="79"/>
      <c r="P590" s="79"/>
      <c r="V590"/>
      <c r="Y590"/>
      <c r="AE590"/>
    </row>
    <row r="591" spans="1:33">
      <c r="A591"/>
      <c r="B591"/>
      <c r="C591"/>
      <c r="E591" s="46"/>
      <c r="F591" s="46"/>
      <c r="G591"/>
      <c r="H591"/>
      <c r="I591"/>
      <c r="J591"/>
      <c r="K591"/>
      <c r="L591" s="79"/>
      <c r="P591" s="79"/>
      <c r="V591"/>
      <c r="Y591"/>
      <c r="AE591"/>
    </row>
    <row r="592" spans="1:33">
      <c r="A592"/>
      <c r="B592"/>
      <c r="C592"/>
      <c r="E592" s="46"/>
      <c r="F592" s="46"/>
      <c r="G592"/>
      <c r="H592"/>
      <c r="I592"/>
      <c r="J592"/>
      <c r="K592"/>
      <c r="L592" s="79"/>
      <c r="P592" s="79"/>
      <c r="V592"/>
      <c r="Y592"/>
      <c r="AE592"/>
    </row>
    <row r="593" spans="1:31">
      <c r="A593"/>
      <c r="B593"/>
      <c r="C593"/>
      <c r="E593" s="46"/>
      <c r="F593" s="46"/>
      <c r="G593"/>
      <c r="H593"/>
      <c r="I593"/>
      <c r="J593"/>
      <c r="K593"/>
      <c r="L593" s="79"/>
      <c r="P593" s="79"/>
      <c r="V593"/>
      <c r="Y593"/>
      <c r="AE593"/>
    </row>
    <row r="594" spans="1:31">
      <c r="A594"/>
      <c r="B594"/>
      <c r="C594"/>
      <c r="E594" s="46"/>
      <c r="F594" s="46"/>
      <c r="G594"/>
      <c r="H594"/>
      <c r="I594"/>
      <c r="J594"/>
      <c r="K594"/>
      <c r="L594" s="79"/>
      <c r="P594" s="79"/>
      <c r="V594"/>
      <c r="Y594"/>
      <c r="AE594"/>
    </row>
    <row r="595" spans="1:31">
      <c r="A595"/>
      <c r="B595"/>
      <c r="C595"/>
      <c r="E595" s="46"/>
      <c r="F595" s="46"/>
      <c r="G595"/>
      <c r="H595"/>
      <c r="I595"/>
      <c r="J595"/>
      <c r="K595"/>
      <c r="L595" s="79"/>
      <c r="P595" s="79"/>
      <c r="V595"/>
      <c r="Y595"/>
      <c r="AE595"/>
    </row>
    <row r="596" spans="1:31">
      <c r="A596"/>
      <c r="B596"/>
      <c r="C596"/>
      <c r="E596" s="46"/>
      <c r="F596" s="46"/>
      <c r="G596"/>
      <c r="H596"/>
      <c r="I596"/>
      <c r="J596"/>
      <c r="K596"/>
      <c r="L596" s="79"/>
      <c r="P596" s="79"/>
      <c r="V596"/>
      <c r="Y596"/>
      <c r="AE596"/>
    </row>
    <row r="597" spans="1:31">
      <c r="A597"/>
      <c r="B597"/>
      <c r="C597"/>
      <c r="E597" s="46"/>
      <c r="F597" s="46"/>
      <c r="G597"/>
      <c r="H597"/>
      <c r="I597"/>
      <c r="J597"/>
      <c r="K597"/>
      <c r="L597" s="79"/>
      <c r="P597" s="79"/>
      <c r="V597"/>
      <c r="Y597"/>
      <c r="AE597"/>
    </row>
    <row r="598" spans="1:31">
      <c r="A598"/>
      <c r="B598"/>
      <c r="C598"/>
      <c r="E598" s="46"/>
      <c r="F598" s="46"/>
      <c r="G598"/>
      <c r="H598"/>
      <c r="I598"/>
      <c r="J598"/>
      <c r="K598"/>
      <c r="L598" s="79"/>
      <c r="P598" s="79"/>
      <c r="V598"/>
      <c r="Y598"/>
      <c r="AE598"/>
    </row>
    <row r="599" spans="1:31">
      <c r="A599"/>
      <c r="B599"/>
      <c r="C599"/>
      <c r="E599" s="46"/>
      <c r="F599" s="46"/>
      <c r="G599"/>
      <c r="H599"/>
      <c r="I599"/>
      <c r="J599"/>
      <c r="K599"/>
      <c r="L599" s="79"/>
      <c r="P599" s="79"/>
      <c r="V599"/>
      <c r="Y599"/>
      <c r="AE599"/>
    </row>
    <row r="600" spans="1:31">
      <c r="A600"/>
      <c r="B600"/>
      <c r="C600"/>
      <c r="E600" s="46"/>
      <c r="F600" s="46"/>
      <c r="G600"/>
      <c r="H600"/>
      <c r="I600"/>
      <c r="J600"/>
      <c r="K600"/>
      <c r="L600" s="79"/>
      <c r="P600" s="79"/>
      <c r="V600"/>
      <c r="Y600"/>
      <c r="AE600"/>
    </row>
    <row r="601" spans="1:31">
      <c r="A601"/>
      <c r="B601"/>
      <c r="C601"/>
      <c r="E601" s="46"/>
      <c r="F601" s="46"/>
      <c r="G601"/>
      <c r="H601"/>
      <c r="I601"/>
      <c r="J601"/>
      <c r="K601"/>
      <c r="L601" s="79"/>
      <c r="P601" s="79"/>
      <c r="V601"/>
      <c r="Y601"/>
      <c r="AE601"/>
    </row>
    <row r="602" spans="1:31">
      <c r="A602"/>
      <c r="B602"/>
      <c r="C602"/>
      <c r="E602" s="46"/>
      <c r="F602" s="46"/>
      <c r="G602"/>
      <c r="H602"/>
      <c r="I602"/>
      <c r="J602"/>
      <c r="K602"/>
      <c r="L602" s="79"/>
      <c r="P602" s="79"/>
      <c r="V602"/>
      <c r="Y602"/>
      <c r="AE602"/>
    </row>
    <row r="603" spans="1:31">
      <c r="A603"/>
      <c r="B603"/>
      <c r="C603"/>
      <c r="E603" s="46"/>
      <c r="F603" s="46"/>
      <c r="G603"/>
      <c r="H603"/>
      <c r="I603"/>
      <c r="J603"/>
      <c r="K603"/>
      <c r="L603" s="79"/>
      <c r="P603" s="79"/>
      <c r="V603"/>
      <c r="Y603"/>
      <c r="AE603"/>
    </row>
    <row r="604" spans="1:31">
      <c r="A604"/>
      <c r="B604"/>
      <c r="C604"/>
      <c r="E604" s="46"/>
      <c r="F604" s="46"/>
      <c r="G604"/>
      <c r="H604"/>
      <c r="I604"/>
      <c r="J604"/>
      <c r="K604"/>
      <c r="L604" s="79"/>
      <c r="P604" s="79"/>
      <c r="V604"/>
      <c r="Y604"/>
      <c r="AE604"/>
    </row>
    <row r="605" spans="1:31">
      <c r="A605"/>
      <c r="B605"/>
      <c r="C605"/>
      <c r="E605" s="46"/>
      <c r="F605" s="46"/>
      <c r="G605"/>
      <c r="H605"/>
      <c r="I605"/>
      <c r="J605"/>
      <c r="K605"/>
      <c r="L605" s="79"/>
      <c r="P605" s="79"/>
      <c r="V605"/>
      <c r="Y605"/>
      <c r="AE605"/>
    </row>
    <row r="606" spans="1:31">
      <c r="A606"/>
      <c r="B606"/>
      <c r="C606"/>
      <c r="E606" s="46"/>
      <c r="F606" s="46"/>
      <c r="G606"/>
      <c r="H606"/>
      <c r="I606"/>
      <c r="J606"/>
      <c r="K606"/>
      <c r="L606" s="79"/>
      <c r="P606" s="79"/>
      <c r="V606"/>
      <c r="Y606"/>
      <c r="AE606"/>
    </row>
    <row r="607" spans="1:31">
      <c r="A607"/>
      <c r="B607"/>
      <c r="C607"/>
      <c r="E607" s="46"/>
      <c r="F607" s="46"/>
      <c r="G607"/>
      <c r="H607"/>
      <c r="I607"/>
      <c r="J607"/>
      <c r="K607"/>
      <c r="L607" s="79"/>
      <c r="P607" s="79"/>
      <c r="V607"/>
      <c r="Y607"/>
      <c r="AE607"/>
    </row>
    <row r="608" spans="1:31">
      <c r="A608"/>
      <c r="B608"/>
      <c r="C608"/>
      <c r="E608" s="46"/>
      <c r="F608" s="46"/>
      <c r="G608"/>
      <c r="H608"/>
      <c r="I608"/>
      <c r="J608"/>
      <c r="K608"/>
      <c r="L608" s="79"/>
      <c r="P608" s="79"/>
      <c r="V608"/>
      <c r="Y608"/>
      <c r="AE608"/>
    </row>
    <row r="609" spans="1:31">
      <c r="A609"/>
      <c r="B609"/>
      <c r="C609"/>
      <c r="E609" s="46"/>
      <c r="F609" s="46"/>
      <c r="G609"/>
      <c r="H609"/>
      <c r="I609"/>
      <c r="J609"/>
      <c r="K609"/>
      <c r="L609" s="79"/>
      <c r="P609" s="79"/>
      <c r="V609"/>
      <c r="Y609"/>
      <c r="AE609"/>
    </row>
    <row r="610" spans="1:31">
      <c r="A610"/>
      <c r="B610"/>
      <c r="C610"/>
      <c r="E610" s="46"/>
      <c r="F610" s="46"/>
      <c r="G610"/>
      <c r="H610"/>
      <c r="I610"/>
      <c r="J610"/>
      <c r="K610"/>
      <c r="L610" s="79"/>
      <c r="P610" s="79"/>
      <c r="V610"/>
      <c r="Y610"/>
      <c r="AE610"/>
    </row>
    <row r="611" spans="1:31">
      <c r="A611"/>
      <c r="B611"/>
      <c r="C611"/>
      <c r="E611" s="46"/>
      <c r="F611" s="46"/>
      <c r="G611"/>
      <c r="H611"/>
      <c r="I611"/>
      <c r="J611"/>
      <c r="K611"/>
      <c r="L611" s="79"/>
      <c r="P611" s="79"/>
      <c r="V611"/>
      <c r="Y611"/>
      <c r="AE611"/>
    </row>
    <row r="612" spans="1:31">
      <c r="A612"/>
      <c r="B612"/>
      <c r="C612"/>
      <c r="E612" s="46"/>
      <c r="F612" s="46"/>
      <c r="G612"/>
      <c r="H612"/>
      <c r="I612"/>
      <c r="J612"/>
      <c r="K612"/>
      <c r="L612" s="79"/>
      <c r="P612" s="79"/>
      <c r="V612"/>
      <c r="Y612"/>
      <c r="AE612"/>
    </row>
    <row r="613" spans="1:31">
      <c r="A613"/>
      <c r="B613"/>
      <c r="C613"/>
      <c r="E613" s="46"/>
      <c r="F613" s="46"/>
      <c r="G613"/>
      <c r="H613"/>
      <c r="I613"/>
      <c r="J613"/>
      <c r="K613"/>
      <c r="L613" s="79"/>
      <c r="P613" s="79"/>
      <c r="V613"/>
      <c r="Y613"/>
      <c r="AE613"/>
    </row>
    <row r="614" spans="1:31">
      <c r="A614"/>
      <c r="B614"/>
      <c r="C614"/>
      <c r="E614" s="46"/>
      <c r="F614" s="46"/>
      <c r="G614"/>
      <c r="H614"/>
      <c r="I614"/>
      <c r="J614"/>
      <c r="K614"/>
      <c r="L614" s="79"/>
      <c r="P614" s="79"/>
      <c r="V614"/>
      <c r="Y614"/>
      <c r="AE614"/>
    </row>
    <row r="615" spans="1:31">
      <c r="A615"/>
      <c r="B615"/>
      <c r="C615"/>
      <c r="E615" s="46"/>
      <c r="F615" s="46"/>
      <c r="G615"/>
      <c r="H615"/>
      <c r="I615"/>
      <c r="J615"/>
      <c r="K615"/>
      <c r="L615" s="79"/>
      <c r="P615" s="79"/>
      <c r="V615"/>
      <c r="Y615"/>
      <c r="AE615"/>
    </row>
    <row r="616" spans="1:31">
      <c r="A616"/>
      <c r="B616"/>
      <c r="C616"/>
      <c r="E616" s="46"/>
      <c r="F616" s="46"/>
      <c r="G616"/>
      <c r="H616"/>
      <c r="I616"/>
      <c r="J616"/>
      <c r="K616"/>
      <c r="L616" s="79"/>
      <c r="P616" s="79"/>
      <c r="V616"/>
      <c r="Y616"/>
      <c r="AE616"/>
    </row>
    <row r="617" spans="1:31">
      <c r="A617"/>
      <c r="B617"/>
      <c r="C617"/>
      <c r="E617" s="46"/>
      <c r="F617" s="46"/>
      <c r="G617"/>
      <c r="H617"/>
      <c r="I617"/>
      <c r="J617"/>
      <c r="K617"/>
      <c r="L617" s="79"/>
      <c r="P617" s="79"/>
      <c r="V617"/>
      <c r="Y617"/>
      <c r="AE617"/>
    </row>
    <row r="618" spans="1:31">
      <c r="A618"/>
      <c r="B618"/>
      <c r="C618"/>
      <c r="E618" s="46"/>
      <c r="F618" s="46"/>
      <c r="G618"/>
      <c r="H618"/>
      <c r="I618"/>
      <c r="J618"/>
      <c r="K618"/>
      <c r="L618" s="79"/>
      <c r="P618" s="79"/>
      <c r="V618"/>
      <c r="Y618"/>
      <c r="AE618"/>
    </row>
    <row r="619" spans="1:31">
      <c r="A619"/>
      <c r="B619"/>
      <c r="C619"/>
      <c r="E619" s="46"/>
      <c r="F619" s="46"/>
      <c r="G619"/>
      <c r="H619"/>
      <c r="I619"/>
      <c r="J619"/>
      <c r="K619"/>
      <c r="L619" s="79"/>
      <c r="P619" s="79"/>
      <c r="V619"/>
      <c r="Y619"/>
      <c r="AE619"/>
    </row>
    <row r="620" spans="1:31">
      <c r="A620"/>
      <c r="B620"/>
      <c r="C620"/>
      <c r="E620" s="46"/>
      <c r="F620" s="46"/>
      <c r="G620"/>
      <c r="H620"/>
      <c r="I620"/>
      <c r="J620"/>
      <c r="K620"/>
      <c r="L620" s="79"/>
      <c r="P620" s="79"/>
      <c r="V620"/>
      <c r="Y620"/>
      <c r="AE620"/>
    </row>
    <row r="621" spans="1:31">
      <c r="A621"/>
      <c r="B621"/>
      <c r="C621"/>
      <c r="E621" s="46"/>
      <c r="F621" s="46"/>
      <c r="G621"/>
      <c r="H621"/>
      <c r="I621"/>
      <c r="J621"/>
      <c r="K621"/>
      <c r="L621" s="79"/>
      <c r="P621" s="79"/>
      <c r="V621"/>
      <c r="Y621"/>
      <c r="AE621"/>
    </row>
    <row r="622" spans="1:31">
      <c r="B622" s="82"/>
      <c r="C622" s="82"/>
      <c r="E622" s="46"/>
      <c r="F622" s="46"/>
      <c r="G622" s="82"/>
      <c r="H622" s="82"/>
      <c r="I622" s="79"/>
      <c r="J622" s="79"/>
      <c r="K622" s="79"/>
      <c r="L622" s="79"/>
      <c r="M622" s="82"/>
      <c r="P622" s="79"/>
      <c r="T622" s="82"/>
      <c r="V622"/>
      <c r="Y622" s="82"/>
      <c r="AE622"/>
    </row>
    <row r="623" spans="1:31">
      <c r="B623" s="82"/>
      <c r="C623" s="82"/>
      <c r="E623" s="46"/>
      <c r="F623" s="46"/>
      <c r="G623" s="82"/>
      <c r="H623" s="82"/>
      <c r="I623" s="79"/>
      <c r="J623" s="79"/>
      <c r="K623" s="79"/>
      <c r="L623" s="79"/>
      <c r="M623" s="82"/>
      <c r="P623" s="79"/>
      <c r="T623" s="82"/>
      <c r="V623"/>
      <c r="Y623" s="82"/>
      <c r="AE623"/>
    </row>
    <row r="624" spans="1:31">
      <c r="B624" s="82"/>
      <c r="C624" s="82"/>
      <c r="E624" s="46"/>
      <c r="F624" s="46"/>
      <c r="G624" s="82"/>
      <c r="H624" s="82"/>
      <c r="I624" s="79"/>
      <c r="J624" s="79"/>
      <c r="K624" s="79"/>
      <c r="L624" s="79"/>
      <c r="M624" s="82"/>
      <c r="P624" s="79"/>
      <c r="T624" s="82"/>
      <c r="V624"/>
      <c r="Y624" s="82"/>
      <c r="AE624"/>
    </row>
    <row r="625" spans="2:31">
      <c r="B625" s="82"/>
      <c r="C625" s="82"/>
      <c r="E625" s="46"/>
      <c r="F625" s="46"/>
      <c r="G625" s="82"/>
      <c r="H625" s="82"/>
      <c r="I625" s="79"/>
      <c r="J625" s="79"/>
      <c r="K625" s="79"/>
      <c r="L625" s="79"/>
      <c r="M625" s="82"/>
      <c r="P625" s="79"/>
      <c r="T625" s="82"/>
      <c r="V625"/>
      <c r="Y625" s="82"/>
      <c r="AE625"/>
    </row>
    <row r="626" spans="2:31">
      <c r="B626" s="82"/>
      <c r="C626" s="82"/>
      <c r="E626" s="46"/>
      <c r="F626" s="46"/>
      <c r="G626" s="82"/>
      <c r="H626" s="82"/>
      <c r="I626" s="79"/>
      <c r="J626" s="79"/>
      <c r="K626" s="79"/>
      <c r="L626" s="79"/>
      <c r="M626" s="82"/>
      <c r="P626" s="79"/>
      <c r="T626" s="82"/>
      <c r="V626"/>
      <c r="Y626" s="82"/>
      <c r="AE626"/>
    </row>
    <row r="627" spans="2:31">
      <c r="B627" s="82"/>
      <c r="C627" s="82"/>
      <c r="E627" s="46"/>
      <c r="F627" s="46"/>
      <c r="G627" s="82"/>
      <c r="H627" s="82"/>
      <c r="I627" s="79"/>
      <c r="J627" s="79"/>
      <c r="K627" s="79"/>
      <c r="L627" s="79"/>
      <c r="M627" s="82"/>
      <c r="P627" s="79"/>
      <c r="T627" s="82"/>
      <c r="V627"/>
      <c r="Y627" s="82"/>
      <c r="AE627"/>
    </row>
    <row r="628" spans="2:31">
      <c r="B628" s="82"/>
      <c r="C628" s="82"/>
      <c r="E628" s="46"/>
      <c r="F628" s="46"/>
      <c r="G628" s="82"/>
      <c r="H628" s="82"/>
      <c r="I628" s="79"/>
      <c r="J628" s="79"/>
      <c r="K628" s="79"/>
      <c r="L628" s="79"/>
      <c r="M628" s="82"/>
      <c r="P628" s="79"/>
      <c r="T628" s="82"/>
      <c r="V628"/>
      <c r="Y628" s="82"/>
      <c r="AE628"/>
    </row>
    <row r="629" spans="2:31">
      <c r="B629" s="82"/>
      <c r="C629" s="82"/>
      <c r="E629" s="46"/>
      <c r="F629" s="46"/>
      <c r="G629" s="82"/>
      <c r="H629" s="82"/>
      <c r="I629" s="79"/>
      <c r="J629" s="79"/>
      <c r="K629" s="79"/>
      <c r="L629" s="79"/>
      <c r="M629" s="82"/>
      <c r="P629" s="79"/>
      <c r="T629" s="82"/>
      <c r="V629"/>
      <c r="Y629" s="82"/>
      <c r="AE629"/>
    </row>
    <row r="630" spans="2:31">
      <c r="B630" s="82"/>
      <c r="C630" s="82"/>
      <c r="E630" s="46"/>
      <c r="F630" s="46"/>
      <c r="G630" s="82"/>
      <c r="H630" s="82"/>
      <c r="I630" s="79"/>
      <c r="J630" s="79"/>
      <c r="K630" s="79"/>
      <c r="L630" s="79"/>
      <c r="M630" s="82"/>
      <c r="P630" s="79"/>
      <c r="T630" s="82"/>
      <c r="V630"/>
      <c r="Y630" s="82"/>
      <c r="AE630"/>
    </row>
    <row r="631" spans="2:31">
      <c r="B631" s="82"/>
      <c r="C631" s="82"/>
      <c r="E631" s="46"/>
      <c r="F631" s="46"/>
      <c r="G631" s="82"/>
      <c r="H631" s="82"/>
      <c r="I631" s="79"/>
      <c r="J631" s="79"/>
      <c r="K631" s="79"/>
      <c r="L631" s="79"/>
      <c r="M631" s="82"/>
      <c r="P631" s="79"/>
      <c r="T631" s="82"/>
      <c r="V631"/>
      <c r="Y631" s="82"/>
      <c r="AE631"/>
    </row>
    <row r="632" spans="2:31">
      <c r="B632" s="82"/>
      <c r="C632" s="82"/>
      <c r="E632" s="46"/>
      <c r="F632" s="46"/>
      <c r="G632" s="82"/>
      <c r="H632" s="82"/>
      <c r="I632" s="79"/>
      <c r="J632" s="79"/>
      <c r="K632" s="79"/>
      <c r="L632" s="79"/>
      <c r="M632" s="82"/>
      <c r="P632" s="79"/>
      <c r="T632" s="82"/>
      <c r="V632"/>
      <c r="Y632" s="82"/>
      <c r="AE632"/>
    </row>
    <row r="633" spans="2:31">
      <c r="B633" s="82"/>
      <c r="C633" s="82"/>
      <c r="E633" s="46"/>
      <c r="F633" s="46"/>
      <c r="G633" s="82"/>
      <c r="H633" s="82"/>
      <c r="I633" s="79"/>
      <c r="J633" s="79"/>
      <c r="K633" s="79"/>
      <c r="L633" s="79"/>
      <c r="M633" s="82"/>
      <c r="P633" s="79"/>
      <c r="T633" s="82"/>
      <c r="V633"/>
      <c r="Y633" s="82"/>
      <c r="AE633"/>
    </row>
    <row r="634" spans="2:31">
      <c r="B634" s="82"/>
      <c r="C634" s="82"/>
      <c r="E634" s="46"/>
      <c r="F634" s="46"/>
      <c r="G634" s="82"/>
      <c r="H634" s="82"/>
      <c r="I634" s="79"/>
      <c r="J634" s="79"/>
      <c r="K634" s="79"/>
      <c r="L634" s="79"/>
      <c r="M634" s="82"/>
      <c r="P634" s="79"/>
      <c r="T634" s="82"/>
      <c r="V634"/>
      <c r="Y634" s="82"/>
      <c r="AE634"/>
    </row>
    <row r="635" spans="2:31">
      <c r="B635" s="82"/>
      <c r="C635" s="82"/>
      <c r="E635" s="46"/>
      <c r="F635" s="46"/>
      <c r="G635" s="82"/>
      <c r="H635" s="82"/>
      <c r="I635" s="79"/>
      <c r="J635" s="79"/>
      <c r="K635" s="79"/>
      <c r="L635" s="79"/>
      <c r="M635" s="82"/>
      <c r="P635" s="79"/>
      <c r="T635" s="82"/>
      <c r="V635"/>
      <c r="Y635" s="82"/>
      <c r="AE635"/>
    </row>
    <row r="636" spans="2:31">
      <c r="B636" s="82"/>
      <c r="C636" s="82"/>
      <c r="E636" s="46"/>
      <c r="F636" s="46"/>
      <c r="G636" s="82"/>
      <c r="H636" s="82"/>
      <c r="I636" s="79"/>
      <c r="J636" s="79"/>
      <c r="K636" s="79"/>
      <c r="L636" s="79"/>
      <c r="M636" s="82"/>
      <c r="P636" s="79"/>
      <c r="T636" s="82"/>
      <c r="V636"/>
      <c r="Y636" s="82"/>
      <c r="AE636"/>
    </row>
    <row r="637" spans="2:31">
      <c r="B637" s="82"/>
      <c r="C637" s="82"/>
      <c r="E637" s="46"/>
      <c r="F637" s="46"/>
      <c r="G637" s="82"/>
      <c r="H637" s="82"/>
      <c r="I637" s="79"/>
      <c r="J637" s="79"/>
      <c r="K637" s="79"/>
      <c r="L637" s="79"/>
      <c r="M637" s="82"/>
      <c r="P637" s="79"/>
      <c r="T637" s="82"/>
      <c r="V637"/>
      <c r="Y637" s="82"/>
      <c r="AE637"/>
    </row>
    <row r="638" spans="2:31">
      <c r="B638" s="82"/>
      <c r="C638" s="82"/>
      <c r="E638" s="46"/>
      <c r="F638" s="46"/>
      <c r="G638" s="82"/>
      <c r="H638" s="82"/>
      <c r="I638" s="79"/>
      <c r="J638" s="79"/>
      <c r="K638" s="79"/>
      <c r="L638" s="79"/>
      <c r="M638" s="82"/>
      <c r="P638" s="79"/>
      <c r="T638" s="82"/>
      <c r="V638"/>
      <c r="Y638" s="82"/>
      <c r="AE638"/>
    </row>
    <row r="639" spans="2:31">
      <c r="B639" s="82"/>
      <c r="C639" s="82"/>
      <c r="E639" s="46"/>
      <c r="F639" s="46"/>
      <c r="G639" s="82"/>
      <c r="H639" s="82"/>
      <c r="I639" s="79"/>
      <c r="J639" s="79"/>
      <c r="K639" s="79"/>
      <c r="L639" s="79"/>
      <c r="M639" s="82"/>
      <c r="P639" s="79"/>
      <c r="T639" s="82"/>
      <c r="V639"/>
      <c r="Y639" s="82"/>
      <c r="AE639"/>
    </row>
    <row r="640" spans="2:31">
      <c r="B640" s="82"/>
      <c r="C640" s="82"/>
      <c r="E640" s="46"/>
      <c r="F640" s="46"/>
      <c r="G640" s="82"/>
      <c r="H640" s="82"/>
      <c r="I640" s="79"/>
      <c r="J640" s="79"/>
      <c r="K640" s="79"/>
      <c r="L640" s="79"/>
      <c r="M640" s="82"/>
      <c r="P640" s="79"/>
      <c r="T640" s="82"/>
      <c r="V640"/>
      <c r="Y640" s="82"/>
      <c r="AE640"/>
    </row>
    <row r="641" spans="2:31">
      <c r="B641" s="82"/>
      <c r="C641" s="82"/>
      <c r="E641" s="46"/>
      <c r="F641" s="46"/>
      <c r="G641" s="82"/>
      <c r="H641" s="82"/>
      <c r="I641" s="79"/>
      <c r="J641" s="79"/>
      <c r="K641" s="79"/>
      <c r="L641" s="79"/>
      <c r="M641" s="82"/>
      <c r="P641" s="79"/>
      <c r="T641" s="82"/>
      <c r="V641"/>
      <c r="Y641" s="82"/>
      <c r="AE641"/>
    </row>
    <row r="642" spans="2:31">
      <c r="B642" s="82"/>
      <c r="C642" s="82"/>
      <c r="E642" s="46"/>
      <c r="F642" s="46"/>
      <c r="G642" s="82"/>
      <c r="H642" s="82"/>
      <c r="I642" s="79"/>
      <c r="J642" s="79"/>
      <c r="K642" s="79"/>
      <c r="L642" s="79"/>
      <c r="M642" s="82"/>
      <c r="P642" s="79"/>
      <c r="T642" s="82"/>
      <c r="V642"/>
      <c r="Y642" s="82"/>
      <c r="AE642"/>
    </row>
    <row r="643" spans="2:31">
      <c r="B643" s="82"/>
      <c r="C643" s="82"/>
      <c r="E643" s="46"/>
      <c r="F643" s="46"/>
      <c r="G643" s="82"/>
      <c r="H643" s="82"/>
      <c r="I643" s="79"/>
      <c r="J643" s="79"/>
      <c r="K643" s="79"/>
      <c r="L643" s="79"/>
      <c r="M643" s="82"/>
      <c r="P643" s="79"/>
      <c r="T643" s="82"/>
      <c r="V643"/>
      <c r="Y643" s="82"/>
      <c r="AE643"/>
    </row>
    <row r="644" spans="2:31">
      <c r="B644" s="82"/>
      <c r="C644" s="82"/>
      <c r="E644" s="46"/>
      <c r="F644" s="46"/>
      <c r="G644" s="82"/>
      <c r="H644" s="82"/>
      <c r="I644" s="79"/>
      <c r="J644" s="79"/>
      <c r="K644" s="79"/>
      <c r="L644" s="79"/>
      <c r="M644" s="82"/>
      <c r="P644" s="79"/>
      <c r="T644" s="82"/>
      <c r="V644"/>
      <c r="Y644" s="82"/>
      <c r="AE644"/>
    </row>
    <row r="645" spans="2:31">
      <c r="B645" s="82"/>
      <c r="C645" s="82"/>
      <c r="E645" s="46"/>
      <c r="F645" s="46"/>
      <c r="G645" s="82"/>
      <c r="H645" s="82"/>
      <c r="I645" s="79"/>
      <c r="J645" s="79"/>
      <c r="K645" s="79"/>
      <c r="L645" s="79"/>
      <c r="M645" s="82"/>
      <c r="P645" s="79"/>
      <c r="T645" s="82"/>
      <c r="V645"/>
      <c r="Y645" s="82"/>
      <c r="AE645"/>
    </row>
    <row r="646" spans="2:31">
      <c r="B646" s="82"/>
      <c r="C646" s="82"/>
      <c r="E646" s="46"/>
      <c r="F646" s="46"/>
      <c r="G646" s="82"/>
      <c r="H646" s="82"/>
      <c r="I646" s="79"/>
      <c r="J646" s="79"/>
      <c r="K646" s="79"/>
      <c r="L646" s="79"/>
      <c r="M646" s="82"/>
      <c r="P646" s="79"/>
      <c r="T646" s="82"/>
      <c r="V646"/>
      <c r="Y646" s="82"/>
      <c r="AE646"/>
    </row>
    <row r="647" spans="2:31">
      <c r="B647" s="82"/>
      <c r="C647" s="82"/>
      <c r="E647" s="46"/>
      <c r="F647" s="46"/>
      <c r="G647" s="82"/>
      <c r="H647" s="82"/>
      <c r="I647" s="79"/>
      <c r="J647" s="79"/>
      <c r="K647" s="79"/>
      <c r="L647" s="79"/>
      <c r="M647" s="82"/>
      <c r="P647" s="79"/>
      <c r="T647" s="82"/>
      <c r="V647"/>
      <c r="Y647" s="82"/>
      <c r="AE647"/>
    </row>
    <row r="648" spans="2:31">
      <c r="B648" s="82"/>
      <c r="C648" s="82"/>
      <c r="E648" s="46"/>
      <c r="F648" s="46"/>
      <c r="G648" s="82"/>
      <c r="H648" s="82"/>
      <c r="I648" s="79"/>
      <c r="J648" s="79"/>
      <c r="K648" s="79"/>
      <c r="L648" s="79"/>
      <c r="M648" s="82"/>
      <c r="P648" s="79"/>
      <c r="T648" s="82"/>
      <c r="V648"/>
      <c r="Y648" s="82"/>
      <c r="AE648"/>
    </row>
    <row r="649" spans="2:31">
      <c r="B649" s="82"/>
      <c r="C649" s="82"/>
      <c r="E649" s="46"/>
      <c r="F649" s="46"/>
      <c r="G649" s="82"/>
      <c r="H649" s="82"/>
      <c r="I649" s="79"/>
      <c r="J649" s="79"/>
      <c r="K649" s="79"/>
      <c r="L649" s="79"/>
      <c r="M649" s="82"/>
      <c r="P649" s="79"/>
      <c r="T649" s="82"/>
      <c r="V649"/>
      <c r="Y649" s="82"/>
      <c r="AE649"/>
    </row>
    <row r="650" spans="2:31">
      <c r="B650" s="82"/>
      <c r="C650" s="82"/>
      <c r="E650" s="46"/>
      <c r="F650" s="46"/>
      <c r="G650" s="82"/>
      <c r="H650" s="82"/>
      <c r="I650" s="79"/>
      <c r="J650" s="79"/>
      <c r="K650" s="79"/>
      <c r="L650" s="79"/>
      <c r="M650" s="82"/>
      <c r="P650" s="79"/>
      <c r="T650" s="82"/>
      <c r="V650"/>
      <c r="Y650" s="82"/>
      <c r="AE650"/>
    </row>
    <row r="651" spans="2:31">
      <c r="B651" s="82"/>
      <c r="C651" s="82"/>
      <c r="E651" s="46"/>
      <c r="F651" s="46"/>
      <c r="G651" s="82"/>
      <c r="H651" s="82"/>
      <c r="I651" s="79"/>
      <c r="J651" s="79"/>
      <c r="K651" s="79"/>
      <c r="L651" s="79"/>
      <c r="M651" s="82"/>
      <c r="P651" s="79"/>
      <c r="T651" s="82"/>
      <c r="V651"/>
      <c r="Y651" s="82"/>
      <c r="AE651"/>
    </row>
    <row r="652" spans="2:31">
      <c r="B652" s="82"/>
      <c r="C652" s="82"/>
      <c r="E652" s="46"/>
      <c r="F652" s="46"/>
      <c r="G652" s="82"/>
      <c r="H652" s="82"/>
      <c r="I652" s="79"/>
      <c r="J652" s="79"/>
      <c r="K652" s="79"/>
      <c r="L652" s="79"/>
      <c r="M652" s="82"/>
      <c r="P652" s="79"/>
      <c r="T652" s="82"/>
      <c r="V652"/>
      <c r="Y652" s="82"/>
      <c r="AE652"/>
    </row>
    <row r="653" spans="2:31">
      <c r="B653" s="82"/>
      <c r="C653" s="82"/>
      <c r="E653" s="46"/>
      <c r="F653" s="46"/>
      <c r="G653" s="82"/>
      <c r="H653" s="82"/>
      <c r="I653" s="79"/>
      <c r="J653" s="79"/>
      <c r="K653" s="79"/>
      <c r="L653" s="79"/>
      <c r="M653" s="82"/>
      <c r="P653" s="79"/>
      <c r="T653" s="82"/>
      <c r="V653"/>
      <c r="Y653" s="82"/>
      <c r="AE653"/>
    </row>
    <row r="654" spans="2:31">
      <c r="B654" s="82"/>
      <c r="C654" s="82"/>
      <c r="E654" s="46"/>
      <c r="F654" s="46"/>
      <c r="G654" s="82"/>
      <c r="H654" s="82"/>
      <c r="I654" s="79"/>
      <c r="J654" s="79"/>
      <c r="K654" s="79"/>
      <c r="L654" s="79"/>
      <c r="M654" s="82"/>
      <c r="P654" s="79"/>
      <c r="T654" s="82"/>
      <c r="V654"/>
      <c r="Y654" s="82"/>
      <c r="AE654"/>
    </row>
    <row r="655" spans="2:31">
      <c r="B655" s="82"/>
      <c r="C655" s="82"/>
      <c r="E655" s="46"/>
      <c r="F655" s="46"/>
      <c r="G655" s="82"/>
      <c r="H655" s="82"/>
      <c r="I655" s="79"/>
      <c r="J655" s="79"/>
      <c r="K655" s="79"/>
      <c r="L655" s="79"/>
      <c r="M655" s="82"/>
      <c r="P655" s="79"/>
      <c r="T655" s="82"/>
      <c r="V655"/>
      <c r="Y655" s="82"/>
      <c r="AE655"/>
    </row>
    <row r="656" spans="2:31">
      <c r="B656" s="82"/>
      <c r="C656" s="82"/>
      <c r="E656" s="46"/>
      <c r="F656" s="46"/>
      <c r="G656" s="82"/>
      <c r="H656" s="82"/>
      <c r="I656" s="79"/>
      <c r="J656" s="79"/>
      <c r="K656" s="79"/>
      <c r="L656" s="79"/>
      <c r="M656" s="82"/>
      <c r="P656" s="79"/>
      <c r="T656" s="82"/>
      <c r="V656"/>
      <c r="Y656" s="82"/>
      <c r="AE656"/>
    </row>
    <row r="657" spans="2:31">
      <c r="B657" s="82"/>
      <c r="C657" s="82"/>
      <c r="E657" s="46"/>
      <c r="F657" s="46"/>
      <c r="G657" s="82"/>
      <c r="H657" s="82"/>
      <c r="I657" s="79"/>
      <c r="J657" s="79"/>
      <c r="K657" s="79"/>
      <c r="L657" s="79"/>
      <c r="M657" s="82"/>
      <c r="P657" s="79"/>
      <c r="T657" s="82"/>
      <c r="V657"/>
      <c r="Y657" s="82"/>
      <c r="AE657"/>
    </row>
    <row r="658" spans="2:31">
      <c r="B658" s="82"/>
      <c r="C658" s="82"/>
      <c r="E658" s="46"/>
      <c r="F658" s="46"/>
      <c r="G658" s="82"/>
      <c r="H658" s="82"/>
      <c r="I658" s="79"/>
      <c r="J658" s="79"/>
      <c r="K658" s="79"/>
      <c r="L658" s="79"/>
      <c r="M658" s="82"/>
      <c r="P658" s="79"/>
      <c r="T658" s="82"/>
      <c r="V658"/>
      <c r="Y658" s="82"/>
      <c r="AE658"/>
    </row>
    <row r="659" spans="2:31">
      <c r="B659" s="82"/>
      <c r="C659" s="82"/>
      <c r="E659" s="46"/>
      <c r="F659" s="46"/>
      <c r="G659" s="82"/>
      <c r="H659" s="82"/>
      <c r="I659" s="79"/>
      <c r="J659" s="79"/>
      <c r="K659" s="79"/>
      <c r="L659" s="79"/>
      <c r="M659" s="82"/>
      <c r="P659" s="79"/>
      <c r="T659" s="82"/>
      <c r="V659"/>
      <c r="Y659" s="82"/>
      <c r="AE659"/>
    </row>
    <row r="660" spans="2:31">
      <c r="B660" s="82"/>
      <c r="C660" s="82"/>
      <c r="E660" s="46"/>
      <c r="F660" s="46"/>
      <c r="G660" s="82"/>
      <c r="H660" s="82"/>
      <c r="I660" s="79"/>
      <c r="J660" s="79"/>
      <c r="K660" s="79"/>
      <c r="L660" s="79"/>
      <c r="M660" s="82"/>
      <c r="P660" s="79"/>
      <c r="T660" s="82"/>
      <c r="V660"/>
      <c r="Y660" s="82"/>
      <c r="AE660"/>
    </row>
    <row r="661" spans="2:31">
      <c r="B661" s="82"/>
      <c r="C661" s="82"/>
      <c r="E661" s="46"/>
      <c r="F661" s="46"/>
      <c r="G661" s="82"/>
      <c r="H661" s="82"/>
      <c r="I661" s="79"/>
      <c r="J661" s="79"/>
      <c r="K661" s="79"/>
      <c r="L661" s="79"/>
      <c r="M661" s="82"/>
      <c r="P661" s="79"/>
      <c r="T661" s="82"/>
      <c r="V661"/>
      <c r="Y661" s="82"/>
      <c r="AE661"/>
    </row>
    <row r="662" spans="2:31">
      <c r="B662" s="82"/>
      <c r="C662" s="82"/>
      <c r="E662" s="46"/>
      <c r="F662" s="46"/>
      <c r="G662" s="82"/>
      <c r="H662" s="82"/>
      <c r="I662" s="79"/>
      <c r="J662" s="79"/>
      <c r="K662" s="79"/>
      <c r="L662" s="79"/>
      <c r="M662" s="82"/>
      <c r="P662" s="79"/>
      <c r="T662" s="82"/>
      <c r="V662"/>
      <c r="Y662" s="82"/>
      <c r="AE662"/>
    </row>
    <row r="663" spans="2:31">
      <c r="B663" s="82"/>
      <c r="C663" s="82"/>
      <c r="E663" s="46"/>
      <c r="F663" s="46"/>
      <c r="G663" s="82"/>
      <c r="H663" s="82"/>
      <c r="I663" s="79"/>
      <c r="J663" s="79"/>
      <c r="K663" s="79"/>
      <c r="L663" s="79"/>
      <c r="M663" s="82"/>
      <c r="P663" s="79"/>
      <c r="T663" s="82"/>
      <c r="V663"/>
      <c r="Y663" s="82"/>
      <c r="AE663"/>
    </row>
    <row r="664" spans="2:31">
      <c r="B664" s="82"/>
      <c r="C664" s="82"/>
      <c r="E664" s="46"/>
      <c r="F664" s="46"/>
      <c r="G664" s="82"/>
      <c r="H664" s="82"/>
      <c r="I664" s="79"/>
      <c r="J664" s="79"/>
      <c r="K664" s="79"/>
      <c r="L664" s="79"/>
      <c r="M664" s="82"/>
      <c r="P664" s="79"/>
      <c r="T664" s="82"/>
      <c r="V664"/>
      <c r="Y664" s="82"/>
      <c r="AE664"/>
    </row>
    <row r="665" spans="2:31">
      <c r="B665" s="82"/>
      <c r="C665" s="82"/>
      <c r="E665" s="46"/>
      <c r="F665" s="46"/>
      <c r="G665" s="82"/>
      <c r="H665" s="82"/>
      <c r="I665" s="79"/>
      <c r="J665" s="79"/>
      <c r="K665" s="79"/>
      <c r="L665" s="79"/>
      <c r="M665" s="82"/>
      <c r="P665" s="79"/>
      <c r="T665" s="82"/>
      <c r="V665"/>
      <c r="Y665" s="82"/>
      <c r="AE665"/>
    </row>
    <row r="666" spans="2:31">
      <c r="B666" s="82"/>
      <c r="C666" s="82"/>
      <c r="E666" s="46"/>
      <c r="F666" s="46"/>
      <c r="G666" s="82"/>
      <c r="H666" s="82"/>
      <c r="I666" s="79"/>
      <c r="J666" s="79"/>
      <c r="K666" s="79"/>
      <c r="L666" s="79"/>
      <c r="M666" s="82"/>
      <c r="P666" s="79"/>
      <c r="T666" s="82"/>
      <c r="V666"/>
      <c r="Y666" s="82"/>
      <c r="AE666"/>
    </row>
    <row r="667" spans="2:31">
      <c r="B667" s="82"/>
      <c r="C667" s="82"/>
      <c r="E667" s="46"/>
      <c r="F667" s="46"/>
      <c r="G667" s="82"/>
      <c r="H667" s="82"/>
      <c r="I667" s="79"/>
      <c r="J667" s="79"/>
      <c r="K667" s="79"/>
      <c r="L667" s="79"/>
      <c r="M667" s="82"/>
      <c r="P667" s="79"/>
      <c r="T667" s="82"/>
      <c r="V667"/>
      <c r="Y667" s="82"/>
      <c r="AE667"/>
    </row>
    <row r="668" spans="2:31">
      <c r="B668" s="82"/>
      <c r="C668" s="82"/>
      <c r="E668" s="46"/>
      <c r="F668" s="46"/>
      <c r="G668" s="82"/>
      <c r="H668" s="82"/>
      <c r="I668" s="79"/>
      <c r="J668" s="79"/>
      <c r="K668" s="79"/>
      <c r="L668" s="79"/>
      <c r="M668" s="82"/>
      <c r="P668" s="79"/>
      <c r="T668" s="82"/>
      <c r="V668"/>
      <c r="Y668" s="82"/>
      <c r="AE668"/>
    </row>
    <row r="669" spans="2:31">
      <c r="B669" s="82"/>
      <c r="C669" s="82"/>
      <c r="E669" s="46"/>
      <c r="F669" s="46"/>
      <c r="G669" s="82"/>
      <c r="H669" s="82"/>
      <c r="I669" s="79"/>
      <c r="J669" s="79"/>
      <c r="K669" s="79"/>
      <c r="L669" s="79"/>
      <c r="M669" s="82"/>
      <c r="P669" s="79"/>
      <c r="T669" s="82"/>
      <c r="V669"/>
      <c r="Y669" s="82"/>
      <c r="AE669"/>
    </row>
    <row r="670" spans="2:31">
      <c r="B670" s="82"/>
      <c r="C670" s="82"/>
      <c r="E670" s="46"/>
      <c r="F670" s="46"/>
      <c r="G670" s="82"/>
      <c r="H670" s="82"/>
      <c r="I670" s="79"/>
      <c r="J670" s="79"/>
      <c r="K670" s="79"/>
      <c r="L670" s="79"/>
      <c r="M670" s="82"/>
      <c r="P670" s="79"/>
      <c r="T670" s="82"/>
      <c r="V670"/>
      <c r="Y670" s="82"/>
      <c r="AE670"/>
    </row>
    <row r="671" spans="2:31">
      <c r="B671" s="82"/>
      <c r="C671" s="82"/>
      <c r="E671" s="46"/>
      <c r="F671" s="46"/>
      <c r="G671" s="82"/>
      <c r="H671" s="82"/>
      <c r="I671" s="79"/>
      <c r="J671" s="79"/>
      <c r="K671" s="79"/>
      <c r="L671" s="79"/>
      <c r="M671" s="82"/>
      <c r="P671" s="79"/>
      <c r="T671" s="82"/>
      <c r="V671"/>
      <c r="Y671" s="82"/>
      <c r="AE671"/>
    </row>
    <row r="672" spans="2:31">
      <c r="B672" s="82"/>
      <c r="C672" s="82"/>
      <c r="E672" s="46"/>
      <c r="F672" s="46"/>
      <c r="G672" s="82"/>
      <c r="H672" s="82"/>
      <c r="I672" s="79"/>
      <c r="J672" s="79"/>
      <c r="K672" s="79"/>
      <c r="L672" s="79"/>
      <c r="M672" s="82"/>
      <c r="P672" s="79"/>
      <c r="T672" s="82"/>
      <c r="V672"/>
      <c r="Y672" s="82"/>
      <c r="AE672"/>
    </row>
    <row r="673" spans="2:31">
      <c r="B673" s="82"/>
      <c r="C673" s="82"/>
      <c r="E673" s="46"/>
      <c r="F673" s="46"/>
      <c r="G673" s="82"/>
      <c r="H673" s="82"/>
      <c r="I673" s="79"/>
      <c r="J673" s="79"/>
      <c r="K673" s="79"/>
      <c r="L673" s="79"/>
      <c r="M673" s="82"/>
      <c r="P673" s="79"/>
      <c r="T673" s="82"/>
      <c r="V673"/>
      <c r="Y673" s="82"/>
      <c r="AE673"/>
    </row>
    <row r="674" spans="2:31">
      <c r="B674" s="82"/>
      <c r="C674" s="82"/>
      <c r="E674" s="46"/>
      <c r="F674" s="46"/>
      <c r="G674" s="82"/>
      <c r="H674" s="82"/>
      <c r="I674" s="79"/>
      <c r="J674" s="79"/>
      <c r="K674" s="79"/>
      <c r="L674" s="79"/>
      <c r="M674" s="82"/>
      <c r="P674" s="79"/>
      <c r="T674" s="82"/>
      <c r="V674"/>
      <c r="Y674" s="82"/>
      <c r="AE674"/>
    </row>
    <row r="675" spans="2:31">
      <c r="B675" s="82"/>
      <c r="C675" s="82"/>
      <c r="E675" s="46"/>
      <c r="F675" s="46"/>
      <c r="G675" s="82"/>
      <c r="H675" s="82"/>
      <c r="I675" s="79"/>
      <c r="J675" s="79"/>
      <c r="K675" s="79"/>
      <c r="L675" s="79"/>
      <c r="M675" s="82"/>
      <c r="P675" s="79"/>
      <c r="T675" s="82"/>
      <c r="V675"/>
      <c r="Y675" s="82"/>
      <c r="AE675"/>
    </row>
    <row r="676" spans="2:31">
      <c r="B676" s="82"/>
      <c r="C676" s="82"/>
      <c r="E676" s="46"/>
      <c r="F676" s="46"/>
      <c r="G676" s="82"/>
      <c r="H676" s="82"/>
      <c r="I676" s="79"/>
      <c r="J676" s="79"/>
      <c r="K676" s="79"/>
      <c r="L676" s="79"/>
      <c r="M676" s="82"/>
      <c r="P676" s="79"/>
      <c r="T676" s="82"/>
      <c r="V676"/>
      <c r="Y676" s="82"/>
      <c r="AE676"/>
    </row>
    <row r="677" spans="2:31">
      <c r="B677" s="82"/>
      <c r="C677" s="82"/>
      <c r="E677" s="46"/>
      <c r="F677" s="46"/>
      <c r="G677" s="82"/>
      <c r="H677" s="82"/>
      <c r="I677" s="79"/>
      <c r="J677" s="79"/>
      <c r="K677" s="79"/>
      <c r="L677" s="79"/>
      <c r="M677" s="82"/>
      <c r="P677" s="79"/>
      <c r="T677" s="82"/>
      <c r="V677"/>
      <c r="Y677" s="82"/>
      <c r="AE677"/>
    </row>
    <row r="678" spans="2:31">
      <c r="B678" s="82"/>
      <c r="C678" s="82"/>
      <c r="E678" s="46"/>
      <c r="F678" s="46"/>
      <c r="G678" s="82"/>
      <c r="H678" s="82"/>
      <c r="I678" s="79"/>
      <c r="J678" s="79"/>
      <c r="K678" s="79"/>
      <c r="L678" s="79"/>
      <c r="M678" s="82"/>
      <c r="P678" s="79"/>
      <c r="T678" s="82"/>
      <c r="V678"/>
      <c r="Y678" s="82"/>
      <c r="AE678"/>
    </row>
    <row r="679" spans="2:31">
      <c r="B679" s="82"/>
      <c r="C679" s="82"/>
      <c r="E679" s="46"/>
      <c r="F679" s="46"/>
      <c r="G679" s="82"/>
      <c r="H679" s="82"/>
      <c r="I679" s="79"/>
      <c r="J679" s="79"/>
      <c r="K679" s="79"/>
      <c r="L679" s="79"/>
      <c r="M679" s="82"/>
      <c r="P679" s="79"/>
      <c r="T679" s="82"/>
      <c r="V679"/>
      <c r="Y679" s="82"/>
      <c r="AE679"/>
    </row>
    <row r="680" spans="2:31">
      <c r="B680" s="82"/>
      <c r="C680" s="82"/>
      <c r="E680" s="46"/>
      <c r="F680" s="46"/>
      <c r="G680" s="82"/>
      <c r="H680" s="82"/>
      <c r="I680" s="79"/>
      <c r="J680" s="79"/>
      <c r="K680" s="79"/>
      <c r="L680" s="79"/>
      <c r="M680" s="82"/>
      <c r="P680" s="79"/>
      <c r="T680" s="82"/>
      <c r="V680"/>
      <c r="Y680" s="82"/>
      <c r="AE680"/>
    </row>
    <row r="681" spans="2:31">
      <c r="B681" s="82"/>
      <c r="C681" s="82"/>
      <c r="E681" s="46"/>
      <c r="F681" s="46"/>
      <c r="G681" s="82"/>
      <c r="H681" s="82"/>
      <c r="I681" s="79"/>
      <c r="J681" s="79"/>
      <c r="K681" s="79"/>
      <c r="L681" s="79"/>
      <c r="M681" s="82"/>
      <c r="P681" s="79"/>
      <c r="T681" s="82"/>
      <c r="V681"/>
      <c r="Y681" s="82"/>
      <c r="AE681"/>
    </row>
    <row r="682" spans="2:31">
      <c r="B682" s="82"/>
      <c r="C682" s="82"/>
      <c r="E682" s="46"/>
      <c r="F682" s="46"/>
      <c r="G682" s="82"/>
      <c r="H682" s="82"/>
      <c r="I682" s="79"/>
      <c r="J682" s="79"/>
      <c r="K682" s="79"/>
      <c r="L682" s="79"/>
      <c r="M682" s="82"/>
      <c r="P682" s="79"/>
      <c r="T682" s="82"/>
      <c r="V682"/>
      <c r="Y682" s="82"/>
      <c r="AE682"/>
    </row>
    <row r="683" spans="2:31">
      <c r="B683" s="82"/>
      <c r="C683" s="82"/>
      <c r="E683" s="46"/>
      <c r="F683" s="46"/>
      <c r="G683" s="82"/>
      <c r="H683" s="82"/>
      <c r="I683" s="79"/>
      <c r="J683" s="79"/>
      <c r="K683" s="79"/>
      <c r="L683" s="79"/>
      <c r="M683" s="82"/>
      <c r="P683" s="79"/>
      <c r="T683" s="82"/>
      <c r="V683"/>
      <c r="Y683" s="82"/>
      <c r="AE683"/>
    </row>
    <row r="684" spans="2:31">
      <c r="B684" s="82"/>
      <c r="C684" s="82"/>
      <c r="E684" s="46"/>
      <c r="F684" s="46"/>
      <c r="G684" s="82"/>
      <c r="H684" s="82"/>
      <c r="I684" s="79"/>
      <c r="J684" s="79"/>
      <c r="K684" s="79"/>
      <c r="L684" s="79"/>
      <c r="M684" s="82"/>
      <c r="P684" s="79"/>
      <c r="T684" s="82"/>
      <c r="V684"/>
      <c r="Y684" s="82"/>
      <c r="AE684"/>
    </row>
    <row r="685" spans="2:31">
      <c r="B685" s="82"/>
      <c r="C685" s="82"/>
      <c r="E685" s="46"/>
      <c r="F685" s="46"/>
      <c r="G685" s="82"/>
      <c r="H685" s="82"/>
      <c r="I685" s="79"/>
      <c r="J685" s="79"/>
      <c r="K685" s="79"/>
      <c r="L685" s="79"/>
      <c r="M685" s="82"/>
      <c r="P685" s="79"/>
      <c r="T685" s="82"/>
      <c r="V685"/>
      <c r="Y685" s="82"/>
      <c r="AE685"/>
    </row>
    <row r="686" spans="2:31">
      <c r="B686" s="82"/>
      <c r="C686" s="82"/>
      <c r="E686" s="46"/>
      <c r="F686" s="46"/>
      <c r="G686" s="82"/>
      <c r="H686" s="82"/>
      <c r="I686" s="79"/>
      <c r="J686" s="79"/>
      <c r="K686" s="79"/>
      <c r="L686" s="79"/>
      <c r="M686" s="82"/>
      <c r="P686" s="79"/>
      <c r="T686" s="82"/>
      <c r="V686"/>
      <c r="Y686" s="82"/>
      <c r="AE686"/>
    </row>
    <row r="687" spans="2:31">
      <c r="B687" s="82"/>
      <c r="C687" s="82"/>
      <c r="E687" s="46"/>
      <c r="F687" s="46"/>
      <c r="G687" s="82"/>
      <c r="H687" s="82"/>
      <c r="I687" s="79"/>
      <c r="J687" s="79"/>
      <c r="K687" s="79"/>
      <c r="L687" s="79"/>
      <c r="M687" s="82"/>
      <c r="P687" s="79"/>
      <c r="T687" s="82"/>
      <c r="V687"/>
      <c r="Y687" s="82"/>
      <c r="AE687"/>
    </row>
    <row r="688" spans="2:31">
      <c r="B688" s="82"/>
      <c r="C688" s="82"/>
      <c r="E688" s="46"/>
      <c r="F688" s="46"/>
      <c r="G688" s="82"/>
      <c r="H688" s="82"/>
      <c r="I688" s="79"/>
      <c r="J688" s="79"/>
      <c r="K688" s="79"/>
      <c r="L688" s="79"/>
      <c r="M688" s="82"/>
      <c r="P688" s="79"/>
      <c r="T688" s="82"/>
      <c r="V688"/>
      <c r="Y688" s="82"/>
      <c r="AE688"/>
    </row>
    <row r="689" spans="2:31">
      <c r="B689" s="82"/>
      <c r="C689" s="82"/>
      <c r="E689" s="46"/>
      <c r="F689" s="46"/>
      <c r="G689" s="82"/>
      <c r="H689" s="82"/>
      <c r="I689" s="79"/>
      <c r="J689" s="79"/>
      <c r="K689" s="79"/>
      <c r="L689" s="79"/>
      <c r="M689" s="82"/>
      <c r="P689" s="79"/>
      <c r="T689" s="82"/>
      <c r="V689"/>
      <c r="Y689" s="82"/>
      <c r="AE689"/>
    </row>
    <row r="690" spans="2:31">
      <c r="B690" s="82"/>
      <c r="C690" s="82"/>
      <c r="E690" s="46"/>
      <c r="F690" s="46"/>
      <c r="G690" s="82"/>
      <c r="H690" s="82"/>
      <c r="I690" s="79"/>
      <c r="J690" s="79"/>
      <c r="K690" s="79"/>
      <c r="L690" s="79"/>
      <c r="M690" s="82"/>
      <c r="P690" s="79"/>
      <c r="T690" s="82"/>
      <c r="V690"/>
      <c r="Y690" s="82"/>
      <c r="AE690"/>
    </row>
    <row r="691" spans="2:31">
      <c r="B691" s="82"/>
      <c r="C691" s="82"/>
      <c r="E691" s="46"/>
      <c r="F691" s="46"/>
      <c r="G691" s="82"/>
      <c r="H691" s="82"/>
      <c r="I691" s="79"/>
      <c r="J691" s="79"/>
      <c r="K691" s="79"/>
      <c r="L691" s="79"/>
      <c r="M691" s="82"/>
      <c r="P691" s="79"/>
      <c r="T691" s="82"/>
      <c r="V691"/>
      <c r="Y691" s="82"/>
      <c r="AE691"/>
    </row>
    <row r="692" spans="2:31">
      <c r="B692" s="82"/>
      <c r="C692" s="82"/>
      <c r="E692" s="46"/>
      <c r="F692" s="46"/>
      <c r="G692" s="82"/>
      <c r="H692" s="82"/>
      <c r="I692" s="79"/>
      <c r="J692" s="79"/>
      <c r="K692" s="79"/>
      <c r="L692" s="79"/>
      <c r="M692" s="82"/>
      <c r="P692" s="79"/>
      <c r="T692" s="82"/>
      <c r="V692"/>
      <c r="Y692" s="82"/>
      <c r="AE692"/>
    </row>
    <row r="693" spans="2:31">
      <c r="B693" s="82"/>
      <c r="C693" s="82"/>
      <c r="E693" s="46"/>
      <c r="F693" s="46"/>
      <c r="G693" s="82"/>
      <c r="H693" s="82"/>
      <c r="I693" s="79"/>
      <c r="J693" s="79"/>
      <c r="K693" s="79"/>
      <c r="L693" s="79"/>
      <c r="M693" s="82"/>
      <c r="P693" s="79"/>
      <c r="T693" s="82"/>
      <c r="V693"/>
      <c r="Y693" s="82"/>
      <c r="AE693"/>
    </row>
    <row r="694" spans="2:31">
      <c r="B694" s="82"/>
      <c r="C694" s="82"/>
      <c r="E694" s="46"/>
      <c r="F694" s="46"/>
      <c r="G694" s="82"/>
      <c r="H694" s="82"/>
      <c r="I694" s="79"/>
      <c r="J694" s="79"/>
      <c r="K694" s="79"/>
      <c r="L694" s="79"/>
      <c r="M694" s="82"/>
      <c r="P694" s="79"/>
      <c r="T694" s="82"/>
      <c r="V694"/>
      <c r="Y694" s="82"/>
      <c r="AE694"/>
    </row>
    <row r="695" spans="2:31">
      <c r="B695" s="82"/>
      <c r="C695" s="82"/>
      <c r="E695" s="46"/>
      <c r="F695" s="46"/>
      <c r="G695" s="82"/>
      <c r="H695" s="82"/>
      <c r="I695" s="79"/>
      <c r="J695" s="79"/>
      <c r="K695" s="79"/>
      <c r="L695" s="79"/>
      <c r="M695" s="82"/>
      <c r="P695" s="79"/>
      <c r="T695" s="82"/>
      <c r="V695"/>
      <c r="Y695" s="82"/>
      <c r="AE695"/>
    </row>
    <row r="696" spans="2:31">
      <c r="B696" s="82"/>
      <c r="C696" s="82"/>
      <c r="E696" s="46"/>
      <c r="F696" s="46"/>
      <c r="G696" s="82"/>
      <c r="H696" s="82"/>
      <c r="I696" s="79"/>
      <c r="J696" s="79"/>
      <c r="K696" s="79"/>
      <c r="L696" s="79"/>
      <c r="M696" s="82"/>
      <c r="P696" s="79"/>
      <c r="T696" s="82"/>
      <c r="V696"/>
      <c r="Y696" s="82"/>
      <c r="AE696"/>
    </row>
    <row r="697" spans="2:31">
      <c r="B697" s="82"/>
      <c r="C697" s="82"/>
      <c r="E697" s="46"/>
      <c r="F697" s="46"/>
      <c r="G697" s="82"/>
      <c r="H697" s="82"/>
      <c r="I697" s="79"/>
      <c r="J697" s="79"/>
      <c r="K697" s="79"/>
      <c r="L697" s="79"/>
      <c r="M697" s="82"/>
      <c r="P697" s="79"/>
      <c r="T697" s="82"/>
      <c r="V697"/>
      <c r="Y697" s="82"/>
      <c r="AE697"/>
    </row>
    <row r="698" spans="2:31">
      <c r="B698" s="82"/>
      <c r="C698" s="82"/>
      <c r="E698" s="46"/>
      <c r="F698" s="46"/>
      <c r="G698" s="82"/>
      <c r="H698" s="82"/>
      <c r="I698" s="79"/>
      <c r="J698" s="79"/>
      <c r="K698" s="79"/>
      <c r="L698" s="79"/>
      <c r="M698" s="82"/>
      <c r="P698" s="79"/>
      <c r="T698" s="82"/>
      <c r="V698"/>
      <c r="Y698" s="82"/>
      <c r="AE698"/>
    </row>
    <row r="699" spans="2:31">
      <c r="B699" s="82"/>
      <c r="C699" s="82"/>
      <c r="E699" s="46"/>
      <c r="F699" s="46"/>
      <c r="G699" s="82"/>
      <c r="H699" s="82"/>
      <c r="I699" s="79"/>
      <c r="J699" s="79"/>
      <c r="K699" s="79"/>
      <c r="L699" s="79"/>
      <c r="M699" s="82"/>
      <c r="P699" s="79"/>
      <c r="T699" s="82"/>
      <c r="V699"/>
      <c r="Y699" s="82"/>
      <c r="AE699"/>
    </row>
    <row r="700" spans="2:31">
      <c r="B700" s="82"/>
      <c r="C700" s="82"/>
      <c r="E700" s="46"/>
      <c r="F700" s="46"/>
      <c r="G700" s="82"/>
      <c r="H700" s="82"/>
      <c r="I700" s="79"/>
      <c r="J700" s="79"/>
      <c r="K700" s="79"/>
      <c r="L700" s="79"/>
      <c r="M700" s="82"/>
      <c r="P700" s="79"/>
      <c r="T700" s="82"/>
      <c r="V700"/>
      <c r="Y700" s="82"/>
      <c r="AE700"/>
    </row>
    <row r="701" spans="2:31">
      <c r="B701" s="82"/>
      <c r="C701" s="82"/>
      <c r="E701" s="46"/>
      <c r="F701" s="46"/>
      <c r="G701" s="82"/>
      <c r="H701" s="82"/>
      <c r="I701" s="79"/>
      <c r="J701" s="79"/>
      <c r="K701" s="79"/>
      <c r="L701" s="79"/>
      <c r="M701" s="82"/>
      <c r="P701" s="79"/>
      <c r="T701" s="82"/>
      <c r="V701"/>
      <c r="Y701" s="82"/>
      <c r="AE701"/>
    </row>
    <row r="702" spans="2:31">
      <c r="B702" s="82"/>
      <c r="C702" s="82"/>
      <c r="E702" s="46"/>
      <c r="F702" s="46"/>
      <c r="G702" s="82"/>
      <c r="H702" s="82"/>
      <c r="I702" s="79"/>
      <c r="J702" s="79"/>
      <c r="K702" s="79"/>
      <c r="L702" s="79"/>
      <c r="M702" s="82"/>
      <c r="P702" s="79"/>
      <c r="T702" s="82"/>
      <c r="V702"/>
      <c r="Y702" s="82"/>
      <c r="AE702"/>
    </row>
    <row r="703" spans="2:31">
      <c r="B703" s="82"/>
      <c r="C703" s="82"/>
      <c r="E703" s="46"/>
      <c r="F703" s="46"/>
      <c r="G703" s="82"/>
      <c r="H703" s="82"/>
      <c r="I703" s="79"/>
      <c r="J703" s="79"/>
      <c r="K703" s="79"/>
      <c r="L703" s="79"/>
      <c r="M703" s="82"/>
      <c r="P703" s="79"/>
      <c r="T703" s="82"/>
      <c r="V703"/>
      <c r="Y703" s="82"/>
      <c r="AE703"/>
    </row>
    <row r="704" spans="2:31">
      <c r="B704" s="82"/>
      <c r="C704" s="82"/>
      <c r="E704" s="46"/>
      <c r="F704" s="46"/>
      <c r="G704" s="82"/>
      <c r="H704" s="82"/>
      <c r="I704" s="79"/>
      <c r="J704" s="79"/>
      <c r="K704" s="79"/>
      <c r="L704" s="79"/>
      <c r="M704" s="82"/>
      <c r="P704" s="79"/>
      <c r="T704" s="82"/>
      <c r="V704"/>
      <c r="Y704" s="82"/>
      <c r="AE704"/>
    </row>
    <row r="705" spans="2:31">
      <c r="B705" s="82"/>
      <c r="C705" s="82"/>
      <c r="E705" s="46"/>
      <c r="F705" s="46"/>
      <c r="G705" s="82"/>
      <c r="H705" s="82"/>
      <c r="I705" s="79"/>
      <c r="J705" s="79"/>
      <c r="K705" s="79"/>
      <c r="L705" s="79"/>
      <c r="M705" s="82"/>
      <c r="P705" s="79"/>
      <c r="T705" s="82"/>
      <c r="V705"/>
      <c r="Y705" s="82"/>
      <c r="AE705"/>
    </row>
    <row r="706" spans="2:31">
      <c r="B706" s="82"/>
      <c r="C706" s="82"/>
      <c r="E706" s="46"/>
      <c r="F706" s="46"/>
      <c r="G706" s="82"/>
      <c r="H706" s="82"/>
      <c r="I706" s="79"/>
      <c r="J706" s="79"/>
      <c r="K706" s="79"/>
      <c r="L706" s="79"/>
      <c r="M706" s="82"/>
      <c r="P706" s="79"/>
      <c r="T706" s="82"/>
      <c r="V706"/>
      <c r="Y706" s="82"/>
      <c r="AE706"/>
    </row>
    <row r="707" spans="2:31">
      <c r="B707" s="82"/>
      <c r="C707" s="82"/>
      <c r="E707" s="46"/>
      <c r="F707" s="46"/>
      <c r="G707" s="82"/>
      <c r="H707" s="82"/>
      <c r="I707" s="79"/>
      <c r="J707" s="79"/>
      <c r="K707" s="79"/>
      <c r="L707" s="79"/>
      <c r="M707" s="82"/>
      <c r="P707" s="79"/>
      <c r="T707" s="82"/>
      <c r="V707"/>
      <c r="Y707" s="82"/>
      <c r="AE707"/>
    </row>
    <row r="708" spans="2:31">
      <c r="B708" s="82"/>
      <c r="C708" s="82"/>
      <c r="E708" s="46"/>
      <c r="F708" s="46"/>
      <c r="G708" s="82"/>
      <c r="H708" s="82"/>
      <c r="I708" s="79"/>
      <c r="J708" s="79"/>
      <c r="K708" s="79"/>
      <c r="L708" s="79"/>
      <c r="M708" s="82"/>
      <c r="P708" s="79"/>
      <c r="T708" s="82"/>
      <c r="V708"/>
      <c r="Y708" s="82"/>
      <c r="AE708"/>
    </row>
    <row r="709" spans="2:31">
      <c r="B709" s="82"/>
      <c r="C709" s="82"/>
      <c r="E709" s="46"/>
      <c r="F709" s="46"/>
      <c r="G709" s="82"/>
      <c r="H709" s="82"/>
      <c r="I709" s="79"/>
      <c r="J709" s="79"/>
      <c r="K709" s="79"/>
      <c r="L709" s="79"/>
      <c r="M709" s="82"/>
      <c r="P709" s="79"/>
      <c r="T709" s="82"/>
      <c r="V709"/>
      <c r="Y709" s="82"/>
      <c r="AE709"/>
    </row>
    <row r="710" spans="2:31">
      <c r="B710" s="82"/>
      <c r="C710" s="82"/>
      <c r="E710" s="46"/>
      <c r="F710" s="46"/>
      <c r="G710" s="82"/>
      <c r="H710" s="82"/>
      <c r="I710" s="79"/>
      <c r="J710" s="79"/>
      <c r="K710" s="79"/>
      <c r="L710" s="79"/>
      <c r="M710" s="82"/>
      <c r="P710" s="79"/>
      <c r="T710" s="82"/>
      <c r="V710"/>
      <c r="Y710" s="82"/>
      <c r="AE710"/>
    </row>
    <row r="711" spans="2:31">
      <c r="B711" s="82"/>
      <c r="C711" s="82"/>
      <c r="E711" s="46"/>
      <c r="F711" s="46"/>
      <c r="G711" s="82"/>
      <c r="H711" s="82"/>
      <c r="I711" s="79"/>
      <c r="J711" s="79"/>
      <c r="K711" s="79"/>
      <c r="L711" s="79"/>
      <c r="M711" s="82"/>
      <c r="P711" s="79"/>
      <c r="T711" s="82"/>
      <c r="V711"/>
      <c r="Y711" s="82"/>
      <c r="AE711"/>
    </row>
    <row r="712" spans="2:31">
      <c r="B712" s="82"/>
      <c r="C712" s="82"/>
      <c r="E712" s="46"/>
      <c r="F712" s="46"/>
      <c r="G712" s="82"/>
      <c r="H712" s="82"/>
      <c r="I712" s="79"/>
      <c r="J712" s="79"/>
      <c r="K712" s="79"/>
      <c r="L712" s="79"/>
      <c r="M712" s="82"/>
      <c r="P712" s="79"/>
      <c r="T712" s="82"/>
      <c r="V712"/>
      <c r="Y712" s="82"/>
      <c r="AE712"/>
    </row>
    <row r="713" spans="2:31">
      <c r="B713" s="82"/>
      <c r="C713" s="82"/>
      <c r="E713" s="46"/>
      <c r="F713" s="46"/>
      <c r="G713" s="82"/>
      <c r="H713" s="82"/>
      <c r="I713" s="79"/>
      <c r="J713" s="79"/>
      <c r="K713" s="79"/>
      <c r="L713" s="79"/>
      <c r="M713" s="82"/>
      <c r="P713" s="79"/>
      <c r="T713" s="82"/>
      <c r="V713"/>
      <c r="Y713" s="82"/>
      <c r="AE713"/>
    </row>
    <row r="714" spans="2:31">
      <c r="B714" s="82"/>
      <c r="C714" s="82"/>
      <c r="E714" s="46"/>
      <c r="F714" s="46"/>
      <c r="G714" s="82"/>
      <c r="H714" s="82"/>
      <c r="I714" s="79"/>
      <c r="J714" s="79"/>
      <c r="K714" s="79"/>
      <c r="L714" s="79"/>
      <c r="M714" s="82"/>
      <c r="P714" s="79"/>
      <c r="T714" s="82"/>
      <c r="V714"/>
      <c r="Y714" s="82"/>
      <c r="AE714"/>
    </row>
    <row r="715" spans="2:31">
      <c r="B715" s="82"/>
      <c r="C715" s="82"/>
      <c r="E715" s="46"/>
      <c r="F715" s="46"/>
      <c r="G715" s="82"/>
      <c r="H715" s="82"/>
      <c r="I715" s="79"/>
      <c r="J715" s="79"/>
      <c r="K715" s="79"/>
      <c r="L715" s="79"/>
      <c r="M715" s="82"/>
      <c r="P715" s="79"/>
      <c r="T715" s="82"/>
      <c r="V715"/>
      <c r="Y715" s="82"/>
      <c r="AE715"/>
    </row>
    <row r="716" spans="2:31">
      <c r="B716" s="82"/>
      <c r="C716" s="82"/>
      <c r="E716" s="46"/>
      <c r="F716" s="46"/>
      <c r="G716" s="82"/>
      <c r="H716" s="82"/>
      <c r="I716" s="79"/>
      <c r="J716" s="79"/>
      <c r="K716" s="79"/>
      <c r="L716" s="79"/>
      <c r="M716" s="82"/>
      <c r="P716" s="79"/>
      <c r="T716" s="82"/>
      <c r="V716"/>
      <c r="Y716" s="82"/>
      <c r="AE716"/>
    </row>
    <row r="717" spans="2:31">
      <c r="B717" s="82"/>
      <c r="C717" s="82"/>
      <c r="E717" s="46"/>
      <c r="F717" s="46"/>
      <c r="G717" s="82"/>
      <c r="H717" s="82"/>
      <c r="I717" s="79"/>
      <c r="J717" s="79"/>
      <c r="K717" s="79"/>
      <c r="L717" s="79"/>
      <c r="M717" s="82"/>
      <c r="P717" s="79"/>
      <c r="T717" s="82"/>
      <c r="V717"/>
      <c r="Y717" s="82"/>
      <c r="AE717"/>
    </row>
    <row r="718" spans="2:31">
      <c r="B718" s="82"/>
      <c r="C718" s="82"/>
      <c r="E718" s="46"/>
      <c r="F718" s="46"/>
      <c r="G718" s="82"/>
      <c r="H718" s="82"/>
      <c r="I718" s="79"/>
      <c r="J718" s="79"/>
      <c r="K718" s="79"/>
      <c r="L718" s="79"/>
      <c r="M718" s="82"/>
      <c r="P718" s="79"/>
      <c r="T718" s="82"/>
      <c r="V718"/>
      <c r="Y718" s="82"/>
      <c r="AE718"/>
    </row>
    <row r="719" spans="2:31">
      <c r="B719" s="82"/>
      <c r="C719" s="82"/>
      <c r="E719" s="46"/>
      <c r="F719" s="46"/>
      <c r="G719" s="82"/>
      <c r="H719" s="82"/>
      <c r="I719" s="79"/>
      <c r="J719" s="79"/>
      <c r="K719" s="79"/>
      <c r="L719" s="79"/>
      <c r="M719" s="82"/>
      <c r="P719" s="79"/>
      <c r="T719" s="82"/>
      <c r="V719"/>
      <c r="Y719" s="82"/>
      <c r="AE719"/>
    </row>
    <row r="720" spans="2:31">
      <c r="B720" s="82"/>
      <c r="C720" s="82"/>
      <c r="E720" s="46"/>
      <c r="F720" s="46"/>
      <c r="G720" s="82"/>
      <c r="H720" s="82"/>
      <c r="I720" s="79"/>
      <c r="J720" s="79"/>
      <c r="K720" s="79"/>
      <c r="L720" s="79"/>
      <c r="M720" s="82"/>
      <c r="P720" s="79"/>
      <c r="T720" s="82"/>
      <c r="V720"/>
      <c r="Y720" s="82"/>
      <c r="AE720"/>
    </row>
    <row r="721" spans="2:31">
      <c r="B721" s="82"/>
      <c r="C721" s="82"/>
      <c r="E721" s="46"/>
      <c r="F721" s="46"/>
      <c r="G721" s="82"/>
      <c r="H721" s="82"/>
      <c r="I721" s="79"/>
      <c r="J721" s="79"/>
      <c r="K721" s="79"/>
      <c r="L721" s="79"/>
      <c r="M721" s="82"/>
      <c r="P721" s="79"/>
      <c r="T721" s="82"/>
      <c r="V721"/>
      <c r="Y721" s="82"/>
      <c r="AE721"/>
    </row>
    <row r="722" spans="2:31">
      <c r="B722" s="82"/>
      <c r="C722" s="82"/>
      <c r="E722" s="46"/>
      <c r="F722" s="46"/>
      <c r="G722" s="82"/>
      <c r="H722" s="82"/>
      <c r="I722" s="79"/>
      <c r="J722" s="79"/>
      <c r="K722" s="79"/>
      <c r="L722" s="79"/>
      <c r="M722" s="82"/>
      <c r="P722" s="79"/>
      <c r="T722" s="82"/>
      <c r="V722"/>
      <c r="Y722" s="82"/>
      <c r="AE722"/>
    </row>
    <row r="723" spans="2:31">
      <c r="B723" s="82"/>
      <c r="C723" s="82"/>
      <c r="E723" s="46"/>
      <c r="F723" s="46"/>
      <c r="G723" s="82"/>
      <c r="H723" s="82"/>
      <c r="I723" s="79"/>
      <c r="J723" s="79"/>
      <c r="K723" s="79"/>
      <c r="L723" s="79"/>
      <c r="M723" s="82"/>
      <c r="P723" s="79"/>
      <c r="T723" s="82"/>
      <c r="V723"/>
      <c r="Y723" s="82"/>
      <c r="AE723"/>
    </row>
    <row r="724" spans="2:31">
      <c r="B724" s="82"/>
      <c r="C724" s="82"/>
      <c r="E724" s="46"/>
      <c r="F724" s="46"/>
      <c r="G724" s="82"/>
      <c r="H724" s="82"/>
      <c r="I724" s="79"/>
      <c r="J724" s="79"/>
      <c r="K724" s="79"/>
      <c r="L724" s="79"/>
      <c r="M724" s="82"/>
      <c r="P724" s="79"/>
      <c r="T724" s="82"/>
      <c r="V724"/>
      <c r="Y724" s="82"/>
      <c r="AE724"/>
    </row>
    <row r="725" spans="2:31">
      <c r="B725" s="82"/>
      <c r="C725" s="82"/>
      <c r="E725" s="46"/>
      <c r="F725" s="46"/>
      <c r="G725" s="82"/>
      <c r="H725" s="82"/>
      <c r="I725" s="79"/>
      <c r="J725" s="79"/>
      <c r="K725" s="79"/>
      <c r="L725" s="79"/>
      <c r="M725" s="82"/>
      <c r="P725" s="79"/>
      <c r="T725" s="82"/>
      <c r="V725"/>
      <c r="Y725" s="82"/>
      <c r="AE725"/>
    </row>
    <row r="726" spans="2:31">
      <c r="B726" s="82"/>
      <c r="C726" s="82"/>
      <c r="E726" s="46"/>
      <c r="F726" s="46"/>
      <c r="G726" s="82"/>
      <c r="H726" s="82"/>
      <c r="I726" s="79"/>
      <c r="J726" s="79"/>
      <c r="K726" s="79"/>
      <c r="L726" s="79"/>
      <c r="M726" s="82"/>
      <c r="P726" s="79"/>
      <c r="T726" s="82"/>
      <c r="V726"/>
      <c r="Y726" s="82"/>
      <c r="AE726"/>
    </row>
    <row r="727" spans="2:31">
      <c r="B727" s="82"/>
      <c r="C727" s="82"/>
      <c r="E727" s="46"/>
      <c r="F727" s="46"/>
      <c r="G727" s="82"/>
      <c r="H727" s="82"/>
      <c r="I727" s="79"/>
      <c r="J727" s="79"/>
      <c r="K727" s="79"/>
      <c r="L727" s="79"/>
      <c r="M727" s="82"/>
      <c r="P727" s="79"/>
      <c r="T727" s="82"/>
      <c r="V727"/>
      <c r="Y727" s="82"/>
      <c r="AE727"/>
    </row>
    <row r="728" spans="2:31">
      <c r="B728" s="82"/>
      <c r="C728" s="82"/>
      <c r="E728" s="46"/>
      <c r="F728" s="46"/>
      <c r="G728" s="82"/>
      <c r="H728" s="82"/>
      <c r="I728" s="79"/>
      <c r="J728" s="79"/>
      <c r="K728" s="79"/>
      <c r="L728" s="79"/>
      <c r="M728" s="82"/>
      <c r="P728" s="79"/>
      <c r="T728" s="82"/>
      <c r="V728"/>
      <c r="Y728" s="82"/>
      <c r="AE728"/>
    </row>
    <row r="729" spans="2:31">
      <c r="B729" s="82"/>
      <c r="C729" s="82"/>
      <c r="E729" s="46"/>
      <c r="F729" s="46"/>
      <c r="G729" s="82"/>
      <c r="H729" s="82"/>
      <c r="I729" s="79"/>
      <c r="J729" s="79"/>
      <c r="K729" s="79"/>
      <c r="L729" s="79"/>
      <c r="M729" s="82"/>
      <c r="P729" s="79"/>
      <c r="T729" s="82"/>
      <c r="V729"/>
      <c r="Y729" s="82"/>
      <c r="AE729"/>
    </row>
    <row r="730" spans="2:31">
      <c r="B730" s="82"/>
      <c r="C730" s="82"/>
      <c r="E730" s="46"/>
      <c r="F730" s="46"/>
      <c r="G730" s="82"/>
      <c r="H730" s="82"/>
      <c r="I730" s="79"/>
      <c r="J730" s="79"/>
      <c r="K730" s="79"/>
      <c r="L730" s="79"/>
      <c r="M730" s="82"/>
      <c r="P730" s="79"/>
      <c r="T730" s="82"/>
      <c r="V730"/>
      <c r="Y730" s="82"/>
      <c r="AE730"/>
    </row>
    <row r="731" spans="2:31">
      <c r="B731" s="82"/>
      <c r="C731" s="82"/>
      <c r="E731" s="46"/>
      <c r="F731" s="46"/>
      <c r="G731" s="82"/>
      <c r="H731" s="82"/>
      <c r="I731" s="79"/>
      <c r="J731" s="79"/>
      <c r="K731" s="79"/>
      <c r="L731" s="79"/>
      <c r="M731" s="82"/>
      <c r="P731" s="79"/>
      <c r="T731" s="82"/>
      <c r="V731"/>
      <c r="Y731" s="82"/>
      <c r="AE731"/>
    </row>
    <row r="732" spans="2:31">
      <c r="B732" s="82"/>
      <c r="C732" s="82"/>
      <c r="E732" s="46"/>
      <c r="F732" s="46"/>
      <c r="G732" s="82"/>
      <c r="H732" s="82"/>
      <c r="I732" s="79"/>
      <c r="J732" s="79"/>
      <c r="K732" s="79"/>
      <c r="L732" s="79"/>
      <c r="M732" s="82"/>
      <c r="P732" s="79"/>
      <c r="T732" s="82"/>
      <c r="V732"/>
      <c r="Y732" s="82"/>
      <c r="AE732"/>
    </row>
    <row r="733" spans="2:31">
      <c r="B733" s="82"/>
      <c r="C733" s="82"/>
      <c r="E733" s="46"/>
      <c r="F733" s="46"/>
      <c r="G733" s="82"/>
      <c r="H733" s="82"/>
      <c r="I733" s="79"/>
      <c r="J733" s="79"/>
      <c r="K733" s="79"/>
      <c r="L733" s="79"/>
      <c r="M733" s="82"/>
      <c r="P733" s="79"/>
      <c r="T733" s="82"/>
      <c r="V733"/>
      <c r="Y733" s="82"/>
      <c r="AE733"/>
    </row>
    <row r="734" spans="2:31">
      <c r="B734" s="82"/>
      <c r="C734" s="82"/>
      <c r="E734" s="46"/>
      <c r="F734" s="46"/>
      <c r="G734" s="82"/>
      <c r="H734" s="82"/>
      <c r="I734" s="79"/>
      <c r="J734" s="79"/>
      <c r="K734" s="79"/>
      <c r="L734" s="79"/>
      <c r="M734" s="82"/>
      <c r="P734" s="79"/>
      <c r="T734" s="82"/>
      <c r="V734"/>
      <c r="Y734" s="82"/>
      <c r="AE734"/>
    </row>
    <row r="735" spans="2:31">
      <c r="B735" s="82"/>
      <c r="C735" s="82"/>
      <c r="E735" s="46"/>
      <c r="F735" s="46"/>
      <c r="G735" s="82"/>
      <c r="H735" s="82"/>
      <c r="I735" s="79"/>
      <c r="J735" s="79"/>
      <c r="K735" s="79"/>
      <c r="L735" s="79"/>
      <c r="M735" s="82"/>
      <c r="P735" s="79"/>
      <c r="T735" s="82"/>
      <c r="V735"/>
      <c r="Y735" s="82"/>
      <c r="AE735"/>
    </row>
    <row r="736" spans="2:31">
      <c r="B736" s="82"/>
      <c r="C736" s="82"/>
      <c r="E736" s="46"/>
      <c r="F736" s="46"/>
      <c r="G736" s="82"/>
      <c r="H736" s="82"/>
      <c r="I736" s="79"/>
      <c r="J736" s="79"/>
      <c r="K736" s="79"/>
      <c r="L736" s="79"/>
      <c r="M736" s="82"/>
      <c r="P736" s="79"/>
      <c r="T736" s="82"/>
      <c r="V736"/>
      <c r="Y736" s="82"/>
      <c r="AE736"/>
    </row>
    <row r="737" spans="2:31">
      <c r="B737" s="82"/>
      <c r="C737" s="82"/>
      <c r="E737" s="46"/>
      <c r="F737" s="46"/>
      <c r="G737" s="82"/>
      <c r="H737" s="82"/>
      <c r="I737" s="79"/>
      <c r="J737" s="79"/>
      <c r="K737" s="79"/>
      <c r="L737" s="79"/>
      <c r="M737" s="82"/>
      <c r="P737" s="79"/>
      <c r="T737" s="82"/>
      <c r="V737"/>
      <c r="Y737" s="82"/>
      <c r="AE737"/>
    </row>
    <row r="738" spans="2:31">
      <c r="B738" s="82"/>
      <c r="C738" s="82"/>
      <c r="E738" s="46"/>
      <c r="F738" s="46"/>
      <c r="G738" s="82"/>
      <c r="H738" s="82"/>
      <c r="I738" s="79"/>
      <c r="J738" s="79"/>
      <c r="K738" s="79"/>
      <c r="L738" s="79"/>
      <c r="M738" s="82"/>
      <c r="P738" s="79"/>
      <c r="T738" s="82"/>
      <c r="V738"/>
      <c r="Y738" s="82"/>
      <c r="AE738"/>
    </row>
    <row r="739" spans="2:31">
      <c r="B739" s="82"/>
      <c r="C739" s="82"/>
      <c r="E739" s="46"/>
      <c r="F739" s="46"/>
      <c r="G739" s="82"/>
      <c r="H739" s="82"/>
      <c r="I739" s="79"/>
      <c r="J739" s="79"/>
      <c r="K739" s="79"/>
      <c r="L739" s="79"/>
      <c r="M739" s="82"/>
      <c r="P739" s="79"/>
      <c r="T739" s="82"/>
      <c r="V739"/>
      <c r="Y739" s="82"/>
      <c r="AE739"/>
    </row>
    <row r="740" spans="2:31">
      <c r="B740" s="82"/>
      <c r="C740" s="82"/>
      <c r="E740" s="46"/>
      <c r="F740" s="46"/>
      <c r="G740" s="82"/>
      <c r="H740" s="82"/>
      <c r="I740" s="79"/>
      <c r="J740" s="79"/>
      <c r="K740" s="79"/>
      <c r="L740" s="79"/>
      <c r="M740" s="82"/>
      <c r="P740" s="79"/>
      <c r="T740" s="82"/>
      <c r="V740"/>
      <c r="Y740" s="82"/>
      <c r="AE740"/>
    </row>
    <row r="741" spans="2:31">
      <c r="B741" s="82"/>
      <c r="C741" s="82"/>
      <c r="E741" s="46"/>
      <c r="F741" s="46"/>
      <c r="G741" s="82"/>
      <c r="H741" s="82"/>
      <c r="I741" s="79"/>
      <c r="J741" s="79"/>
      <c r="K741" s="79"/>
      <c r="L741" s="79"/>
      <c r="M741" s="82"/>
      <c r="P741" s="79"/>
      <c r="T741" s="82"/>
      <c r="V741"/>
      <c r="Y741" s="82"/>
      <c r="AE741"/>
    </row>
    <row r="742" spans="2:31">
      <c r="B742" s="82"/>
      <c r="C742" s="82"/>
      <c r="E742" s="46"/>
      <c r="F742" s="46"/>
      <c r="G742" s="82"/>
      <c r="H742" s="82"/>
      <c r="I742" s="79"/>
      <c r="J742" s="79"/>
      <c r="K742" s="79"/>
      <c r="L742" s="79"/>
      <c r="M742" s="82"/>
      <c r="P742" s="79"/>
      <c r="T742" s="82"/>
      <c r="V742"/>
      <c r="Y742" s="82"/>
      <c r="AE742"/>
    </row>
    <row r="743" spans="2:31">
      <c r="B743" s="82"/>
      <c r="C743" s="82"/>
      <c r="E743" s="46"/>
      <c r="F743" s="46"/>
      <c r="G743" s="82"/>
      <c r="H743" s="82"/>
      <c r="I743" s="79"/>
      <c r="J743" s="79"/>
      <c r="K743" s="79"/>
      <c r="L743" s="79"/>
      <c r="M743" s="82"/>
      <c r="P743" s="79"/>
      <c r="T743" s="82"/>
      <c r="V743"/>
      <c r="Y743" s="82"/>
      <c r="AE743"/>
    </row>
    <row r="744" spans="2:31">
      <c r="B744" s="82"/>
      <c r="C744" s="82"/>
      <c r="E744" s="46"/>
      <c r="F744" s="46"/>
      <c r="G744" s="82"/>
      <c r="H744" s="82"/>
      <c r="I744" s="79"/>
      <c r="J744" s="79"/>
      <c r="K744" s="79"/>
      <c r="L744" s="79"/>
      <c r="M744" s="82"/>
      <c r="P744" s="79"/>
      <c r="T744" s="82"/>
      <c r="V744"/>
      <c r="Y744" s="82"/>
      <c r="AE744"/>
    </row>
    <row r="745" spans="2:31">
      <c r="B745" s="82"/>
      <c r="C745" s="82"/>
      <c r="E745" s="46"/>
      <c r="F745" s="46"/>
      <c r="G745" s="82"/>
      <c r="H745" s="82"/>
      <c r="I745" s="79"/>
      <c r="J745" s="79"/>
      <c r="K745" s="79"/>
      <c r="L745" s="79"/>
      <c r="M745" s="82"/>
      <c r="P745" s="79"/>
      <c r="T745" s="82"/>
      <c r="V745"/>
      <c r="Y745" s="82"/>
      <c r="AE745"/>
    </row>
    <row r="746" spans="2:31">
      <c r="B746" s="82"/>
      <c r="C746" s="82"/>
      <c r="E746" s="46"/>
      <c r="F746" s="46"/>
      <c r="G746" s="82"/>
      <c r="H746" s="82"/>
      <c r="I746" s="79"/>
      <c r="J746" s="79"/>
      <c r="K746" s="79"/>
      <c r="L746" s="79"/>
      <c r="M746" s="82"/>
      <c r="P746" s="79"/>
      <c r="T746" s="82"/>
      <c r="V746"/>
      <c r="Y746" s="82"/>
      <c r="AE746"/>
    </row>
    <row r="747" spans="2:31">
      <c r="B747" s="82"/>
      <c r="C747" s="82"/>
      <c r="E747" s="46"/>
      <c r="F747" s="46"/>
      <c r="G747" s="82"/>
      <c r="H747" s="82"/>
      <c r="I747" s="79"/>
      <c r="J747" s="79"/>
      <c r="K747" s="79"/>
      <c r="L747" s="79"/>
      <c r="M747" s="82"/>
      <c r="P747" s="79"/>
      <c r="T747" s="82"/>
      <c r="V747"/>
      <c r="Y747" s="82"/>
      <c r="AE747"/>
    </row>
    <row r="748" spans="2:31">
      <c r="B748" s="82"/>
      <c r="C748" s="82"/>
      <c r="E748" s="46"/>
      <c r="F748" s="46"/>
      <c r="G748" s="82"/>
      <c r="H748" s="82"/>
      <c r="I748" s="79"/>
      <c r="J748" s="79"/>
      <c r="K748" s="79"/>
      <c r="L748" s="79"/>
      <c r="M748" s="82"/>
      <c r="P748" s="79"/>
      <c r="T748" s="82"/>
      <c r="V748"/>
      <c r="Y748" s="82"/>
      <c r="AE748"/>
    </row>
    <row r="749" spans="2:31">
      <c r="B749" s="82"/>
      <c r="C749" s="82"/>
      <c r="E749" s="46"/>
      <c r="F749" s="46"/>
      <c r="G749" s="82"/>
      <c r="H749" s="82"/>
      <c r="I749" s="79"/>
      <c r="J749" s="79"/>
      <c r="K749" s="79"/>
      <c r="L749" s="79"/>
      <c r="M749" s="82"/>
      <c r="P749" s="79"/>
      <c r="T749" s="82"/>
      <c r="V749"/>
      <c r="Y749" s="82"/>
      <c r="AE749"/>
    </row>
    <row r="750" spans="2:31">
      <c r="B750" s="82"/>
      <c r="C750" s="82"/>
      <c r="E750" s="46"/>
      <c r="F750" s="46"/>
      <c r="G750" s="82"/>
      <c r="H750" s="82"/>
      <c r="I750" s="79"/>
      <c r="J750" s="79"/>
      <c r="K750" s="79"/>
      <c r="L750" s="79"/>
      <c r="M750" s="82"/>
      <c r="P750" s="79"/>
      <c r="T750" s="82"/>
      <c r="V750"/>
      <c r="Y750" s="82"/>
      <c r="AE750"/>
    </row>
    <row r="751" spans="2:31">
      <c r="B751" s="82"/>
      <c r="C751" s="82"/>
      <c r="E751" s="46"/>
      <c r="F751" s="46"/>
      <c r="G751" s="82"/>
      <c r="H751" s="82"/>
      <c r="I751" s="79"/>
      <c r="J751" s="79"/>
      <c r="K751" s="79"/>
      <c r="L751" s="79"/>
      <c r="M751" s="82"/>
      <c r="P751" s="79"/>
      <c r="T751" s="82"/>
      <c r="V751"/>
      <c r="Y751" s="82"/>
      <c r="AE751"/>
    </row>
    <row r="752" spans="2:31">
      <c r="B752" s="82"/>
      <c r="C752" s="82"/>
      <c r="E752" s="46"/>
      <c r="F752" s="46"/>
      <c r="G752" s="82"/>
      <c r="H752" s="82"/>
      <c r="I752" s="79"/>
      <c r="J752" s="79"/>
      <c r="K752" s="79"/>
      <c r="L752" s="79"/>
      <c r="M752" s="82"/>
      <c r="P752" s="79"/>
      <c r="T752" s="82"/>
      <c r="V752"/>
      <c r="Y752" s="82"/>
      <c r="AE752"/>
    </row>
    <row r="753" spans="2:31">
      <c r="B753" s="82"/>
      <c r="C753" s="82"/>
      <c r="E753" s="46"/>
      <c r="F753" s="46"/>
      <c r="G753" s="82"/>
      <c r="H753" s="82"/>
      <c r="I753" s="79"/>
      <c r="J753" s="79"/>
      <c r="K753" s="79"/>
      <c r="L753" s="79"/>
      <c r="M753" s="82"/>
      <c r="P753" s="79"/>
      <c r="T753" s="82"/>
      <c r="V753"/>
      <c r="Y753" s="82"/>
      <c r="AE753"/>
    </row>
    <row r="754" spans="2:31">
      <c r="B754" s="82"/>
      <c r="C754" s="82"/>
      <c r="E754" s="46"/>
      <c r="F754" s="46"/>
      <c r="G754" s="82"/>
      <c r="H754" s="82"/>
      <c r="I754" s="79"/>
      <c r="J754" s="79"/>
      <c r="K754" s="79"/>
      <c r="L754" s="79"/>
      <c r="M754" s="82"/>
      <c r="P754" s="79"/>
      <c r="T754" s="82"/>
      <c r="V754"/>
      <c r="Y754" s="82"/>
      <c r="AE754"/>
    </row>
    <row r="755" spans="2:31">
      <c r="B755" s="82"/>
      <c r="C755" s="82"/>
      <c r="E755" s="46"/>
      <c r="F755" s="46"/>
      <c r="G755" s="82"/>
      <c r="H755" s="82"/>
      <c r="I755" s="79"/>
      <c r="J755" s="79"/>
      <c r="K755" s="79"/>
      <c r="L755" s="79"/>
      <c r="M755" s="82"/>
      <c r="P755" s="79"/>
      <c r="T755" s="82"/>
      <c r="V755"/>
      <c r="Y755" s="82"/>
      <c r="AE755"/>
    </row>
    <row r="756" spans="2:31">
      <c r="B756" s="82"/>
      <c r="C756" s="82"/>
      <c r="E756" s="46"/>
      <c r="F756" s="46"/>
      <c r="G756" s="82"/>
      <c r="H756" s="82"/>
      <c r="I756" s="79"/>
      <c r="J756" s="79"/>
      <c r="K756" s="79"/>
      <c r="L756" s="79"/>
      <c r="M756" s="82"/>
      <c r="P756" s="79"/>
      <c r="T756" s="82"/>
      <c r="V756"/>
      <c r="Y756" s="82"/>
      <c r="AE756"/>
    </row>
    <row r="757" spans="2:31">
      <c r="B757" s="82"/>
      <c r="C757" s="82"/>
      <c r="E757" s="46"/>
      <c r="F757" s="46"/>
      <c r="G757" s="82"/>
      <c r="H757" s="82"/>
      <c r="I757" s="79"/>
      <c r="J757" s="79"/>
      <c r="K757" s="79"/>
      <c r="L757" s="79"/>
      <c r="M757" s="82"/>
      <c r="P757" s="79"/>
      <c r="T757" s="82"/>
      <c r="V757"/>
      <c r="Y757" s="82"/>
      <c r="AE757"/>
    </row>
    <row r="758" spans="2:31">
      <c r="B758" s="82"/>
      <c r="C758" s="82"/>
      <c r="E758" s="46"/>
      <c r="F758" s="46"/>
      <c r="G758" s="82"/>
      <c r="H758" s="82"/>
      <c r="I758" s="79"/>
      <c r="J758" s="79"/>
      <c r="K758" s="79"/>
      <c r="L758" s="79"/>
      <c r="M758" s="82"/>
      <c r="P758" s="79"/>
      <c r="T758" s="82"/>
      <c r="V758"/>
      <c r="Y758" s="82"/>
      <c r="AE758"/>
    </row>
    <row r="759" spans="2:31">
      <c r="B759" s="82"/>
      <c r="C759" s="82"/>
      <c r="E759" s="46"/>
      <c r="F759" s="46"/>
      <c r="G759" s="82"/>
      <c r="H759" s="82"/>
      <c r="I759" s="79"/>
      <c r="J759" s="79"/>
      <c r="K759" s="79"/>
      <c r="L759" s="79"/>
      <c r="M759" s="82"/>
      <c r="P759" s="79"/>
      <c r="T759" s="82"/>
      <c r="V759"/>
      <c r="Y759" s="82"/>
      <c r="AE759"/>
    </row>
    <row r="760" spans="2:31">
      <c r="B760" s="82"/>
      <c r="C760" s="82"/>
      <c r="E760" s="46"/>
      <c r="F760" s="46"/>
      <c r="G760" s="82"/>
      <c r="H760" s="82"/>
      <c r="I760" s="79"/>
      <c r="J760" s="79"/>
      <c r="K760" s="79"/>
      <c r="L760" s="79"/>
      <c r="M760" s="82"/>
      <c r="P760" s="79"/>
      <c r="T760" s="82"/>
      <c r="V760"/>
      <c r="Y760" s="82"/>
      <c r="AE760"/>
    </row>
    <row r="761" spans="2:31">
      <c r="B761" s="82"/>
      <c r="C761" s="82"/>
      <c r="E761" s="46"/>
      <c r="F761" s="46"/>
      <c r="G761" s="82"/>
      <c r="H761" s="82"/>
      <c r="I761" s="79"/>
      <c r="J761" s="79"/>
      <c r="K761" s="79"/>
      <c r="L761" s="79"/>
      <c r="M761" s="82"/>
      <c r="P761" s="79"/>
      <c r="T761" s="82"/>
      <c r="V761"/>
      <c r="Y761" s="82"/>
      <c r="AE761"/>
    </row>
    <row r="762" spans="2:31">
      <c r="B762" s="82"/>
      <c r="C762" s="82"/>
      <c r="E762" s="46"/>
      <c r="F762" s="46"/>
      <c r="G762" s="82"/>
      <c r="H762" s="82"/>
      <c r="I762" s="79"/>
      <c r="J762" s="79"/>
      <c r="K762" s="79"/>
      <c r="L762" s="79"/>
      <c r="M762" s="82"/>
      <c r="P762" s="79"/>
      <c r="T762" s="82"/>
      <c r="V762"/>
      <c r="Y762" s="82"/>
      <c r="AE762"/>
    </row>
    <row r="763" spans="2:31">
      <c r="B763" s="82"/>
      <c r="C763" s="82"/>
      <c r="E763" s="46"/>
      <c r="F763" s="46"/>
      <c r="G763" s="82"/>
      <c r="H763" s="82"/>
      <c r="I763" s="79"/>
      <c r="J763" s="79"/>
      <c r="K763" s="79"/>
      <c r="L763" s="79"/>
      <c r="M763" s="82"/>
      <c r="P763" s="79"/>
      <c r="T763" s="82"/>
      <c r="V763"/>
      <c r="Y763" s="82"/>
      <c r="AE763"/>
    </row>
    <row r="764" spans="2:31">
      <c r="B764" s="82"/>
      <c r="C764" s="82"/>
      <c r="E764" s="46"/>
      <c r="F764" s="46"/>
      <c r="G764" s="82"/>
      <c r="H764" s="82"/>
      <c r="I764" s="79"/>
      <c r="J764" s="79"/>
      <c r="K764" s="79"/>
      <c r="L764" s="79"/>
      <c r="M764" s="82"/>
      <c r="P764" s="79"/>
      <c r="T764" s="82"/>
      <c r="V764"/>
      <c r="Y764" s="82"/>
      <c r="AE764"/>
    </row>
    <row r="765" spans="2:31">
      <c r="B765" s="82"/>
      <c r="C765" s="82"/>
      <c r="E765" s="46"/>
      <c r="F765" s="46"/>
      <c r="G765" s="82"/>
      <c r="H765" s="82"/>
      <c r="I765" s="79"/>
      <c r="J765" s="79"/>
      <c r="K765" s="79"/>
      <c r="L765" s="79"/>
      <c r="M765" s="82"/>
      <c r="P765" s="79"/>
      <c r="T765" s="82"/>
      <c r="V765"/>
      <c r="Y765" s="82"/>
      <c r="AC765" s="80"/>
      <c r="AE765"/>
    </row>
    <row r="766" spans="2:31">
      <c r="B766" s="82"/>
      <c r="C766" s="82"/>
      <c r="E766" s="46"/>
      <c r="F766" s="46"/>
      <c r="G766" s="82"/>
      <c r="H766" s="82"/>
      <c r="I766" s="79"/>
      <c r="J766" s="79"/>
      <c r="K766" s="79"/>
      <c r="L766" s="79"/>
      <c r="M766" s="82"/>
      <c r="P766" s="79"/>
      <c r="T766" s="82"/>
      <c r="V766"/>
      <c r="Y766" s="82"/>
      <c r="AC766" s="80"/>
      <c r="AE766"/>
    </row>
    <row r="767" spans="2:31">
      <c r="B767" s="82"/>
      <c r="C767" s="82"/>
      <c r="E767" s="46"/>
      <c r="F767" s="46"/>
      <c r="G767" s="82"/>
      <c r="H767" s="82"/>
      <c r="I767" s="79"/>
      <c r="J767" s="79"/>
      <c r="K767" s="79"/>
      <c r="L767" s="79"/>
      <c r="M767" s="82"/>
      <c r="P767" s="79"/>
      <c r="T767" s="82"/>
      <c r="V767"/>
      <c r="Y767" s="82"/>
      <c r="AE767"/>
    </row>
    <row r="768" spans="2:31">
      <c r="B768" s="82"/>
      <c r="C768" s="82"/>
      <c r="E768" s="46"/>
      <c r="F768" s="46"/>
      <c r="G768" s="82"/>
      <c r="H768" s="82"/>
      <c r="I768" s="79"/>
      <c r="J768" s="79"/>
      <c r="K768" s="79"/>
      <c r="L768" s="79"/>
      <c r="M768" s="82"/>
      <c r="P768" s="79"/>
      <c r="T768" s="82"/>
      <c r="V768"/>
      <c r="Y768" s="82"/>
      <c r="AE768"/>
    </row>
    <row r="769" spans="2:31">
      <c r="B769" s="82"/>
      <c r="C769" s="82"/>
      <c r="E769" s="46"/>
      <c r="F769" s="46"/>
      <c r="G769" s="82"/>
      <c r="H769" s="82"/>
      <c r="I769" s="79"/>
      <c r="J769" s="79"/>
      <c r="K769" s="79"/>
      <c r="L769" s="79"/>
      <c r="M769" s="82"/>
      <c r="P769" s="79"/>
      <c r="T769" s="82"/>
      <c r="V769"/>
      <c r="Y769" s="82"/>
      <c r="AE769"/>
    </row>
    <row r="770" spans="2:31">
      <c r="B770" s="82"/>
      <c r="C770" s="82"/>
      <c r="E770" s="46"/>
      <c r="F770" s="46"/>
      <c r="G770" s="82"/>
      <c r="H770" s="82"/>
      <c r="I770" s="79"/>
      <c r="J770" s="79"/>
      <c r="K770" s="79"/>
      <c r="L770" s="79"/>
      <c r="M770" s="82"/>
      <c r="P770" s="79"/>
      <c r="T770" s="82"/>
      <c r="V770"/>
      <c r="Y770" s="82"/>
      <c r="AE770"/>
    </row>
    <row r="771" spans="2:31">
      <c r="B771" s="82"/>
      <c r="C771" s="82"/>
      <c r="E771" s="46"/>
      <c r="F771" s="46"/>
      <c r="G771" s="82"/>
      <c r="H771" s="82"/>
      <c r="I771" s="79"/>
      <c r="J771" s="79"/>
      <c r="K771" s="79"/>
      <c r="L771" s="79"/>
      <c r="M771" s="82"/>
      <c r="P771" s="79"/>
      <c r="T771" s="82"/>
      <c r="V771"/>
      <c r="Y771" s="82"/>
      <c r="AE771"/>
    </row>
    <row r="772" spans="2:31">
      <c r="B772" s="82"/>
      <c r="C772" s="82"/>
      <c r="E772" s="46"/>
      <c r="F772" s="46"/>
      <c r="G772" s="82"/>
      <c r="H772" s="82"/>
      <c r="I772" s="79"/>
      <c r="J772" s="79"/>
      <c r="K772" s="79"/>
      <c r="L772" s="79"/>
      <c r="M772" s="82"/>
      <c r="P772" s="79"/>
      <c r="T772" s="82"/>
      <c r="V772"/>
      <c r="Y772" s="82"/>
      <c r="AE772"/>
    </row>
    <row r="773" spans="2:31">
      <c r="B773" s="82"/>
      <c r="C773" s="82"/>
      <c r="E773" s="46"/>
      <c r="F773" s="46"/>
      <c r="G773" s="82"/>
      <c r="H773" s="82"/>
      <c r="I773" s="79"/>
      <c r="J773" s="79"/>
      <c r="K773" s="79"/>
      <c r="L773" s="79"/>
      <c r="M773" s="82"/>
      <c r="P773" s="79"/>
      <c r="T773" s="82"/>
      <c r="V773"/>
      <c r="Y773" s="82"/>
      <c r="AE773"/>
    </row>
    <row r="774" spans="2:31">
      <c r="B774" s="82"/>
      <c r="C774" s="82"/>
      <c r="E774" s="46"/>
      <c r="F774" s="46"/>
      <c r="G774" s="82"/>
      <c r="H774" s="82"/>
      <c r="I774" s="79"/>
      <c r="J774" s="79"/>
      <c r="K774" s="79"/>
      <c r="L774" s="79"/>
      <c r="M774" s="82"/>
      <c r="P774" s="79"/>
      <c r="T774" s="82"/>
      <c r="V774"/>
      <c r="Y774" s="82"/>
      <c r="AE774"/>
    </row>
    <row r="775" spans="2:31">
      <c r="B775" s="82"/>
      <c r="C775" s="82"/>
      <c r="E775" s="46"/>
      <c r="F775" s="46"/>
      <c r="G775" s="82"/>
      <c r="H775" s="82"/>
      <c r="I775" s="79"/>
      <c r="J775" s="79"/>
      <c r="K775" s="79"/>
      <c r="L775" s="79"/>
      <c r="M775" s="82"/>
      <c r="P775" s="79"/>
      <c r="T775" s="82"/>
      <c r="V775"/>
      <c r="Y775" s="82"/>
      <c r="AE775"/>
    </row>
    <row r="776" spans="2:31">
      <c r="B776" s="82"/>
      <c r="C776" s="82"/>
      <c r="E776" s="46"/>
      <c r="F776" s="46"/>
      <c r="G776" s="82"/>
      <c r="H776" s="82"/>
      <c r="I776" s="79"/>
      <c r="J776" s="79"/>
      <c r="K776" s="79"/>
      <c r="L776" s="79"/>
      <c r="M776" s="82"/>
      <c r="P776" s="79"/>
      <c r="T776" s="82"/>
      <c r="V776"/>
      <c r="Y776" s="82"/>
      <c r="AE776"/>
    </row>
    <row r="777" spans="2:31">
      <c r="B777" s="82"/>
      <c r="C777" s="82"/>
      <c r="E777" s="46"/>
      <c r="F777" s="46"/>
      <c r="G777" s="82"/>
      <c r="H777" s="82"/>
      <c r="I777" s="79"/>
      <c r="J777" s="79"/>
      <c r="K777" s="79"/>
      <c r="L777" s="79"/>
      <c r="M777" s="82"/>
      <c r="P777" s="79"/>
      <c r="T777" s="82"/>
      <c r="V777"/>
      <c r="Y777" s="82"/>
      <c r="AE777"/>
    </row>
    <row r="778" spans="2:31">
      <c r="B778" s="82"/>
      <c r="C778" s="82"/>
      <c r="E778" s="46"/>
      <c r="F778" s="46"/>
      <c r="G778" s="82"/>
      <c r="H778" s="82"/>
      <c r="I778" s="79"/>
      <c r="J778" s="79"/>
      <c r="K778" s="79"/>
      <c r="L778" s="79"/>
      <c r="M778" s="82"/>
      <c r="P778" s="79"/>
      <c r="T778" s="82"/>
      <c r="V778"/>
      <c r="Y778" s="82"/>
      <c r="AE778"/>
    </row>
    <row r="779" spans="2:31">
      <c r="B779" s="82"/>
      <c r="C779" s="82"/>
      <c r="E779" s="46"/>
      <c r="F779" s="46"/>
      <c r="G779" s="82"/>
      <c r="H779" s="82"/>
      <c r="I779" s="79"/>
      <c r="J779" s="79"/>
      <c r="K779" s="79"/>
      <c r="L779" s="79"/>
      <c r="M779" s="82"/>
      <c r="P779" s="79"/>
      <c r="T779" s="82"/>
      <c r="V779"/>
      <c r="Y779" s="82"/>
      <c r="AE779"/>
    </row>
    <row r="780" spans="2:31">
      <c r="B780" s="82"/>
      <c r="C780" s="82"/>
      <c r="E780" s="46"/>
      <c r="F780" s="46"/>
      <c r="G780" s="82"/>
      <c r="H780" s="82"/>
      <c r="I780" s="79"/>
      <c r="J780" s="79"/>
      <c r="K780" s="79"/>
      <c r="L780" s="79"/>
      <c r="M780" s="82"/>
      <c r="P780" s="79"/>
      <c r="T780" s="82"/>
      <c r="V780"/>
      <c r="Y780" s="82"/>
      <c r="AE780"/>
    </row>
    <row r="781" spans="2:31">
      <c r="B781" s="82"/>
      <c r="C781" s="82"/>
      <c r="E781" s="46"/>
      <c r="F781" s="46"/>
      <c r="G781" s="82"/>
      <c r="H781" s="82"/>
      <c r="I781" s="79"/>
      <c r="J781" s="79"/>
      <c r="K781" s="79"/>
      <c r="L781" s="79"/>
      <c r="M781" s="82"/>
      <c r="P781" s="79"/>
      <c r="T781" s="82"/>
      <c r="V781"/>
      <c r="Y781" s="82"/>
      <c r="AE781"/>
    </row>
    <row r="782" spans="2:31">
      <c r="B782" s="82"/>
      <c r="C782" s="82"/>
      <c r="E782" s="46"/>
      <c r="F782" s="46"/>
      <c r="G782" s="82"/>
      <c r="H782" s="82"/>
      <c r="I782" s="79"/>
      <c r="J782" s="79"/>
      <c r="K782" s="79"/>
      <c r="L782" s="79"/>
      <c r="M782" s="82"/>
      <c r="P782" s="79"/>
      <c r="T782" s="82"/>
      <c r="V782"/>
      <c r="Y782" s="82"/>
      <c r="AE782"/>
    </row>
    <row r="783" spans="2:31">
      <c r="B783" s="82"/>
      <c r="C783" s="82"/>
      <c r="E783" s="46"/>
      <c r="F783" s="46"/>
      <c r="G783" s="82"/>
      <c r="H783" s="82"/>
      <c r="I783" s="79"/>
      <c r="J783" s="79"/>
      <c r="K783" s="79"/>
      <c r="L783" s="79"/>
      <c r="M783" s="82"/>
      <c r="P783" s="79"/>
      <c r="T783" s="82"/>
      <c r="V783"/>
      <c r="Y783" s="82"/>
      <c r="AE783"/>
    </row>
    <row r="784" spans="2:31">
      <c r="B784" s="82"/>
      <c r="C784" s="82"/>
      <c r="E784" s="46"/>
      <c r="F784" s="46"/>
      <c r="G784" s="82"/>
      <c r="H784" s="82"/>
      <c r="I784" s="79"/>
      <c r="J784" s="79"/>
      <c r="K784" s="79"/>
      <c r="L784" s="79"/>
      <c r="M784" s="82"/>
      <c r="P784" s="79"/>
      <c r="T784" s="82"/>
      <c r="V784"/>
      <c r="Y784" s="82"/>
      <c r="AE784"/>
    </row>
    <row r="785" spans="2:31">
      <c r="B785" s="82"/>
      <c r="C785" s="82"/>
      <c r="E785" s="46"/>
      <c r="F785" s="46"/>
      <c r="G785" s="82"/>
      <c r="H785" s="82"/>
      <c r="I785" s="79"/>
      <c r="J785" s="79"/>
      <c r="K785" s="79"/>
      <c r="L785" s="79"/>
      <c r="M785" s="82"/>
      <c r="P785" s="79"/>
      <c r="T785" s="82"/>
      <c r="V785"/>
      <c r="Y785" s="82"/>
      <c r="AE785"/>
    </row>
    <row r="786" spans="2:31">
      <c r="B786" s="82"/>
      <c r="C786" s="82"/>
      <c r="E786" s="46"/>
      <c r="F786" s="46"/>
      <c r="G786" s="82"/>
      <c r="H786" s="82"/>
      <c r="I786" s="79"/>
      <c r="J786" s="79"/>
      <c r="K786" s="79"/>
      <c r="L786" s="79"/>
      <c r="M786" s="82"/>
      <c r="P786" s="79"/>
      <c r="T786" s="82"/>
      <c r="V786"/>
      <c r="Y786" s="82"/>
      <c r="AE786"/>
    </row>
    <row r="787" spans="2:31">
      <c r="B787" s="82"/>
      <c r="C787" s="82"/>
      <c r="E787" s="46"/>
      <c r="F787" s="46"/>
      <c r="G787" s="82"/>
      <c r="H787" s="82"/>
      <c r="I787" s="79"/>
      <c r="J787" s="79"/>
      <c r="K787" s="79"/>
      <c r="L787" s="79"/>
      <c r="M787" s="82"/>
      <c r="P787" s="79"/>
      <c r="T787" s="82"/>
      <c r="V787"/>
      <c r="Y787" s="82"/>
      <c r="AE787"/>
    </row>
    <row r="788" spans="2:31">
      <c r="B788" s="82"/>
      <c r="C788" s="82"/>
      <c r="E788" s="46"/>
      <c r="F788" s="46"/>
      <c r="G788" s="82"/>
      <c r="H788" s="82"/>
      <c r="I788" s="79"/>
      <c r="J788" s="79"/>
      <c r="K788" s="79"/>
      <c r="L788" s="79"/>
      <c r="M788" s="82"/>
      <c r="P788" s="79"/>
      <c r="T788" s="82"/>
      <c r="V788"/>
      <c r="Y788" s="82"/>
      <c r="AE788"/>
    </row>
    <row r="789" spans="2:31">
      <c r="B789" s="82"/>
      <c r="C789" s="82"/>
      <c r="E789" s="46"/>
      <c r="F789" s="46"/>
      <c r="G789" s="82"/>
      <c r="H789" s="82"/>
      <c r="I789" s="79"/>
      <c r="J789" s="79"/>
      <c r="K789" s="79"/>
      <c r="L789" s="79"/>
      <c r="M789" s="82"/>
      <c r="P789" s="79"/>
      <c r="T789" s="82"/>
      <c r="V789"/>
      <c r="Y789" s="82"/>
      <c r="AE789"/>
    </row>
    <row r="790" spans="2:31">
      <c r="B790" s="82"/>
      <c r="C790" s="82"/>
      <c r="E790" s="46"/>
      <c r="F790" s="46"/>
      <c r="G790" s="82"/>
      <c r="H790" s="82"/>
      <c r="I790" s="79"/>
      <c r="J790" s="79"/>
      <c r="K790" s="79"/>
      <c r="L790" s="79"/>
      <c r="M790" s="82"/>
      <c r="P790" s="79"/>
      <c r="T790" s="82"/>
      <c r="V790"/>
      <c r="Y790" s="82"/>
      <c r="AE790"/>
    </row>
    <row r="791" spans="2:31">
      <c r="B791" s="82"/>
      <c r="C791" s="82"/>
      <c r="E791" s="46"/>
      <c r="F791" s="46"/>
      <c r="G791" s="82"/>
      <c r="H791" s="82"/>
      <c r="I791" s="79"/>
      <c r="J791" s="79"/>
      <c r="K791" s="79"/>
      <c r="L791" s="79"/>
      <c r="M791" s="82"/>
      <c r="P791" s="79"/>
      <c r="T791" s="82"/>
      <c r="V791"/>
      <c r="Y791" s="82"/>
      <c r="AE791"/>
    </row>
    <row r="792" spans="2:31">
      <c r="B792" s="82"/>
      <c r="C792" s="82"/>
      <c r="E792" s="46"/>
      <c r="F792" s="46"/>
      <c r="G792" s="82"/>
      <c r="H792" s="82"/>
      <c r="I792" s="79"/>
      <c r="J792" s="79"/>
      <c r="K792" s="79"/>
      <c r="L792" s="79"/>
      <c r="M792" s="82"/>
      <c r="P792" s="79"/>
      <c r="T792" s="82"/>
      <c r="V792"/>
      <c r="Y792" s="82"/>
      <c r="AE792"/>
    </row>
    <row r="793" spans="2:31">
      <c r="B793" s="82"/>
      <c r="C793" s="82"/>
      <c r="E793" s="46"/>
      <c r="F793" s="46"/>
      <c r="G793" s="82"/>
      <c r="H793" s="82"/>
      <c r="I793" s="79"/>
      <c r="J793" s="79"/>
      <c r="K793" s="79"/>
      <c r="L793" s="79"/>
      <c r="M793" s="82"/>
      <c r="P793" s="79"/>
      <c r="T793" s="82"/>
      <c r="V793"/>
      <c r="Y793" s="82"/>
      <c r="AE793"/>
    </row>
    <row r="794" spans="2:31">
      <c r="B794" s="82"/>
      <c r="C794" s="82"/>
      <c r="E794" s="46"/>
      <c r="F794" s="46"/>
      <c r="G794" s="82"/>
      <c r="H794" s="82"/>
      <c r="I794" s="79"/>
      <c r="J794" s="79"/>
      <c r="K794" s="79"/>
      <c r="L794" s="79"/>
      <c r="M794" s="82"/>
      <c r="P794" s="79"/>
      <c r="T794" s="82"/>
      <c r="V794"/>
      <c r="Y794" s="82"/>
      <c r="AE794"/>
    </row>
    <row r="795" spans="2:31">
      <c r="B795" s="82"/>
      <c r="C795" s="82"/>
      <c r="E795" s="46"/>
      <c r="F795" s="46"/>
      <c r="G795" s="82"/>
      <c r="H795" s="82"/>
      <c r="I795" s="79"/>
      <c r="J795" s="79"/>
      <c r="K795" s="79"/>
      <c r="L795" s="79"/>
      <c r="M795" s="82"/>
      <c r="P795" s="79"/>
      <c r="T795" s="82"/>
      <c r="V795"/>
      <c r="Y795" s="82"/>
      <c r="AE795"/>
    </row>
    <row r="796" spans="2:31">
      <c r="B796" s="82"/>
      <c r="C796" s="82"/>
      <c r="E796" s="46"/>
      <c r="F796" s="46"/>
      <c r="G796" s="82"/>
      <c r="H796" s="82"/>
      <c r="I796" s="79"/>
      <c r="J796" s="79"/>
      <c r="K796" s="79"/>
      <c r="L796" s="79"/>
      <c r="M796" s="82"/>
      <c r="P796" s="79"/>
      <c r="T796" s="82"/>
      <c r="V796"/>
      <c r="Y796" s="82"/>
      <c r="AE796"/>
    </row>
    <row r="797" spans="2:31">
      <c r="B797" s="82"/>
      <c r="C797" s="82"/>
      <c r="E797" s="46"/>
      <c r="F797" s="46"/>
      <c r="G797" s="82"/>
      <c r="H797" s="82"/>
      <c r="I797" s="79"/>
      <c r="J797" s="79"/>
      <c r="K797" s="79"/>
      <c r="L797" s="79"/>
      <c r="M797" s="82"/>
      <c r="P797" s="79"/>
      <c r="T797" s="82"/>
      <c r="V797"/>
      <c r="Y797" s="82"/>
      <c r="AE797"/>
    </row>
    <row r="798" spans="2:31">
      <c r="B798" s="82"/>
      <c r="C798" s="82"/>
      <c r="E798" s="46"/>
      <c r="F798" s="46"/>
      <c r="G798" s="82"/>
      <c r="H798" s="82"/>
      <c r="I798" s="79"/>
      <c r="J798" s="79"/>
      <c r="K798" s="79"/>
      <c r="L798" s="79"/>
      <c r="M798" s="82"/>
      <c r="P798" s="79"/>
      <c r="T798" s="82"/>
      <c r="V798"/>
      <c r="Y798" s="82"/>
      <c r="AE798"/>
    </row>
    <row r="799" spans="2:31">
      <c r="B799" s="82"/>
      <c r="C799" s="82"/>
      <c r="E799" s="46"/>
      <c r="F799" s="46"/>
      <c r="G799" s="82"/>
      <c r="H799" s="82"/>
      <c r="I799" s="79"/>
      <c r="J799" s="79"/>
      <c r="K799" s="79"/>
      <c r="L799" s="79"/>
      <c r="M799" s="82"/>
      <c r="P799" s="79"/>
      <c r="T799" s="82"/>
      <c r="V799"/>
      <c r="Y799" s="82"/>
      <c r="AE799"/>
    </row>
    <row r="800" spans="2:31">
      <c r="B800" s="82"/>
      <c r="C800" s="82"/>
      <c r="E800" s="46"/>
      <c r="F800" s="46"/>
      <c r="G800" s="82"/>
      <c r="H800" s="82"/>
      <c r="I800" s="79"/>
      <c r="J800" s="79"/>
      <c r="K800" s="79"/>
      <c r="L800" s="79"/>
      <c r="M800" s="82"/>
      <c r="P800" s="79"/>
      <c r="T800" s="82"/>
      <c r="V800"/>
      <c r="Y800" s="82"/>
      <c r="AE800"/>
    </row>
    <row r="801" spans="2:31">
      <c r="B801" s="82"/>
      <c r="C801" s="82"/>
      <c r="E801" s="46"/>
      <c r="F801" s="46"/>
      <c r="G801" s="82"/>
      <c r="H801" s="82"/>
      <c r="I801" s="79"/>
      <c r="J801" s="79"/>
      <c r="K801" s="79"/>
      <c r="L801" s="79"/>
      <c r="M801" s="82"/>
      <c r="P801" s="79"/>
      <c r="T801" s="82"/>
      <c r="V801"/>
      <c r="Y801" s="82"/>
      <c r="AE801"/>
    </row>
    <row r="802" spans="2:31">
      <c r="B802" s="82"/>
      <c r="C802" s="82"/>
      <c r="E802" s="46"/>
      <c r="F802" s="46"/>
      <c r="G802" s="82"/>
      <c r="H802" s="82"/>
      <c r="I802" s="79"/>
      <c r="J802" s="79"/>
      <c r="K802" s="79"/>
      <c r="L802" s="79"/>
      <c r="M802" s="82"/>
      <c r="P802" s="79"/>
      <c r="T802" s="82"/>
      <c r="V802"/>
      <c r="Y802" s="82"/>
      <c r="AE802"/>
    </row>
    <row r="803" spans="2:31">
      <c r="B803" s="82"/>
      <c r="C803" s="82"/>
      <c r="E803" s="46"/>
      <c r="F803" s="46"/>
      <c r="G803" s="82"/>
      <c r="H803" s="82"/>
      <c r="I803" s="79"/>
      <c r="J803" s="79"/>
      <c r="K803" s="79"/>
      <c r="L803" s="79"/>
      <c r="M803" s="82"/>
      <c r="P803" s="79"/>
      <c r="T803" s="82"/>
      <c r="V803"/>
      <c r="Y803" s="82"/>
      <c r="AE803"/>
    </row>
    <row r="804" spans="2:31">
      <c r="B804" s="82"/>
      <c r="C804" s="82"/>
      <c r="E804" s="46"/>
      <c r="F804" s="46"/>
      <c r="G804" s="82"/>
      <c r="H804" s="82"/>
      <c r="I804" s="79"/>
      <c r="J804" s="79"/>
      <c r="K804" s="79"/>
      <c r="L804" s="79"/>
      <c r="M804" s="82"/>
      <c r="P804" s="79"/>
      <c r="T804" s="82"/>
      <c r="V804"/>
      <c r="Y804" s="82"/>
      <c r="AE804"/>
    </row>
    <row r="805" spans="2:31">
      <c r="B805" s="82"/>
      <c r="C805" s="82"/>
      <c r="E805" s="46"/>
      <c r="F805" s="46"/>
      <c r="G805" s="82"/>
      <c r="H805" s="82"/>
      <c r="I805" s="79"/>
      <c r="J805" s="79"/>
      <c r="K805" s="79"/>
      <c r="L805" s="79"/>
      <c r="M805" s="82"/>
      <c r="P805" s="79"/>
      <c r="T805" s="82"/>
      <c r="V805"/>
      <c r="Y805" s="82"/>
      <c r="AE805"/>
    </row>
    <row r="806" spans="2:31">
      <c r="B806" s="82"/>
      <c r="C806" s="82"/>
      <c r="E806" s="46"/>
      <c r="F806" s="46"/>
      <c r="G806" s="82"/>
      <c r="H806" s="82"/>
      <c r="I806" s="79"/>
      <c r="J806" s="79"/>
      <c r="K806" s="79"/>
      <c r="L806" s="79"/>
      <c r="M806" s="82"/>
      <c r="P806" s="79"/>
      <c r="T806" s="82"/>
      <c r="V806"/>
      <c r="Y806" s="82"/>
      <c r="AE806"/>
    </row>
    <row r="807" spans="2:31">
      <c r="B807" s="82"/>
      <c r="C807" s="82"/>
      <c r="E807" s="46"/>
      <c r="F807" s="46"/>
      <c r="G807" s="82"/>
      <c r="H807" s="82"/>
      <c r="I807" s="79"/>
      <c r="J807" s="79"/>
      <c r="K807" s="79"/>
      <c r="L807" s="79"/>
      <c r="M807" s="82"/>
      <c r="P807" s="79"/>
      <c r="T807" s="82"/>
      <c r="V807"/>
      <c r="Y807" s="82"/>
      <c r="AE807"/>
    </row>
    <row r="808" spans="2:31">
      <c r="B808" s="82"/>
      <c r="C808" s="82"/>
      <c r="E808" s="46"/>
      <c r="F808" s="46"/>
      <c r="G808" s="82"/>
      <c r="H808" s="82"/>
      <c r="I808" s="79"/>
      <c r="J808" s="79"/>
      <c r="K808" s="79"/>
      <c r="L808" s="79"/>
      <c r="M808" s="82"/>
      <c r="P808" s="79"/>
      <c r="T808" s="82"/>
      <c r="V808"/>
      <c r="Y808" s="82"/>
      <c r="AE808"/>
    </row>
    <row r="809" spans="2:31">
      <c r="B809" s="82"/>
      <c r="C809" s="82"/>
      <c r="E809" s="46"/>
      <c r="F809" s="46"/>
      <c r="G809" s="82"/>
      <c r="H809" s="82"/>
      <c r="I809" s="79"/>
      <c r="J809" s="79"/>
      <c r="K809" s="79"/>
      <c r="L809" s="79"/>
      <c r="M809" s="82"/>
      <c r="P809" s="79"/>
      <c r="T809" s="82"/>
      <c r="V809"/>
      <c r="Y809" s="82"/>
      <c r="AE809"/>
    </row>
    <row r="810" spans="2:31">
      <c r="B810" s="82"/>
      <c r="C810" s="82"/>
      <c r="E810" s="46"/>
      <c r="F810" s="46"/>
      <c r="G810" s="82"/>
      <c r="H810" s="82"/>
      <c r="I810" s="79"/>
      <c r="J810" s="79"/>
      <c r="K810" s="79"/>
      <c r="L810" s="79"/>
      <c r="M810" s="82"/>
      <c r="P810" s="79"/>
      <c r="T810" s="82"/>
      <c r="V810"/>
      <c r="Y810" s="82"/>
      <c r="AE810"/>
    </row>
    <row r="811" spans="2:31">
      <c r="B811" s="82"/>
      <c r="C811" s="82"/>
      <c r="E811" s="46"/>
      <c r="F811" s="46"/>
      <c r="G811" s="82"/>
      <c r="H811" s="82"/>
      <c r="I811" s="79"/>
      <c r="J811" s="79"/>
      <c r="K811" s="79"/>
      <c r="L811" s="79"/>
      <c r="M811" s="82"/>
      <c r="P811" s="79"/>
      <c r="T811" s="82"/>
      <c r="V811"/>
      <c r="Y811" s="82"/>
      <c r="AE811"/>
    </row>
    <row r="812" spans="2:31">
      <c r="B812" s="82"/>
      <c r="C812" s="82"/>
      <c r="E812" s="46"/>
      <c r="F812" s="46"/>
      <c r="G812" s="82"/>
      <c r="H812" s="82"/>
      <c r="I812" s="79"/>
      <c r="J812" s="79"/>
      <c r="K812" s="79"/>
      <c r="L812" s="79"/>
      <c r="M812" s="82"/>
      <c r="P812" s="79"/>
      <c r="T812" s="82"/>
      <c r="V812"/>
      <c r="Y812" s="82"/>
      <c r="AE812"/>
    </row>
    <row r="813" spans="2:31">
      <c r="B813" s="82"/>
      <c r="C813" s="82"/>
      <c r="E813" s="46"/>
      <c r="F813" s="46"/>
      <c r="G813" s="82"/>
      <c r="H813" s="82"/>
      <c r="I813" s="79"/>
      <c r="J813" s="79"/>
      <c r="K813" s="79"/>
      <c r="L813" s="79"/>
      <c r="M813" s="82"/>
      <c r="P813" s="79"/>
      <c r="T813" s="82"/>
      <c r="V813"/>
      <c r="Y813" s="82"/>
      <c r="AE813"/>
    </row>
    <row r="814" spans="2:31">
      <c r="B814" s="82"/>
      <c r="C814" s="82"/>
      <c r="E814" s="46"/>
      <c r="F814" s="46"/>
      <c r="G814" s="82"/>
      <c r="H814" s="82"/>
      <c r="I814" s="79"/>
      <c r="J814" s="79"/>
      <c r="K814" s="79"/>
      <c r="L814" s="79"/>
      <c r="M814" s="82"/>
      <c r="P814" s="79"/>
      <c r="T814" s="82"/>
      <c r="V814"/>
      <c r="Y814" s="82"/>
      <c r="AE814"/>
    </row>
    <row r="815" spans="2:31">
      <c r="B815" s="82"/>
      <c r="C815" s="82"/>
      <c r="E815" s="46"/>
      <c r="F815" s="46"/>
      <c r="G815" s="82"/>
      <c r="H815" s="82"/>
      <c r="I815" s="79"/>
      <c r="J815" s="79"/>
      <c r="K815" s="79"/>
      <c r="L815" s="79"/>
      <c r="M815" s="82"/>
      <c r="P815" s="79"/>
      <c r="T815" s="82"/>
      <c r="V815"/>
      <c r="Y815" s="82"/>
      <c r="AE815"/>
    </row>
    <row r="816" spans="2:31">
      <c r="B816" s="82"/>
      <c r="C816" s="82"/>
      <c r="E816" s="46"/>
      <c r="F816" s="46"/>
      <c r="G816" s="82"/>
      <c r="H816" s="82"/>
      <c r="I816" s="79"/>
      <c r="J816" s="79"/>
      <c r="K816" s="79"/>
      <c r="L816" s="79"/>
      <c r="M816" s="82"/>
      <c r="P816" s="79"/>
      <c r="T816" s="82"/>
      <c r="V816"/>
      <c r="Y816" s="82"/>
      <c r="AE816"/>
    </row>
    <row r="817" spans="2:31">
      <c r="B817" s="82"/>
      <c r="C817" s="82"/>
      <c r="E817" s="46"/>
      <c r="F817" s="46"/>
      <c r="G817" s="82"/>
      <c r="H817" s="82"/>
      <c r="I817" s="79"/>
      <c r="J817" s="79"/>
      <c r="K817" s="79"/>
      <c r="L817" s="79"/>
      <c r="M817" s="82"/>
      <c r="P817" s="79"/>
      <c r="T817" s="82"/>
      <c r="V817"/>
      <c r="Y817" s="82"/>
      <c r="AE817"/>
    </row>
    <row r="818" spans="2:31">
      <c r="B818" s="82"/>
      <c r="C818" s="82"/>
      <c r="E818" s="46"/>
      <c r="F818" s="46"/>
      <c r="G818" s="82"/>
      <c r="H818" s="82"/>
      <c r="I818" s="79"/>
      <c r="J818" s="79"/>
      <c r="K818" s="79"/>
      <c r="L818" s="79"/>
      <c r="M818" s="82"/>
      <c r="P818" s="79"/>
      <c r="T818" s="82"/>
      <c r="V818"/>
      <c r="Y818" s="82"/>
      <c r="AE818"/>
    </row>
    <row r="819" spans="2:31">
      <c r="B819" s="82"/>
      <c r="C819" s="82"/>
      <c r="E819" s="46"/>
      <c r="F819" s="46"/>
      <c r="G819" s="82"/>
      <c r="H819" s="82"/>
      <c r="I819" s="79"/>
      <c r="J819" s="79"/>
      <c r="K819" s="79"/>
      <c r="L819" s="79"/>
      <c r="M819" s="82"/>
      <c r="P819" s="79"/>
      <c r="T819" s="82"/>
      <c r="V819"/>
      <c r="Y819" s="82"/>
      <c r="AE819"/>
    </row>
    <row r="820" spans="2:31">
      <c r="B820" s="82"/>
      <c r="C820" s="82"/>
      <c r="E820" s="46"/>
      <c r="F820" s="46"/>
      <c r="G820" s="82"/>
      <c r="H820" s="82"/>
      <c r="I820" s="79"/>
      <c r="J820" s="79"/>
      <c r="K820" s="79"/>
      <c r="L820" s="79"/>
      <c r="M820" s="82"/>
      <c r="P820" s="79"/>
      <c r="T820" s="82"/>
      <c r="V820"/>
      <c r="Y820" s="82"/>
      <c r="AE820"/>
    </row>
    <row r="821" spans="2:31">
      <c r="B821" s="82"/>
      <c r="C821" s="82"/>
      <c r="E821" s="46"/>
      <c r="F821" s="46"/>
      <c r="G821" s="82"/>
      <c r="H821" s="82"/>
      <c r="I821" s="79"/>
      <c r="J821" s="79"/>
      <c r="K821" s="79"/>
      <c r="L821" s="79"/>
      <c r="M821" s="82"/>
      <c r="P821" s="79"/>
      <c r="T821" s="82"/>
      <c r="V821"/>
      <c r="Y821" s="82"/>
      <c r="AE821"/>
    </row>
    <row r="822" spans="2:31">
      <c r="B822" s="82"/>
      <c r="C822" s="82"/>
      <c r="E822" s="46"/>
      <c r="F822" s="46"/>
      <c r="G822" s="82"/>
      <c r="H822" s="82"/>
      <c r="I822" s="79"/>
      <c r="J822" s="79"/>
      <c r="K822" s="79"/>
      <c r="L822" s="79"/>
      <c r="M822" s="82"/>
      <c r="P822" s="79"/>
      <c r="T822" s="82"/>
      <c r="V822"/>
      <c r="Y822" s="82"/>
      <c r="AE822"/>
    </row>
    <row r="823" spans="2:31">
      <c r="B823" s="82"/>
      <c r="C823" s="82"/>
      <c r="E823" s="46"/>
      <c r="F823" s="46"/>
      <c r="G823" s="82"/>
      <c r="H823" s="82"/>
      <c r="I823" s="79"/>
      <c r="J823" s="79"/>
      <c r="K823" s="79"/>
      <c r="L823" s="79"/>
      <c r="M823" s="82"/>
      <c r="P823" s="79"/>
      <c r="T823" s="82"/>
      <c r="V823"/>
      <c r="Y823" s="82"/>
      <c r="AE823"/>
    </row>
    <row r="824" spans="2:31">
      <c r="B824" s="82"/>
      <c r="C824" s="82"/>
      <c r="E824" s="46"/>
      <c r="F824" s="46"/>
      <c r="G824" s="82"/>
      <c r="H824" s="82"/>
      <c r="I824" s="79"/>
      <c r="J824" s="79"/>
      <c r="K824" s="79"/>
      <c r="L824" s="79"/>
      <c r="M824" s="82"/>
      <c r="P824" s="79"/>
      <c r="T824" s="82"/>
      <c r="V824"/>
      <c r="Y824" s="82"/>
      <c r="AE824"/>
    </row>
    <row r="825" spans="2:31">
      <c r="B825" s="82"/>
      <c r="C825" s="82"/>
      <c r="E825" s="46"/>
      <c r="F825" s="46"/>
      <c r="G825" s="82"/>
      <c r="H825" s="82"/>
      <c r="I825" s="79"/>
      <c r="J825" s="79"/>
      <c r="K825" s="79"/>
      <c r="L825" s="79"/>
      <c r="M825" s="82"/>
      <c r="P825" s="79"/>
      <c r="T825" s="82"/>
      <c r="V825"/>
      <c r="Y825" s="82"/>
      <c r="AE825"/>
    </row>
    <row r="826" spans="2:31">
      <c r="B826" s="83"/>
      <c r="C826" s="83"/>
      <c r="E826" s="80"/>
      <c r="F826" s="80"/>
      <c r="G826" s="83"/>
      <c r="H826" s="83"/>
      <c r="I826" s="81"/>
      <c r="J826" s="81"/>
      <c r="K826" s="81"/>
      <c r="L826" s="81"/>
      <c r="M826" s="81"/>
      <c r="P826" s="81"/>
      <c r="T826" s="83"/>
      <c r="V826" s="81"/>
      <c r="Y826" s="83"/>
      <c r="AE826" s="81"/>
    </row>
    <row r="827" spans="2:31">
      <c r="B827" s="83"/>
      <c r="C827" s="83"/>
      <c r="E827" s="80"/>
      <c r="F827" s="80"/>
      <c r="G827" s="83"/>
      <c r="H827" s="83"/>
      <c r="I827" s="81"/>
      <c r="J827" s="81"/>
      <c r="K827" s="81"/>
      <c r="L827" s="81"/>
      <c r="M827" s="81"/>
      <c r="P827" s="81"/>
      <c r="T827" s="83"/>
      <c r="V827" s="81"/>
      <c r="Y827" s="83"/>
      <c r="AE827" s="8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9630-756D-4194-83CC-57C5CBC419FB}">
  <dimension ref="A1:I88"/>
  <sheetViews>
    <sheetView workbookViewId="0">
      <selection activeCell="C6" sqref="C6"/>
    </sheetView>
  </sheetViews>
  <sheetFormatPr defaultColWidth="11.42578125" defaultRowHeight="15"/>
  <cols>
    <col min="1" max="1" width="33.5703125" bestFit="1" customWidth="1"/>
    <col min="2" max="2" width="18.28515625" bestFit="1" customWidth="1"/>
    <col min="3" max="3" width="21.42578125" bestFit="1" customWidth="1"/>
    <col min="4" max="4" width="29.7109375" bestFit="1" customWidth="1"/>
    <col min="5" max="5" width="30" bestFit="1" customWidth="1"/>
    <col min="6" max="6" width="36.5703125" bestFit="1" customWidth="1"/>
    <col min="7" max="7" width="20.7109375" bestFit="1" customWidth="1"/>
    <col min="8" max="8" width="23.28515625" bestFit="1" customWidth="1"/>
    <col min="9" max="9" width="28.28515625" bestFit="1" customWidth="1"/>
    <col min="10" max="10" width="30.85546875" bestFit="1" customWidth="1"/>
  </cols>
  <sheetData>
    <row r="1" spans="1:9">
      <c r="A1" s="34" t="s">
        <v>65</v>
      </c>
      <c r="B1" t="s">
        <v>355</v>
      </c>
      <c r="F1" s="33" t="s">
        <v>356</v>
      </c>
      <c r="G1" s="33" t="s">
        <v>357</v>
      </c>
      <c r="H1" s="33" t="s">
        <v>358</v>
      </c>
      <c r="I1" s="33" t="s">
        <v>359</v>
      </c>
    </row>
    <row r="2" spans="1:9">
      <c r="F2" s="36" t="s">
        <v>110</v>
      </c>
      <c r="G2" s="36"/>
      <c r="H2" s="36"/>
    </row>
    <row r="3" spans="1:9">
      <c r="A3" s="34" t="s">
        <v>171</v>
      </c>
      <c r="B3" t="s">
        <v>172</v>
      </c>
      <c r="C3" t="s">
        <v>173</v>
      </c>
      <c r="F3" s="36" t="s">
        <v>112</v>
      </c>
      <c r="G3" s="36"/>
      <c r="H3" s="36"/>
    </row>
    <row r="4" spans="1:9">
      <c r="A4" s="35" t="s">
        <v>104</v>
      </c>
      <c r="B4" s="62">
        <v>826.82</v>
      </c>
      <c r="C4" s="62">
        <v>57.88</v>
      </c>
      <c r="F4" s="36" t="s">
        <v>89</v>
      </c>
      <c r="G4" s="36"/>
      <c r="H4" s="36"/>
    </row>
    <row r="5" spans="1:9">
      <c r="A5" s="35" t="s">
        <v>141</v>
      </c>
      <c r="B5" s="62">
        <v>219.59</v>
      </c>
      <c r="C5" s="62">
        <v>21.96</v>
      </c>
      <c r="F5" t="s">
        <v>132</v>
      </c>
    </row>
    <row r="6" spans="1:9">
      <c r="A6" s="35" t="s">
        <v>116</v>
      </c>
      <c r="B6" s="62">
        <v>14918.600000000002</v>
      </c>
      <c r="C6" s="62">
        <v>936.45</v>
      </c>
      <c r="F6" t="s">
        <v>108</v>
      </c>
    </row>
    <row r="7" spans="1:9">
      <c r="A7" s="35" t="s">
        <v>126</v>
      </c>
      <c r="B7" s="62">
        <v>16181.96</v>
      </c>
      <c r="C7" s="62">
        <v>452.53999999999996</v>
      </c>
      <c r="F7" t="s">
        <v>98</v>
      </c>
    </row>
    <row r="8" spans="1:9">
      <c r="A8" s="35" t="s">
        <v>138</v>
      </c>
      <c r="B8" s="62">
        <v>238048.99000000005</v>
      </c>
      <c r="C8" s="62">
        <v>23804.930000000004</v>
      </c>
      <c r="F8" t="s">
        <v>141</v>
      </c>
    </row>
    <row r="9" spans="1:9">
      <c r="A9" s="35" t="s">
        <v>101</v>
      </c>
      <c r="B9" s="62">
        <v>1534.91</v>
      </c>
      <c r="C9" s="62">
        <v>115.12</v>
      </c>
      <c r="F9" s="35" t="s">
        <v>153</v>
      </c>
      <c r="G9" s="35"/>
      <c r="H9" s="35"/>
    </row>
    <row r="10" spans="1:9">
      <c r="A10" s="35" t="s">
        <v>157</v>
      </c>
      <c r="B10" s="62">
        <v>3444.73</v>
      </c>
      <c r="C10" s="62">
        <v>344.48</v>
      </c>
      <c r="F10" t="s">
        <v>138</v>
      </c>
    </row>
    <row r="11" spans="1:9">
      <c r="A11" s="35" t="s">
        <v>218</v>
      </c>
      <c r="B11" s="62">
        <v>275175.60000000003</v>
      </c>
      <c r="C11" s="62">
        <v>25733.360000000001</v>
      </c>
      <c r="F11" s="36" t="s">
        <v>360</v>
      </c>
      <c r="G11" s="36"/>
      <c r="H11" s="36"/>
    </row>
    <row r="12" spans="1:9">
      <c r="F12" s="36" t="s">
        <v>361</v>
      </c>
      <c r="G12" s="36"/>
      <c r="H12" s="36"/>
    </row>
    <row r="13" spans="1:9">
      <c r="D13" s="39"/>
      <c r="F13" s="36" t="s">
        <v>130</v>
      </c>
      <c r="G13" s="36"/>
      <c r="H13" s="36"/>
    </row>
    <row r="14" spans="1:9">
      <c r="D14" s="39"/>
      <c r="F14" s="36" t="s">
        <v>362</v>
      </c>
      <c r="G14" s="36"/>
      <c r="H14" s="36"/>
    </row>
    <row r="15" spans="1:9">
      <c r="D15" s="39"/>
      <c r="F15" t="s">
        <v>104</v>
      </c>
    </row>
    <row r="16" spans="1:9">
      <c r="D16" s="39"/>
      <c r="F16" t="s">
        <v>135</v>
      </c>
    </row>
    <row r="17" spans="1:9">
      <c r="D17" s="39"/>
      <c r="F17" t="s">
        <v>149</v>
      </c>
    </row>
    <row r="18" spans="1:9">
      <c r="F18" s="36" t="s">
        <v>363</v>
      </c>
      <c r="G18" s="36"/>
      <c r="H18" s="36"/>
    </row>
    <row r="19" spans="1:9">
      <c r="D19" s="39"/>
      <c r="F19" t="s">
        <v>116</v>
      </c>
    </row>
    <row r="20" spans="1:9">
      <c r="F20" t="s">
        <v>126</v>
      </c>
    </row>
    <row r="21" spans="1:9">
      <c r="B21" t="s">
        <v>364</v>
      </c>
      <c r="F21" t="s">
        <v>365</v>
      </c>
    </row>
    <row r="22" spans="1:9">
      <c r="F22" t="s">
        <v>101</v>
      </c>
    </row>
    <row r="23" spans="1:9">
      <c r="A23" s="67" t="s">
        <v>366</v>
      </c>
      <c r="B23" s="45" t="s">
        <v>367</v>
      </c>
      <c r="C23" s="45" t="s">
        <v>368</v>
      </c>
      <c r="F23" t="s">
        <v>369</v>
      </c>
    </row>
    <row r="24" spans="1:9">
      <c r="A24" s="40" t="s">
        <v>370</v>
      </c>
      <c r="B24" s="68"/>
      <c r="C24" s="68"/>
      <c r="F24" t="s">
        <v>157</v>
      </c>
    </row>
    <row r="25" spans="1:9">
      <c r="A25" s="41" t="s">
        <v>371</v>
      </c>
      <c r="B25" s="44">
        <v>0</v>
      </c>
      <c r="C25" s="44">
        <v>0</v>
      </c>
      <c r="F25" s="36" t="s">
        <v>372</v>
      </c>
      <c r="G25" s="36"/>
      <c r="H25" s="36"/>
    </row>
    <row r="26" spans="1:9">
      <c r="A26" s="41" t="s">
        <v>373</v>
      </c>
      <c r="B26" s="44">
        <v>0</v>
      </c>
      <c r="C26" s="44">
        <v>0</v>
      </c>
      <c r="F26" s="53" t="s">
        <v>374</v>
      </c>
      <c r="G26" s="84"/>
      <c r="H26" s="84"/>
      <c r="I26" s="58"/>
    </row>
    <row r="27" spans="1:9">
      <c r="A27" s="41" t="s">
        <v>110</v>
      </c>
      <c r="B27" s="44">
        <v>0</v>
      </c>
      <c r="C27" s="44">
        <v>0</v>
      </c>
      <c r="F27" s="59"/>
      <c r="G27" s="60"/>
      <c r="H27" s="37"/>
      <c r="I27" s="38"/>
    </row>
    <row r="28" spans="1:9">
      <c r="A28" s="41" t="s">
        <v>112</v>
      </c>
      <c r="B28" s="44">
        <v>137196.54</v>
      </c>
      <c r="C28" s="44">
        <f>477.5+16321.05</f>
        <v>16798.55</v>
      </c>
      <c r="H28" s="37"/>
      <c r="I28" s="38"/>
    </row>
    <row r="29" spans="1:9">
      <c r="A29" s="41" t="s">
        <v>375</v>
      </c>
      <c r="B29" s="44">
        <v>0</v>
      </c>
      <c r="C29" s="44">
        <v>0</v>
      </c>
      <c r="F29" s="34" t="s">
        <v>65</v>
      </c>
      <c r="G29" t="s">
        <v>376</v>
      </c>
    </row>
    <row r="30" spans="1:9">
      <c r="A30" s="41" t="s">
        <v>361</v>
      </c>
      <c r="B30" s="44">
        <v>0</v>
      </c>
      <c r="C30" s="44">
        <v>0</v>
      </c>
      <c r="F30" s="34" t="s">
        <v>222</v>
      </c>
      <c r="G30" t="s">
        <v>355</v>
      </c>
    </row>
    <row r="31" spans="1:9">
      <c r="A31" s="41" t="s">
        <v>360</v>
      </c>
      <c r="B31" s="44">
        <v>0</v>
      </c>
      <c r="C31" s="44">
        <v>0</v>
      </c>
    </row>
    <row r="32" spans="1:9">
      <c r="A32" s="41" t="s">
        <v>141</v>
      </c>
      <c r="B32" s="44">
        <v>0</v>
      </c>
      <c r="C32" s="44">
        <v>0</v>
      </c>
      <c r="F32" s="34" t="s">
        <v>171</v>
      </c>
      <c r="G32" t="s">
        <v>172</v>
      </c>
      <c r="H32" t="s">
        <v>173</v>
      </c>
    </row>
    <row r="33" spans="1:8">
      <c r="A33" s="41" t="s">
        <v>98</v>
      </c>
      <c r="B33" s="44">
        <v>0</v>
      </c>
      <c r="C33" s="44">
        <v>0</v>
      </c>
      <c r="F33" s="35" t="s">
        <v>104</v>
      </c>
      <c r="G33" s="62"/>
      <c r="H33" s="62"/>
    </row>
    <row r="34" spans="1:8">
      <c r="A34" s="41" t="s">
        <v>130</v>
      </c>
      <c r="B34" s="44">
        <v>0</v>
      </c>
      <c r="C34" s="44">
        <v>0</v>
      </c>
      <c r="F34" s="35" t="s">
        <v>110</v>
      </c>
      <c r="G34" s="62"/>
      <c r="H34" s="62"/>
    </row>
    <row r="35" spans="1:8">
      <c r="A35" s="41" t="s">
        <v>153</v>
      </c>
      <c r="B35" s="44">
        <v>0</v>
      </c>
      <c r="C35" s="44">
        <v>0</v>
      </c>
      <c r="F35" s="35" t="s">
        <v>112</v>
      </c>
      <c r="G35" s="62"/>
      <c r="H35" s="62"/>
    </row>
    <row r="36" spans="1:8">
      <c r="A36" s="41" t="s">
        <v>132</v>
      </c>
      <c r="B36" s="44">
        <v>0</v>
      </c>
      <c r="C36" s="44">
        <v>0</v>
      </c>
      <c r="F36" s="35" t="s">
        <v>132</v>
      </c>
      <c r="G36" s="62"/>
      <c r="H36" s="62"/>
    </row>
    <row r="37" spans="1:8">
      <c r="A37" s="41" t="s">
        <v>108</v>
      </c>
      <c r="B37" s="44">
        <v>0</v>
      </c>
      <c r="C37" s="44">
        <v>0</v>
      </c>
      <c r="F37" s="35" t="s">
        <v>135</v>
      </c>
      <c r="G37" s="62"/>
      <c r="H37" s="62"/>
    </row>
    <row r="38" spans="1:8">
      <c r="A38" s="41" t="s">
        <v>138</v>
      </c>
      <c r="B38" s="44">
        <v>135226.93</v>
      </c>
      <c r="C38" s="44">
        <v>13522.72</v>
      </c>
      <c r="F38" s="35" t="s">
        <v>377</v>
      </c>
      <c r="G38" s="62"/>
      <c r="H38" s="62"/>
    </row>
    <row r="39" spans="1:8">
      <c r="A39" s="41" t="s">
        <v>104</v>
      </c>
      <c r="B39" s="44">
        <v>826.82</v>
      </c>
      <c r="C39" s="44">
        <v>57.88</v>
      </c>
      <c r="F39" s="35" t="s">
        <v>108</v>
      </c>
      <c r="G39" s="62"/>
      <c r="H39" s="62"/>
    </row>
    <row r="40" spans="1:8">
      <c r="A40" s="41" t="s">
        <v>135</v>
      </c>
      <c r="B40" s="44">
        <v>0</v>
      </c>
      <c r="C40" s="44">
        <v>0</v>
      </c>
      <c r="D40" s="37"/>
      <c r="F40" s="35" t="s">
        <v>378</v>
      </c>
      <c r="G40" s="62"/>
      <c r="H40" s="62"/>
    </row>
    <row r="41" spans="1:8">
      <c r="A41" s="41" t="s">
        <v>149</v>
      </c>
      <c r="B41" s="44">
        <v>0</v>
      </c>
      <c r="C41" s="44">
        <v>0</v>
      </c>
      <c r="F41" s="35" t="s">
        <v>98</v>
      </c>
      <c r="G41" s="62"/>
      <c r="H41" s="62"/>
    </row>
    <row r="42" spans="1:8">
      <c r="A42" s="41" t="s">
        <v>126</v>
      </c>
      <c r="B42" s="44">
        <v>15013.15</v>
      </c>
      <c r="C42" s="44">
        <v>399.72</v>
      </c>
      <c r="F42" s="35" t="s">
        <v>130</v>
      </c>
      <c r="G42" s="62"/>
      <c r="H42" s="62"/>
    </row>
    <row r="43" spans="1:8">
      <c r="A43" s="41" t="s">
        <v>116</v>
      </c>
      <c r="B43" s="44">
        <v>15051.7</v>
      </c>
      <c r="C43" s="44">
        <v>941.77</v>
      </c>
      <c r="F43" s="35" t="s">
        <v>149</v>
      </c>
      <c r="G43" s="62"/>
      <c r="H43" s="62"/>
    </row>
    <row r="44" spans="1:8">
      <c r="A44" s="41" t="s">
        <v>157</v>
      </c>
      <c r="B44" s="44">
        <v>3444.73</v>
      </c>
      <c r="C44" s="44">
        <v>344.48</v>
      </c>
      <c r="F44" s="35" t="s">
        <v>141</v>
      </c>
      <c r="G44" s="62"/>
      <c r="H44" s="62"/>
    </row>
    <row r="45" spans="1:8">
      <c r="A45" s="41" t="s">
        <v>101</v>
      </c>
      <c r="B45" s="44">
        <v>1534.91</v>
      </c>
      <c r="C45" s="44">
        <v>115.12</v>
      </c>
      <c r="F45" s="35" t="s">
        <v>153</v>
      </c>
      <c r="G45" s="62"/>
      <c r="H45" s="62"/>
    </row>
    <row r="46" spans="1:8">
      <c r="A46" s="41" t="s">
        <v>365</v>
      </c>
      <c r="B46" s="44">
        <v>0</v>
      </c>
      <c r="C46" s="44">
        <v>0</v>
      </c>
      <c r="F46" s="35" t="s">
        <v>379</v>
      </c>
      <c r="G46" s="62"/>
      <c r="H46" s="62"/>
    </row>
    <row r="47" spans="1:8">
      <c r="A47" s="41" t="s">
        <v>369</v>
      </c>
      <c r="B47" s="44">
        <v>0</v>
      </c>
      <c r="C47" s="44">
        <v>0</v>
      </c>
      <c r="F47" s="35" t="s">
        <v>116</v>
      </c>
      <c r="G47" s="62"/>
      <c r="H47" s="62"/>
    </row>
    <row r="48" spans="1:8">
      <c r="A48" s="40" t="s">
        <v>380</v>
      </c>
      <c r="B48" s="68">
        <v>0</v>
      </c>
      <c r="C48" s="85">
        <v>0</v>
      </c>
      <c r="F48" s="35" t="s">
        <v>126</v>
      </c>
      <c r="G48" s="62"/>
      <c r="H48" s="62"/>
    </row>
    <row r="49" spans="1:8" ht="15.75" thickBot="1">
      <c r="A49" s="42" t="s">
        <v>381</v>
      </c>
      <c r="B49" s="43"/>
      <c r="C49" s="43"/>
      <c r="D49" s="36"/>
      <c r="F49" s="35" t="s">
        <v>138</v>
      </c>
      <c r="G49" s="62"/>
      <c r="H49" s="62"/>
    </row>
    <row r="50" spans="1:8" ht="15.75" thickTop="1">
      <c r="F50" s="35" t="s">
        <v>101</v>
      </c>
      <c r="G50" s="62"/>
      <c r="H50" s="62"/>
    </row>
    <row r="51" spans="1:8">
      <c r="F51" s="35" t="s">
        <v>157</v>
      </c>
      <c r="G51" s="62"/>
      <c r="H51" s="62"/>
    </row>
    <row r="52" spans="1:8">
      <c r="F52" s="35" t="s">
        <v>382</v>
      </c>
      <c r="G52" s="62"/>
      <c r="H52" s="62"/>
    </row>
    <row r="53" spans="1:8">
      <c r="F53" s="35" t="s">
        <v>218</v>
      </c>
      <c r="G53" s="62"/>
      <c r="H53" s="62"/>
    </row>
    <row r="54" spans="1:8">
      <c r="A54" s="66" t="s">
        <v>383</v>
      </c>
      <c r="B54" s="45" t="s">
        <v>367</v>
      </c>
      <c r="C54" s="45" t="s">
        <v>368</v>
      </c>
    </row>
    <row r="55" spans="1:8">
      <c r="A55" s="40" t="s">
        <v>384</v>
      </c>
      <c r="B55" s="43" t="str">
        <f>IFERROR(VLOOKUP(A55,$A$3:$C$19,2,0)-VLOOKUP(A55,$A$25:$C$47,2,0),"")</f>
        <v/>
      </c>
      <c r="C55" s="43" t="str">
        <f>IFERROR(VLOOKUP(A55,$A$3:$C$20,3,0)-VLOOKUP(A55,$A$24:$C$50,3,0),"")</f>
        <v/>
      </c>
    </row>
    <row r="56" spans="1:8">
      <c r="A56" s="41" t="s">
        <v>385</v>
      </c>
      <c r="B56" s="43" t="str">
        <f t="shared" ref="B56:B59" si="0">IFERROR(VLOOKUP(A56,$A$3:$C$19,2,0)-VLOOKUP(A56,$A$25:$C$47,2,0),"")</f>
        <v/>
      </c>
      <c r="C56" s="43" t="str">
        <f t="shared" ref="C56:C59" si="1">IFERROR(VLOOKUP(A56,$A$3:$C$20,3,0)-VLOOKUP(A56,$A$24:$C$50,3,0),"")</f>
        <v/>
      </c>
    </row>
    <row r="57" spans="1:8">
      <c r="A57" s="41" t="s">
        <v>386</v>
      </c>
      <c r="B57" s="43" t="str">
        <f t="shared" si="0"/>
        <v/>
      </c>
      <c r="C57" s="43" t="str">
        <f t="shared" si="1"/>
        <v/>
      </c>
      <c r="F57" t="s">
        <v>387</v>
      </c>
    </row>
    <row r="58" spans="1:8">
      <c r="A58" s="41" t="s">
        <v>388</v>
      </c>
      <c r="B58" s="43" t="str">
        <f t="shared" si="0"/>
        <v/>
      </c>
      <c r="C58" s="43" t="str">
        <f t="shared" si="1"/>
        <v/>
      </c>
    </row>
    <row r="59" spans="1:8">
      <c r="A59" s="40" t="s">
        <v>370</v>
      </c>
      <c r="B59" s="43" t="str">
        <f t="shared" si="0"/>
        <v/>
      </c>
      <c r="C59" s="43" t="str">
        <f t="shared" si="1"/>
        <v/>
      </c>
      <c r="F59" s="35" t="s">
        <v>104</v>
      </c>
      <c r="G59" s="39">
        <f>IFERROR(VLOOKUP(F59,$A$3:$C$19,2,0),0)-IFERROR(VLOOKUP(F59,$F$2:$G$26,2,0),0)-IFERROR(VLOOKUP(F59,$F$29:$H$53,2,0),"")</f>
        <v>826.82</v>
      </c>
      <c r="H59">
        <f>IFERROR(VLOOKUP(F59,$A$3:$C$19,3,0),0)-IFERROR(VLOOKUP(F59,$F$2:$H$26,3,0),0)-IFERROR(VLOOKUP(F59,$F$31:$H$53,3,0),"")</f>
        <v>57.88</v>
      </c>
    </row>
    <row r="60" spans="1:8">
      <c r="A60" s="41" t="s">
        <v>371</v>
      </c>
      <c r="B60" s="43">
        <f>IFERROR(VLOOKUP(A60,$A$3:$C$19,2,0),0)-IFERROR(VLOOKUP(A60,$A$25:$C$47,2,0),0)</f>
        <v>0</v>
      </c>
      <c r="C60" s="43">
        <f>IFERROR(VLOOKUP(A60,$A$3:$C$20,3,0),0)-IFERROR(VLOOKUP(A60,$A$24:$C$50,3,0),0)</f>
        <v>0</v>
      </c>
      <c r="F60" s="35" t="s">
        <v>110</v>
      </c>
      <c r="G60" s="39">
        <f t="shared" ref="G60:G75" si="2">IFERROR(VLOOKUP(F60,$A$3:$C$19,2,0),0)-IFERROR(VLOOKUP(F60,$F$2:$G$26,2,0),0)-IFERROR(VLOOKUP(F60,$F$29:$H$53,2,0),"")</f>
        <v>0</v>
      </c>
      <c r="H60">
        <f t="shared" ref="H60:H76" si="3">IFERROR(VLOOKUP(F60,$A$3:$C$19,3,0),0)-IFERROR(VLOOKUP(F60,$F$2:$H$26,3,0),0)-IFERROR(VLOOKUP(F60,$F$31:$H$53,3,0),"")</f>
        <v>0</v>
      </c>
    </row>
    <row r="61" spans="1:8">
      <c r="A61" s="41" t="s">
        <v>373</v>
      </c>
      <c r="B61" s="43">
        <f t="shared" ref="B61:B83" si="4">IFERROR(VLOOKUP(A61,$A$3:$C$19,2,0),0)-IFERROR(VLOOKUP(A61,$A$25:$C$47,2,0),0)</f>
        <v>0</v>
      </c>
      <c r="C61" s="43">
        <f t="shared" ref="C61:C83" si="5">IFERROR(VLOOKUP(A61,$A$3:$C$20,3,0),0)-IFERROR(VLOOKUP(A61,$A$24:$C$50,3,0),0)</f>
        <v>0</v>
      </c>
      <c r="F61" s="35" t="s">
        <v>112</v>
      </c>
      <c r="G61" s="39">
        <f t="shared" si="2"/>
        <v>0</v>
      </c>
      <c r="H61">
        <f t="shared" si="3"/>
        <v>0</v>
      </c>
    </row>
    <row r="62" spans="1:8">
      <c r="A62" s="41" t="s">
        <v>110</v>
      </c>
      <c r="B62" s="43">
        <f t="shared" si="4"/>
        <v>0</v>
      </c>
      <c r="C62" s="43">
        <f t="shared" si="5"/>
        <v>0</v>
      </c>
      <c r="F62" s="35" t="s">
        <v>132</v>
      </c>
      <c r="G62" s="39">
        <f t="shared" si="2"/>
        <v>0</v>
      </c>
      <c r="H62">
        <f t="shared" si="3"/>
        <v>0</v>
      </c>
    </row>
    <row r="63" spans="1:8">
      <c r="A63" s="41" t="s">
        <v>112</v>
      </c>
      <c r="B63" s="43">
        <f t="shared" si="4"/>
        <v>-137196.54</v>
      </c>
      <c r="C63" s="43">
        <f t="shared" si="5"/>
        <v>-16798.55</v>
      </c>
      <c r="F63" s="35" t="s">
        <v>135</v>
      </c>
      <c r="G63" s="39">
        <f t="shared" si="2"/>
        <v>0</v>
      </c>
      <c r="H63">
        <f t="shared" si="3"/>
        <v>0</v>
      </c>
    </row>
    <row r="64" spans="1:8">
      <c r="A64" s="41" t="s">
        <v>375</v>
      </c>
      <c r="B64" s="43">
        <f t="shared" si="4"/>
        <v>0</v>
      </c>
      <c r="C64" s="43">
        <f t="shared" si="5"/>
        <v>0</v>
      </c>
      <c r="F64" s="35" t="s">
        <v>377</v>
      </c>
      <c r="G64" s="39">
        <f t="shared" si="2"/>
        <v>0</v>
      </c>
      <c r="H64">
        <f t="shared" si="3"/>
        <v>0</v>
      </c>
    </row>
    <row r="65" spans="1:8">
      <c r="A65" s="41" t="s">
        <v>361</v>
      </c>
      <c r="B65" s="43">
        <f t="shared" si="4"/>
        <v>0</v>
      </c>
      <c r="C65" s="43">
        <f t="shared" si="5"/>
        <v>0</v>
      </c>
      <c r="F65" s="35" t="s">
        <v>108</v>
      </c>
      <c r="G65" s="39">
        <f t="shared" si="2"/>
        <v>0</v>
      </c>
      <c r="H65">
        <f t="shared" si="3"/>
        <v>0</v>
      </c>
    </row>
    <row r="66" spans="1:8">
      <c r="A66" s="41" t="s">
        <v>360</v>
      </c>
      <c r="B66" s="43">
        <f t="shared" si="4"/>
        <v>0</v>
      </c>
      <c r="C66" s="43">
        <f t="shared" si="5"/>
        <v>0</v>
      </c>
      <c r="F66" s="35" t="s">
        <v>378</v>
      </c>
      <c r="G66" s="39">
        <f t="shared" si="2"/>
        <v>0</v>
      </c>
      <c r="H66">
        <f t="shared" si="3"/>
        <v>0</v>
      </c>
    </row>
    <row r="67" spans="1:8">
      <c r="A67" s="41" t="s">
        <v>141</v>
      </c>
      <c r="B67" s="43">
        <f t="shared" si="4"/>
        <v>219.59</v>
      </c>
      <c r="C67" s="43">
        <f t="shared" si="5"/>
        <v>21.96</v>
      </c>
      <c r="F67" s="35" t="s">
        <v>98</v>
      </c>
      <c r="G67" s="39">
        <f t="shared" si="2"/>
        <v>0</v>
      </c>
      <c r="H67">
        <f t="shared" si="3"/>
        <v>0</v>
      </c>
    </row>
    <row r="68" spans="1:8">
      <c r="A68" s="41" t="s">
        <v>98</v>
      </c>
      <c r="B68" s="43">
        <f t="shared" si="4"/>
        <v>0</v>
      </c>
      <c r="C68" s="43">
        <f t="shared" si="5"/>
        <v>0</v>
      </c>
      <c r="F68" s="35" t="s">
        <v>130</v>
      </c>
      <c r="G68" s="39">
        <f t="shared" si="2"/>
        <v>0</v>
      </c>
      <c r="H68">
        <f t="shared" si="3"/>
        <v>0</v>
      </c>
    </row>
    <row r="69" spans="1:8">
      <c r="A69" s="41" t="s">
        <v>130</v>
      </c>
      <c r="B69" s="43">
        <f t="shared" si="4"/>
        <v>0</v>
      </c>
      <c r="C69" s="43">
        <f t="shared" si="5"/>
        <v>0</v>
      </c>
      <c r="F69" s="35" t="s">
        <v>149</v>
      </c>
      <c r="G69" s="39">
        <f t="shared" si="2"/>
        <v>0</v>
      </c>
      <c r="H69">
        <f t="shared" si="3"/>
        <v>0</v>
      </c>
    </row>
    <row r="70" spans="1:8">
      <c r="A70" s="41" t="s">
        <v>153</v>
      </c>
      <c r="B70" s="43">
        <f t="shared" si="4"/>
        <v>0</v>
      </c>
      <c r="C70" s="43">
        <f t="shared" si="5"/>
        <v>0</v>
      </c>
      <c r="F70" s="35" t="s">
        <v>141</v>
      </c>
      <c r="G70" s="39">
        <f t="shared" si="2"/>
        <v>219.59</v>
      </c>
      <c r="H70">
        <f t="shared" si="3"/>
        <v>21.96</v>
      </c>
    </row>
    <row r="71" spans="1:8">
      <c r="A71" s="41" t="s">
        <v>132</v>
      </c>
      <c r="B71" s="43">
        <f t="shared" si="4"/>
        <v>0</v>
      </c>
      <c r="C71" s="43">
        <f t="shared" si="5"/>
        <v>0</v>
      </c>
      <c r="F71" s="35" t="s">
        <v>153</v>
      </c>
      <c r="G71" s="39">
        <f t="shared" si="2"/>
        <v>0</v>
      </c>
      <c r="H71">
        <f t="shared" si="3"/>
        <v>0</v>
      </c>
    </row>
    <row r="72" spans="1:8">
      <c r="A72" s="41" t="s">
        <v>108</v>
      </c>
      <c r="B72" s="43">
        <f t="shared" si="4"/>
        <v>0</v>
      </c>
      <c r="C72" s="43">
        <f t="shared" si="5"/>
        <v>0</v>
      </c>
      <c r="F72" s="35" t="s">
        <v>116</v>
      </c>
      <c r="G72" s="39">
        <f t="shared" si="2"/>
        <v>14918.600000000002</v>
      </c>
      <c r="H72">
        <f t="shared" si="3"/>
        <v>936.45</v>
      </c>
    </row>
    <row r="73" spans="1:8">
      <c r="A73" s="41" t="s">
        <v>138</v>
      </c>
      <c r="B73" s="43">
        <f t="shared" si="4"/>
        <v>102822.06000000006</v>
      </c>
      <c r="C73" s="43">
        <f t="shared" si="5"/>
        <v>10282.210000000005</v>
      </c>
      <c r="F73" s="35" t="s">
        <v>126</v>
      </c>
      <c r="G73" s="39">
        <f t="shared" si="2"/>
        <v>16181.96</v>
      </c>
      <c r="H73">
        <f t="shared" si="3"/>
        <v>452.53999999999996</v>
      </c>
    </row>
    <row r="74" spans="1:8">
      <c r="A74" s="41" t="s">
        <v>104</v>
      </c>
      <c r="B74" s="43">
        <f t="shared" si="4"/>
        <v>0</v>
      </c>
      <c r="C74" s="43">
        <f t="shared" si="5"/>
        <v>0</v>
      </c>
      <c r="F74" s="35" t="s">
        <v>138</v>
      </c>
      <c r="G74" s="39">
        <f t="shared" si="2"/>
        <v>238048.99000000005</v>
      </c>
      <c r="H74">
        <f t="shared" si="3"/>
        <v>23804.930000000004</v>
      </c>
    </row>
    <row r="75" spans="1:8">
      <c r="A75" s="41" t="s">
        <v>135</v>
      </c>
      <c r="B75" s="43">
        <f t="shared" si="4"/>
        <v>0</v>
      </c>
      <c r="C75" s="43">
        <f t="shared" si="5"/>
        <v>0</v>
      </c>
      <c r="F75" s="35" t="s">
        <v>101</v>
      </c>
      <c r="G75" s="39">
        <f t="shared" si="2"/>
        <v>1534.91</v>
      </c>
      <c r="H75">
        <f t="shared" si="3"/>
        <v>115.12</v>
      </c>
    </row>
    <row r="76" spans="1:8">
      <c r="A76" s="41" t="s">
        <v>149</v>
      </c>
      <c r="B76" s="43">
        <f t="shared" si="4"/>
        <v>0</v>
      </c>
      <c r="C76" s="43">
        <f t="shared" si="5"/>
        <v>0</v>
      </c>
      <c r="F76" s="35" t="s">
        <v>157</v>
      </c>
      <c r="G76" s="39">
        <f>IFERROR(VLOOKUP(F76,$A$3:$C$19,2,0),0)-IFERROR(VLOOKUP(F76,$F$2:$G$26,2,0),0)-IFERROR(VLOOKUP(F76,$F$29:$H$53,2,0),"")</f>
        <v>3444.73</v>
      </c>
      <c r="H76">
        <f t="shared" si="3"/>
        <v>344.48</v>
      </c>
    </row>
    <row r="77" spans="1:8">
      <c r="A77" s="41" t="s">
        <v>126</v>
      </c>
      <c r="B77" s="43">
        <f t="shared" si="4"/>
        <v>1168.8099999999995</v>
      </c>
      <c r="C77" s="43">
        <f t="shared" si="5"/>
        <v>52.819999999999936</v>
      </c>
      <c r="G77" s="63">
        <f>SUM(G59:G76)</f>
        <v>275175.60000000003</v>
      </c>
      <c r="H77" s="63">
        <f>SUM(H59:H76)</f>
        <v>25733.360000000001</v>
      </c>
    </row>
    <row r="78" spans="1:8">
      <c r="A78" s="41" t="s">
        <v>116</v>
      </c>
      <c r="B78" s="43">
        <f t="shared" si="4"/>
        <v>-133.09999999999854</v>
      </c>
      <c r="C78" s="43">
        <f t="shared" si="5"/>
        <v>-5.3199999999999363</v>
      </c>
    </row>
    <row r="79" spans="1:8">
      <c r="A79" s="41" t="s">
        <v>157</v>
      </c>
      <c r="B79" s="43">
        <f t="shared" si="4"/>
        <v>0</v>
      </c>
      <c r="C79" s="43">
        <f t="shared" si="5"/>
        <v>0</v>
      </c>
    </row>
    <row r="80" spans="1:8">
      <c r="A80" s="41" t="s">
        <v>101</v>
      </c>
      <c r="B80" s="43">
        <f t="shared" si="4"/>
        <v>0</v>
      </c>
      <c r="C80" s="43">
        <f t="shared" si="5"/>
        <v>0</v>
      </c>
    </row>
    <row r="81" spans="1:8">
      <c r="A81" s="41" t="s">
        <v>365</v>
      </c>
      <c r="B81" s="43">
        <f t="shared" si="4"/>
        <v>0</v>
      </c>
      <c r="C81" s="43">
        <f t="shared" si="5"/>
        <v>0</v>
      </c>
    </row>
    <row r="82" spans="1:8">
      <c r="A82" s="41" t="s">
        <v>369</v>
      </c>
      <c r="B82" s="43">
        <f t="shared" si="4"/>
        <v>0</v>
      </c>
      <c r="C82" s="43">
        <f t="shared" si="5"/>
        <v>0</v>
      </c>
    </row>
    <row r="83" spans="1:8">
      <c r="A83" s="40" t="s">
        <v>380</v>
      </c>
      <c r="B83" s="43">
        <f t="shared" si="4"/>
        <v>0</v>
      </c>
      <c r="C83" s="43">
        <f t="shared" si="5"/>
        <v>0</v>
      </c>
    </row>
    <row r="84" spans="1:8">
      <c r="A84" s="42" t="s">
        <v>381</v>
      </c>
      <c r="B84" s="43">
        <f>SUM(B60:B83)</f>
        <v>-33119.179999999957</v>
      </c>
      <c r="C84" s="43">
        <f>SUM(C60:C83)</f>
        <v>-6446.8799999999956</v>
      </c>
      <c r="D84" s="43"/>
    </row>
    <row r="87" spans="1:8">
      <c r="G87" s="64">
        <f>+G77+G53+G26-B19</f>
        <v>275175.60000000003</v>
      </c>
      <c r="H87" s="64">
        <f>+H77+H53+H26-C19</f>
        <v>25733.360000000001</v>
      </c>
    </row>
    <row r="88" spans="1:8">
      <c r="B88" s="61">
        <f>+B84+B49-B10</f>
        <v>-36563.90999999996</v>
      </c>
      <c r="C88" s="61">
        <f>+C84+C49-C10</f>
        <v>-6791.3599999999951</v>
      </c>
      <c r="D88" s="6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FD6E-5844-4FE7-A116-8699E97DE73A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AF37-B96D-45E7-93CE-F4B31E6CBC83}">
  <dimension ref="A1:J137"/>
  <sheetViews>
    <sheetView topLeftCell="A109" workbookViewId="0">
      <selection activeCell="K145" sqref="K145"/>
    </sheetView>
  </sheetViews>
  <sheetFormatPr defaultColWidth="9.140625" defaultRowHeight="15"/>
  <cols>
    <col min="3" max="3" width="10.42578125" bestFit="1" customWidth="1"/>
    <col min="6" max="6" width="22" customWidth="1"/>
    <col min="7" max="7" width="16.140625" customWidth="1"/>
    <col min="9" max="9" width="10.5703125" bestFit="1" customWidth="1"/>
  </cols>
  <sheetData>
    <row r="1" spans="1:10">
      <c r="A1" s="47" t="s">
        <v>389</v>
      </c>
      <c r="B1" s="47" t="s">
        <v>390</v>
      </c>
      <c r="C1" s="47" t="s">
        <v>28</v>
      </c>
      <c r="D1" s="47" t="s">
        <v>391</v>
      </c>
      <c r="E1" s="47" t="s">
        <v>392</v>
      </c>
      <c r="F1" s="47" t="s">
        <v>393</v>
      </c>
      <c r="G1" s="47" t="s">
        <v>394</v>
      </c>
      <c r="H1" s="47" t="s">
        <v>372</v>
      </c>
      <c r="I1" s="65" t="s">
        <v>36</v>
      </c>
      <c r="J1" s="65" t="s">
        <v>395</v>
      </c>
    </row>
    <row r="2" spans="1:10">
      <c r="A2" t="s">
        <v>94</v>
      </c>
      <c r="B2" t="s">
        <v>396</v>
      </c>
      <c r="C2" s="46">
        <v>45931</v>
      </c>
      <c r="D2" t="s">
        <v>104</v>
      </c>
      <c r="E2" t="s">
        <v>370</v>
      </c>
      <c r="F2" t="s">
        <v>251</v>
      </c>
      <c r="G2" t="s">
        <v>397</v>
      </c>
      <c r="I2" s="15">
        <v>697.83</v>
      </c>
      <c r="J2" s="15">
        <v>38.380000000000003</v>
      </c>
    </row>
    <row r="3" spans="1:10">
      <c r="A3" t="s">
        <v>94</v>
      </c>
      <c r="B3" t="s">
        <v>396</v>
      </c>
      <c r="C3" s="46">
        <v>45931</v>
      </c>
      <c r="D3" t="s">
        <v>104</v>
      </c>
      <c r="E3" t="s">
        <v>370</v>
      </c>
      <c r="F3" t="s">
        <v>236</v>
      </c>
      <c r="G3" t="s">
        <v>244</v>
      </c>
      <c r="I3" s="15">
        <v>985.05</v>
      </c>
      <c r="J3" s="15">
        <v>59.1</v>
      </c>
    </row>
    <row r="4" spans="1:10">
      <c r="A4" t="s">
        <v>94</v>
      </c>
      <c r="B4" t="s">
        <v>396</v>
      </c>
      <c r="C4" s="46">
        <v>45931</v>
      </c>
      <c r="D4" t="s">
        <v>135</v>
      </c>
      <c r="E4" t="s">
        <v>370</v>
      </c>
      <c r="F4" t="s">
        <v>398</v>
      </c>
      <c r="G4" t="s">
        <v>399</v>
      </c>
      <c r="I4" s="15">
        <v>898.91</v>
      </c>
      <c r="J4" s="15">
        <v>112.36</v>
      </c>
    </row>
    <row r="5" spans="1:10">
      <c r="A5" t="s">
        <v>94</v>
      </c>
      <c r="B5" t="s">
        <v>396</v>
      </c>
      <c r="C5" s="46">
        <v>45938</v>
      </c>
      <c r="D5" t="s">
        <v>116</v>
      </c>
      <c r="E5" t="s">
        <v>370</v>
      </c>
      <c r="F5" t="s">
        <v>255</v>
      </c>
      <c r="G5" t="s">
        <v>254</v>
      </c>
      <c r="I5" s="15">
        <v>66.55</v>
      </c>
      <c r="J5" s="15">
        <v>3</v>
      </c>
    </row>
    <row r="6" spans="1:10">
      <c r="A6" t="s">
        <v>94</v>
      </c>
      <c r="B6" t="s">
        <v>396</v>
      </c>
      <c r="C6" s="46">
        <v>45938</v>
      </c>
      <c r="D6" t="s">
        <v>116</v>
      </c>
      <c r="E6" t="s">
        <v>370</v>
      </c>
      <c r="F6" t="s">
        <v>265</v>
      </c>
      <c r="G6" t="s">
        <v>254</v>
      </c>
      <c r="I6" s="15">
        <v>66.55</v>
      </c>
      <c r="J6" s="15">
        <v>2.66</v>
      </c>
    </row>
    <row r="7" spans="1:10">
      <c r="A7" t="s">
        <v>94</v>
      </c>
      <c r="B7" t="s">
        <v>396</v>
      </c>
      <c r="C7" s="46">
        <v>45938</v>
      </c>
      <c r="D7" t="s">
        <v>116</v>
      </c>
      <c r="E7" t="s">
        <v>370</v>
      </c>
      <c r="F7" t="s">
        <v>261</v>
      </c>
      <c r="G7" t="s">
        <v>254</v>
      </c>
      <c r="I7" s="15">
        <v>66.55</v>
      </c>
      <c r="J7" s="15">
        <v>2.66</v>
      </c>
    </row>
    <row r="8" spans="1:10">
      <c r="A8" t="s">
        <v>94</v>
      </c>
      <c r="B8" t="s">
        <v>396</v>
      </c>
      <c r="C8" s="46">
        <v>45938</v>
      </c>
      <c r="D8" t="s">
        <v>116</v>
      </c>
      <c r="E8" t="s">
        <v>370</v>
      </c>
      <c r="F8" t="s">
        <v>251</v>
      </c>
      <c r="G8" t="s">
        <v>254</v>
      </c>
      <c r="I8" s="15">
        <v>66.55</v>
      </c>
      <c r="J8" s="15">
        <v>2.66</v>
      </c>
    </row>
    <row r="9" spans="1:10">
      <c r="A9" t="s">
        <v>94</v>
      </c>
      <c r="B9" t="s">
        <v>396</v>
      </c>
      <c r="C9" s="46">
        <v>45938</v>
      </c>
      <c r="D9" t="s">
        <v>116</v>
      </c>
      <c r="E9" t="s">
        <v>370</v>
      </c>
      <c r="F9" t="s">
        <v>255</v>
      </c>
      <c r="G9" t="s">
        <v>254</v>
      </c>
      <c r="I9" s="15">
        <v>66.55</v>
      </c>
      <c r="J9" s="15">
        <v>2.66</v>
      </c>
    </row>
    <row r="10" spans="1:10">
      <c r="A10" t="s">
        <v>94</v>
      </c>
      <c r="B10" t="s">
        <v>396</v>
      </c>
      <c r="C10" s="46">
        <v>45938</v>
      </c>
      <c r="D10" t="s">
        <v>116</v>
      </c>
      <c r="E10" t="s">
        <v>370</v>
      </c>
      <c r="F10" t="s">
        <v>255</v>
      </c>
      <c r="G10" t="s">
        <v>254</v>
      </c>
      <c r="I10" s="15">
        <v>318.81</v>
      </c>
      <c r="J10" s="15">
        <v>13.94</v>
      </c>
    </row>
    <row r="11" spans="1:10">
      <c r="A11" t="s">
        <v>94</v>
      </c>
      <c r="B11" t="s">
        <v>396</v>
      </c>
      <c r="C11" s="46">
        <v>45938</v>
      </c>
      <c r="D11" t="s">
        <v>116</v>
      </c>
      <c r="E11" t="s">
        <v>370</v>
      </c>
      <c r="F11" t="s">
        <v>265</v>
      </c>
      <c r="G11" t="s">
        <v>254</v>
      </c>
      <c r="I11" s="15">
        <v>66.55</v>
      </c>
      <c r="J11" s="15">
        <v>3</v>
      </c>
    </row>
    <row r="12" spans="1:10">
      <c r="A12" t="s">
        <v>94</v>
      </c>
      <c r="B12" t="s">
        <v>396</v>
      </c>
      <c r="C12" s="46">
        <v>45938</v>
      </c>
      <c r="D12" t="s">
        <v>116</v>
      </c>
      <c r="E12" t="s">
        <v>370</v>
      </c>
      <c r="F12" t="s">
        <v>265</v>
      </c>
      <c r="G12" t="s">
        <v>254</v>
      </c>
      <c r="I12" s="15">
        <v>133.1</v>
      </c>
      <c r="J12" s="15">
        <v>5.32</v>
      </c>
    </row>
    <row r="13" spans="1:10">
      <c r="A13" t="s">
        <v>94</v>
      </c>
      <c r="B13" t="s">
        <v>396</v>
      </c>
      <c r="C13" s="46">
        <v>45938</v>
      </c>
      <c r="D13" t="s">
        <v>116</v>
      </c>
      <c r="E13" t="s">
        <v>370</v>
      </c>
      <c r="F13" t="s">
        <v>269</v>
      </c>
      <c r="G13" t="s">
        <v>254</v>
      </c>
      <c r="I13" s="15">
        <v>133.1</v>
      </c>
      <c r="J13" s="15">
        <v>5.32</v>
      </c>
    </row>
    <row r="14" spans="1:10">
      <c r="A14" t="s">
        <v>94</v>
      </c>
      <c r="B14" t="s">
        <v>396</v>
      </c>
      <c r="C14" s="46">
        <v>45938</v>
      </c>
      <c r="D14" t="s">
        <v>116</v>
      </c>
      <c r="E14" t="s">
        <v>370</v>
      </c>
      <c r="F14" t="s">
        <v>255</v>
      </c>
      <c r="G14" t="s">
        <v>254</v>
      </c>
      <c r="I14" s="15">
        <v>66.55</v>
      </c>
      <c r="J14" s="15">
        <v>2.66</v>
      </c>
    </row>
    <row r="15" spans="1:10">
      <c r="A15" t="s">
        <v>94</v>
      </c>
      <c r="B15" t="s">
        <v>396</v>
      </c>
      <c r="C15" s="46">
        <v>45938</v>
      </c>
      <c r="D15" t="s">
        <v>116</v>
      </c>
      <c r="E15" t="s">
        <v>370</v>
      </c>
      <c r="F15" t="s">
        <v>236</v>
      </c>
      <c r="G15" t="s">
        <v>254</v>
      </c>
      <c r="I15" s="15">
        <v>133.1</v>
      </c>
      <c r="J15" s="15">
        <v>6.32</v>
      </c>
    </row>
    <row r="16" spans="1:10">
      <c r="A16" t="s">
        <v>94</v>
      </c>
      <c r="B16" t="s">
        <v>396</v>
      </c>
      <c r="C16" s="46">
        <v>45938</v>
      </c>
      <c r="D16" t="s">
        <v>116</v>
      </c>
      <c r="E16" t="s">
        <v>370</v>
      </c>
      <c r="F16" t="s">
        <v>267</v>
      </c>
      <c r="G16" t="s">
        <v>254</v>
      </c>
      <c r="I16" s="15">
        <v>106.27</v>
      </c>
      <c r="J16" s="15">
        <v>4.25</v>
      </c>
    </row>
    <row r="17" spans="1:10">
      <c r="A17" t="s">
        <v>94</v>
      </c>
      <c r="B17" t="s">
        <v>396</v>
      </c>
      <c r="C17" s="46">
        <v>45938</v>
      </c>
      <c r="D17" t="s">
        <v>116</v>
      </c>
      <c r="E17" t="s">
        <v>370</v>
      </c>
      <c r="F17" t="s">
        <v>265</v>
      </c>
      <c r="G17" t="s">
        <v>254</v>
      </c>
      <c r="I17" s="15">
        <v>-133.1</v>
      </c>
      <c r="J17" s="15">
        <v>-6.66</v>
      </c>
    </row>
    <row r="18" spans="1:10">
      <c r="A18" t="s">
        <v>94</v>
      </c>
      <c r="B18" t="s">
        <v>396</v>
      </c>
      <c r="C18" s="46">
        <v>45938</v>
      </c>
      <c r="D18" t="s">
        <v>116</v>
      </c>
      <c r="E18" t="s">
        <v>370</v>
      </c>
      <c r="F18" t="s">
        <v>246</v>
      </c>
      <c r="G18" t="s">
        <v>254</v>
      </c>
      <c r="I18" s="15">
        <v>66.55</v>
      </c>
      <c r="J18" s="15">
        <v>2.66</v>
      </c>
    </row>
    <row r="19" spans="1:10">
      <c r="A19" t="s">
        <v>94</v>
      </c>
      <c r="B19" t="s">
        <v>396</v>
      </c>
      <c r="C19" s="46">
        <v>45938</v>
      </c>
      <c r="D19" t="s">
        <v>116</v>
      </c>
      <c r="E19" t="s">
        <v>370</v>
      </c>
      <c r="F19" t="s">
        <v>236</v>
      </c>
      <c r="G19" t="s">
        <v>254</v>
      </c>
      <c r="I19" s="15">
        <v>66.55</v>
      </c>
      <c r="J19" s="15">
        <v>3</v>
      </c>
    </row>
    <row r="20" spans="1:10">
      <c r="A20" t="s">
        <v>94</v>
      </c>
      <c r="B20" t="s">
        <v>396</v>
      </c>
      <c r="C20" s="46">
        <v>45938</v>
      </c>
      <c r="D20" t="s">
        <v>116</v>
      </c>
      <c r="E20" t="s">
        <v>370</v>
      </c>
      <c r="F20" t="s">
        <v>267</v>
      </c>
      <c r="G20" t="s">
        <v>254</v>
      </c>
      <c r="I20" s="15">
        <v>66.55</v>
      </c>
      <c r="J20" s="15">
        <v>2.66</v>
      </c>
    </row>
    <row r="21" spans="1:10">
      <c r="A21" t="s">
        <v>94</v>
      </c>
      <c r="B21" t="s">
        <v>396</v>
      </c>
      <c r="C21" s="46">
        <v>45938</v>
      </c>
      <c r="D21" t="s">
        <v>116</v>
      </c>
      <c r="E21" t="s">
        <v>370</v>
      </c>
      <c r="F21" t="s">
        <v>269</v>
      </c>
      <c r="G21" t="s">
        <v>254</v>
      </c>
      <c r="I21" s="15">
        <v>66.55</v>
      </c>
      <c r="J21" s="15">
        <v>2.66</v>
      </c>
    </row>
    <row r="22" spans="1:10">
      <c r="A22" t="s">
        <v>94</v>
      </c>
      <c r="B22" t="s">
        <v>396</v>
      </c>
      <c r="C22" s="46">
        <v>45938</v>
      </c>
      <c r="D22" t="s">
        <v>116</v>
      </c>
      <c r="E22" t="s">
        <v>370</v>
      </c>
      <c r="F22" t="s">
        <v>246</v>
      </c>
      <c r="G22" t="s">
        <v>254</v>
      </c>
      <c r="I22" s="15">
        <v>66.55</v>
      </c>
      <c r="J22" s="15">
        <v>2.66</v>
      </c>
    </row>
    <row r="23" spans="1:10">
      <c r="A23" t="s">
        <v>94</v>
      </c>
      <c r="B23" t="s">
        <v>396</v>
      </c>
      <c r="C23" s="46">
        <v>45938</v>
      </c>
      <c r="D23" t="s">
        <v>116</v>
      </c>
      <c r="E23" t="s">
        <v>370</v>
      </c>
      <c r="F23" t="s">
        <v>265</v>
      </c>
      <c r="G23" t="s">
        <v>254</v>
      </c>
      <c r="I23" s="15">
        <v>66.55</v>
      </c>
      <c r="J23" s="15">
        <v>2.66</v>
      </c>
    </row>
    <row r="24" spans="1:10">
      <c r="A24" t="s">
        <v>94</v>
      </c>
      <c r="B24" t="s">
        <v>396</v>
      </c>
      <c r="C24" s="46">
        <v>45938</v>
      </c>
      <c r="D24" t="s">
        <v>116</v>
      </c>
      <c r="E24" t="s">
        <v>370</v>
      </c>
      <c r="F24" t="s">
        <v>236</v>
      </c>
      <c r="G24" t="s">
        <v>254</v>
      </c>
      <c r="I24" s="15">
        <v>66.55</v>
      </c>
      <c r="J24" s="15">
        <v>3</v>
      </c>
    </row>
    <row r="25" spans="1:10">
      <c r="A25" t="s">
        <v>94</v>
      </c>
      <c r="B25" t="s">
        <v>396</v>
      </c>
      <c r="C25" s="46">
        <v>45938</v>
      </c>
      <c r="D25" t="s">
        <v>116</v>
      </c>
      <c r="E25" t="s">
        <v>370</v>
      </c>
      <c r="F25" t="s">
        <v>236</v>
      </c>
      <c r="G25" t="s">
        <v>254</v>
      </c>
      <c r="I25" s="15">
        <v>133.1</v>
      </c>
      <c r="J25" s="15">
        <v>5.32</v>
      </c>
    </row>
    <row r="26" spans="1:10">
      <c r="A26" t="s">
        <v>94</v>
      </c>
      <c r="B26" t="s">
        <v>396</v>
      </c>
      <c r="C26" s="46">
        <v>45938</v>
      </c>
      <c r="D26" t="s">
        <v>116</v>
      </c>
      <c r="E26" t="s">
        <v>370</v>
      </c>
      <c r="F26" t="s">
        <v>263</v>
      </c>
      <c r="G26" t="s">
        <v>254</v>
      </c>
      <c r="I26" s="15">
        <v>66.55</v>
      </c>
      <c r="J26" s="15">
        <v>3</v>
      </c>
    </row>
    <row r="27" spans="1:10">
      <c r="A27" t="s">
        <v>94</v>
      </c>
      <c r="B27" t="s">
        <v>396</v>
      </c>
      <c r="C27" s="46">
        <v>45938</v>
      </c>
      <c r="D27" t="s">
        <v>116</v>
      </c>
      <c r="E27" t="s">
        <v>370</v>
      </c>
      <c r="F27" t="s">
        <v>255</v>
      </c>
      <c r="G27" t="s">
        <v>254</v>
      </c>
      <c r="I27" s="15">
        <v>66.55</v>
      </c>
      <c r="J27" s="15">
        <v>2.66</v>
      </c>
    </row>
    <row r="28" spans="1:10">
      <c r="A28" t="s">
        <v>94</v>
      </c>
      <c r="B28" t="s">
        <v>396</v>
      </c>
      <c r="C28" s="46">
        <v>45938</v>
      </c>
      <c r="D28" t="s">
        <v>116</v>
      </c>
      <c r="E28" t="s">
        <v>370</v>
      </c>
      <c r="F28" t="s">
        <v>265</v>
      </c>
      <c r="G28" t="s">
        <v>254</v>
      </c>
      <c r="I28" s="15">
        <v>66.55</v>
      </c>
      <c r="J28" s="15">
        <v>2.66</v>
      </c>
    </row>
    <row r="29" spans="1:10">
      <c r="A29" t="s">
        <v>94</v>
      </c>
      <c r="B29" t="s">
        <v>396</v>
      </c>
      <c r="C29" s="46">
        <v>45938</v>
      </c>
      <c r="D29" t="s">
        <v>116</v>
      </c>
      <c r="E29" t="s">
        <v>370</v>
      </c>
      <c r="F29" t="s">
        <v>251</v>
      </c>
      <c r="G29" t="s">
        <v>254</v>
      </c>
      <c r="I29" s="15">
        <v>132.05000000000001</v>
      </c>
      <c r="J29" s="15">
        <v>5.28</v>
      </c>
    </row>
    <row r="30" spans="1:10">
      <c r="A30" t="s">
        <v>94</v>
      </c>
      <c r="B30" t="s">
        <v>396</v>
      </c>
      <c r="C30" s="46">
        <v>45938</v>
      </c>
      <c r="D30" t="s">
        <v>116</v>
      </c>
      <c r="E30" t="s">
        <v>370</v>
      </c>
      <c r="F30" t="s">
        <v>251</v>
      </c>
      <c r="G30" t="s">
        <v>254</v>
      </c>
      <c r="I30" s="15">
        <v>66.55</v>
      </c>
      <c r="J30" s="15">
        <v>2.66</v>
      </c>
    </row>
    <row r="31" spans="1:10">
      <c r="A31" t="s">
        <v>94</v>
      </c>
      <c r="B31" t="s">
        <v>396</v>
      </c>
      <c r="C31" s="48">
        <v>45938</v>
      </c>
      <c r="D31" s="47" t="s">
        <v>116</v>
      </c>
      <c r="E31" t="s">
        <v>370</v>
      </c>
      <c r="F31" s="47" t="s">
        <v>236</v>
      </c>
      <c r="G31" s="47" t="s">
        <v>254</v>
      </c>
      <c r="I31" s="47">
        <v>66.55</v>
      </c>
      <c r="J31" s="47">
        <v>2.66</v>
      </c>
    </row>
    <row r="32" spans="1:10">
      <c r="A32" t="s">
        <v>94</v>
      </c>
      <c r="B32" t="s">
        <v>396</v>
      </c>
      <c r="C32" s="48">
        <v>45938</v>
      </c>
      <c r="D32" s="47" t="s">
        <v>116</v>
      </c>
      <c r="E32" t="s">
        <v>370</v>
      </c>
      <c r="F32" s="47" t="s">
        <v>246</v>
      </c>
      <c r="G32" s="47" t="s">
        <v>254</v>
      </c>
      <c r="I32" s="47">
        <v>133.1</v>
      </c>
      <c r="J32" s="47">
        <v>5.32</v>
      </c>
    </row>
    <row r="33" spans="1:10">
      <c r="A33" t="s">
        <v>94</v>
      </c>
      <c r="B33" t="s">
        <v>396</v>
      </c>
      <c r="C33" s="48">
        <v>45938</v>
      </c>
      <c r="D33" s="47" t="s">
        <v>116</v>
      </c>
      <c r="E33" t="s">
        <v>370</v>
      </c>
      <c r="F33" s="47" t="s">
        <v>230</v>
      </c>
      <c r="G33" s="47" t="s">
        <v>254</v>
      </c>
      <c r="I33" s="47">
        <v>66.55</v>
      </c>
      <c r="J33" s="47">
        <v>2.66</v>
      </c>
    </row>
    <row r="34" spans="1:10">
      <c r="A34" t="s">
        <v>94</v>
      </c>
      <c r="B34" t="s">
        <v>396</v>
      </c>
      <c r="C34" s="48">
        <v>45938</v>
      </c>
      <c r="D34" s="47" t="s">
        <v>116</v>
      </c>
      <c r="E34" t="s">
        <v>370</v>
      </c>
      <c r="F34" s="47" t="s">
        <v>236</v>
      </c>
      <c r="G34" s="47" t="s">
        <v>254</v>
      </c>
      <c r="I34" s="47">
        <v>266.2</v>
      </c>
      <c r="J34" s="47">
        <v>10.64</v>
      </c>
    </row>
    <row r="35" spans="1:10">
      <c r="A35" t="s">
        <v>94</v>
      </c>
      <c r="B35" t="s">
        <v>396</v>
      </c>
      <c r="C35" s="48">
        <v>45938</v>
      </c>
      <c r="D35" s="47" t="s">
        <v>116</v>
      </c>
      <c r="E35" t="s">
        <v>370</v>
      </c>
      <c r="F35" s="47" t="s">
        <v>255</v>
      </c>
      <c r="G35" s="47" t="s">
        <v>254</v>
      </c>
      <c r="I35" s="47">
        <v>199.65</v>
      </c>
      <c r="J35" s="47">
        <v>7.98</v>
      </c>
    </row>
    <row r="36" spans="1:10">
      <c r="A36" t="s">
        <v>94</v>
      </c>
      <c r="B36" t="s">
        <v>396</v>
      </c>
      <c r="C36" s="48">
        <v>45938</v>
      </c>
      <c r="D36" s="47" t="s">
        <v>116</v>
      </c>
      <c r="E36" t="s">
        <v>370</v>
      </c>
      <c r="F36" s="47" t="s">
        <v>261</v>
      </c>
      <c r="G36" s="47" t="s">
        <v>254</v>
      </c>
      <c r="I36" s="47">
        <v>66.55</v>
      </c>
      <c r="J36" s="47">
        <v>2.66</v>
      </c>
    </row>
    <row r="37" spans="1:10">
      <c r="A37" t="s">
        <v>94</v>
      </c>
      <c r="B37" t="s">
        <v>396</v>
      </c>
      <c r="C37" s="48">
        <v>45938</v>
      </c>
      <c r="D37" s="47" t="s">
        <v>116</v>
      </c>
      <c r="E37" t="s">
        <v>370</v>
      </c>
      <c r="F37" s="47" t="s">
        <v>236</v>
      </c>
      <c r="G37" s="47" t="s">
        <v>254</v>
      </c>
      <c r="I37" s="47">
        <v>66.55</v>
      </c>
      <c r="J37" s="47">
        <v>2.66</v>
      </c>
    </row>
    <row r="38" spans="1:10">
      <c r="A38" t="s">
        <v>94</v>
      </c>
      <c r="B38" t="s">
        <v>396</v>
      </c>
      <c r="C38" s="48">
        <v>45938</v>
      </c>
      <c r="D38" s="47" t="s">
        <v>116</v>
      </c>
      <c r="E38" t="s">
        <v>370</v>
      </c>
      <c r="F38" s="47" t="s">
        <v>255</v>
      </c>
      <c r="G38" s="47" t="s">
        <v>254</v>
      </c>
      <c r="I38" s="47">
        <v>133.1</v>
      </c>
      <c r="J38" s="47">
        <v>5.32</v>
      </c>
    </row>
    <row r="39" spans="1:10">
      <c r="A39" t="s">
        <v>94</v>
      </c>
      <c r="B39" t="s">
        <v>396</v>
      </c>
      <c r="C39" s="48">
        <v>45938</v>
      </c>
      <c r="D39" s="47" t="s">
        <v>116</v>
      </c>
      <c r="E39" t="s">
        <v>370</v>
      </c>
      <c r="F39" s="47" t="s">
        <v>269</v>
      </c>
      <c r="G39" s="47" t="s">
        <v>254</v>
      </c>
      <c r="I39" s="47">
        <v>221.12</v>
      </c>
      <c r="J39" s="47">
        <v>9.9499999999999993</v>
      </c>
    </row>
    <row r="40" spans="1:10">
      <c r="A40" t="s">
        <v>94</v>
      </c>
      <c r="B40" t="s">
        <v>396</v>
      </c>
      <c r="C40" s="48">
        <v>45938</v>
      </c>
      <c r="D40" s="47" t="s">
        <v>116</v>
      </c>
      <c r="E40" t="s">
        <v>370</v>
      </c>
      <c r="F40" s="47" t="s">
        <v>246</v>
      </c>
      <c r="G40" s="47" t="s">
        <v>254</v>
      </c>
      <c r="I40" s="47">
        <v>133.1</v>
      </c>
      <c r="J40" s="47">
        <v>5.32</v>
      </c>
    </row>
    <row r="41" spans="1:10">
      <c r="A41" t="s">
        <v>94</v>
      </c>
      <c r="B41" t="s">
        <v>396</v>
      </c>
      <c r="C41" s="48">
        <v>45938</v>
      </c>
      <c r="D41" s="47" t="s">
        <v>116</v>
      </c>
      <c r="E41" t="s">
        <v>370</v>
      </c>
      <c r="F41" s="47" t="s">
        <v>246</v>
      </c>
      <c r="G41" s="47" t="s">
        <v>254</v>
      </c>
      <c r="I41" s="47">
        <v>66.55</v>
      </c>
      <c r="J41" s="47">
        <v>2.66</v>
      </c>
    </row>
    <row r="42" spans="1:10">
      <c r="A42" t="s">
        <v>94</v>
      </c>
      <c r="B42" t="s">
        <v>396</v>
      </c>
      <c r="C42" s="48">
        <v>45938</v>
      </c>
      <c r="D42" s="47" t="s">
        <v>116</v>
      </c>
      <c r="E42" t="s">
        <v>370</v>
      </c>
      <c r="F42" s="47" t="s">
        <v>236</v>
      </c>
      <c r="G42" s="47" t="s">
        <v>254</v>
      </c>
      <c r="I42" s="47">
        <v>66.55</v>
      </c>
      <c r="J42" s="47">
        <v>3</v>
      </c>
    </row>
    <row r="43" spans="1:10">
      <c r="A43" t="s">
        <v>94</v>
      </c>
      <c r="B43" t="s">
        <v>396</v>
      </c>
      <c r="C43" s="48">
        <v>45938</v>
      </c>
      <c r="D43" s="47" t="s">
        <v>116</v>
      </c>
      <c r="E43" t="s">
        <v>370</v>
      </c>
      <c r="F43" s="47" t="s">
        <v>251</v>
      </c>
      <c r="G43" s="47" t="s">
        <v>254</v>
      </c>
      <c r="I43" s="47">
        <v>133.1</v>
      </c>
      <c r="J43" s="47">
        <v>5.32</v>
      </c>
    </row>
    <row r="44" spans="1:10">
      <c r="A44" t="s">
        <v>94</v>
      </c>
      <c r="B44" t="s">
        <v>396</v>
      </c>
      <c r="C44" s="48">
        <v>45938</v>
      </c>
      <c r="D44" s="47" t="s">
        <v>116</v>
      </c>
      <c r="E44" t="s">
        <v>370</v>
      </c>
      <c r="F44" s="47" t="s">
        <v>255</v>
      </c>
      <c r="G44" s="47" t="s">
        <v>254</v>
      </c>
      <c r="I44" s="47">
        <v>266.2</v>
      </c>
      <c r="J44" s="47">
        <v>10.64</v>
      </c>
    </row>
    <row r="45" spans="1:10">
      <c r="A45" t="s">
        <v>94</v>
      </c>
      <c r="B45" t="s">
        <v>396</v>
      </c>
      <c r="C45" s="48">
        <v>45938</v>
      </c>
      <c r="D45" s="47" t="s">
        <v>116</v>
      </c>
      <c r="E45" t="s">
        <v>370</v>
      </c>
      <c r="F45" s="47" t="s">
        <v>265</v>
      </c>
      <c r="G45" s="47" t="s">
        <v>254</v>
      </c>
      <c r="I45" s="47">
        <v>199.65</v>
      </c>
      <c r="J45" s="47">
        <v>7.98</v>
      </c>
    </row>
    <row r="46" spans="1:10">
      <c r="A46" t="s">
        <v>94</v>
      </c>
      <c r="B46" t="s">
        <v>396</v>
      </c>
      <c r="C46" s="48">
        <v>45938</v>
      </c>
      <c r="D46" s="47" t="s">
        <v>116</v>
      </c>
      <c r="E46" t="s">
        <v>370</v>
      </c>
      <c r="F46" s="47" t="s">
        <v>267</v>
      </c>
      <c r="G46" s="47" t="s">
        <v>254</v>
      </c>
      <c r="I46" s="47">
        <v>66.55</v>
      </c>
      <c r="J46" s="47">
        <v>2.66</v>
      </c>
    </row>
    <row r="47" spans="1:10">
      <c r="A47" t="s">
        <v>94</v>
      </c>
      <c r="B47" t="s">
        <v>396</v>
      </c>
      <c r="C47" s="48">
        <v>45938</v>
      </c>
      <c r="D47" s="47" t="s">
        <v>116</v>
      </c>
      <c r="E47" t="s">
        <v>370</v>
      </c>
      <c r="F47" s="47" t="s">
        <v>261</v>
      </c>
      <c r="G47" s="47" t="s">
        <v>254</v>
      </c>
      <c r="I47" s="47">
        <v>66.55</v>
      </c>
      <c r="J47" s="47">
        <v>2.66</v>
      </c>
    </row>
    <row r="48" spans="1:10">
      <c r="A48" t="s">
        <v>94</v>
      </c>
      <c r="B48" t="s">
        <v>396</v>
      </c>
      <c r="C48" s="48">
        <v>45938</v>
      </c>
      <c r="D48" s="47" t="s">
        <v>116</v>
      </c>
      <c r="E48" t="s">
        <v>370</v>
      </c>
      <c r="F48" s="47" t="s">
        <v>236</v>
      </c>
      <c r="G48" s="47" t="s">
        <v>254</v>
      </c>
      <c r="I48" s="47">
        <v>66.55</v>
      </c>
      <c r="J48" s="47">
        <v>2.66</v>
      </c>
    </row>
    <row r="49" spans="1:10">
      <c r="A49" t="s">
        <v>94</v>
      </c>
      <c r="B49" t="s">
        <v>396</v>
      </c>
      <c r="C49" s="48">
        <v>45938</v>
      </c>
      <c r="D49" s="47" t="s">
        <v>116</v>
      </c>
      <c r="E49" t="s">
        <v>370</v>
      </c>
      <c r="F49" s="47" t="s">
        <v>255</v>
      </c>
      <c r="G49" s="47" t="s">
        <v>254</v>
      </c>
      <c r="I49" s="47">
        <v>66.55</v>
      </c>
      <c r="J49" s="47">
        <v>3</v>
      </c>
    </row>
    <row r="50" spans="1:10">
      <c r="A50" t="s">
        <v>94</v>
      </c>
      <c r="B50" t="s">
        <v>396</v>
      </c>
      <c r="C50" s="48">
        <v>45938</v>
      </c>
      <c r="D50" s="47" t="s">
        <v>116</v>
      </c>
      <c r="E50" t="s">
        <v>370</v>
      </c>
      <c r="F50" s="47" t="s">
        <v>400</v>
      </c>
      <c r="G50" s="47" t="s">
        <v>227</v>
      </c>
      <c r="I50" s="47">
        <v>-15</v>
      </c>
      <c r="J50" s="47">
        <v>-1.5</v>
      </c>
    </row>
    <row r="51" spans="1:10">
      <c r="A51" t="s">
        <v>94</v>
      </c>
      <c r="B51" t="s">
        <v>396</v>
      </c>
      <c r="C51" s="48">
        <v>45938</v>
      </c>
      <c r="D51" s="47" t="s">
        <v>116</v>
      </c>
      <c r="E51" t="s">
        <v>370</v>
      </c>
      <c r="F51" s="47" t="s">
        <v>246</v>
      </c>
      <c r="G51" s="47" t="s">
        <v>254</v>
      </c>
      <c r="I51" s="47">
        <v>133.1</v>
      </c>
      <c r="J51" s="47">
        <v>6.66</v>
      </c>
    </row>
    <row r="52" spans="1:10">
      <c r="A52" t="s">
        <v>94</v>
      </c>
      <c r="B52" t="s">
        <v>396</v>
      </c>
      <c r="C52" s="48">
        <v>45943</v>
      </c>
      <c r="D52" s="47" t="s">
        <v>116</v>
      </c>
      <c r="E52" t="s">
        <v>370</v>
      </c>
      <c r="F52" s="47" t="s">
        <v>269</v>
      </c>
      <c r="G52" s="47" t="s">
        <v>233</v>
      </c>
      <c r="I52" s="47">
        <v>-60.46</v>
      </c>
      <c r="J52" s="47">
        <v>-7.56</v>
      </c>
    </row>
    <row r="53" spans="1:10">
      <c r="A53" t="s">
        <v>94</v>
      </c>
      <c r="B53" t="s">
        <v>396</v>
      </c>
      <c r="C53" s="48">
        <v>45938</v>
      </c>
      <c r="D53" s="47" t="s">
        <v>116</v>
      </c>
      <c r="E53" t="s">
        <v>370</v>
      </c>
      <c r="F53" s="47" t="s">
        <v>265</v>
      </c>
      <c r="G53" s="47" t="s">
        <v>254</v>
      </c>
      <c r="I53" s="47">
        <v>66.55</v>
      </c>
      <c r="J53" s="47">
        <v>2.66</v>
      </c>
    </row>
    <row r="54" spans="1:10">
      <c r="A54" t="s">
        <v>94</v>
      </c>
      <c r="B54" t="s">
        <v>396</v>
      </c>
      <c r="C54" s="48">
        <v>45938</v>
      </c>
      <c r="D54" s="47" t="s">
        <v>116</v>
      </c>
      <c r="E54" t="s">
        <v>370</v>
      </c>
      <c r="F54" s="47" t="s">
        <v>255</v>
      </c>
      <c r="G54" s="47" t="s">
        <v>254</v>
      </c>
      <c r="I54" s="47">
        <v>66.55</v>
      </c>
      <c r="J54" s="47">
        <v>2.66</v>
      </c>
    </row>
    <row r="55" spans="1:10" s="49" customFormat="1">
      <c r="A55" t="s">
        <v>94</v>
      </c>
      <c r="B55" t="s">
        <v>396</v>
      </c>
      <c r="C55" s="50">
        <v>45938</v>
      </c>
      <c r="D55" s="51" t="s">
        <v>116</v>
      </c>
      <c r="E55" t="s">
        <v>370</v>
      </c>
      <c r="F55" s="49" t="s">
        <v>236</v>
      </c>
      <c r="G55" s="49" t="s">
        <v>254</v>
      </c>
      <c r="I55" s="52">
        <v>66.55</v>
      </c>
      <c r="J55" s="52">
        <v>3.33</v>
      </c>
    </row>
    <row r="56" spans="1:10" s="49" customFormat="1">
      <c r="A56" t="s">
        <v>94</v>
      </c>
      <c r="B56" t="s">
        <v>396</v>
      </c>
      <c r="C56" s="50">
        <v>45938</v>
      </c>
      <c r="D56" s="51" t="s">
        <v>116</v>
      </c>
      <c r="E56" t="s">
        <v>370</v>
      </c>
      <c r="F56" s="49" t="s">
        <v>255</v>
      </c>
      <c r="G56" s="49" t="s">
        <v>254</v>
      </c>
      <c r="I56" s="52">
        <v>266.2</v>
      </c>
      <c r="J56" s="52">
        <v>10.64</v>
      </c>
    </row>
    <row r="57" spans="1:10" s="49" customFormat="1">
      <c r="A57" t="s">
        <v>94</v>
      </c>
      <c r="B57" t="s">
        <v>396</v>
      </c>
      <c r="C57" s="50">
        <v>45938</v>
      </c>
      <c r="D57" s="51" t="s">
        <v>116</v>
      </c>
      <c r="E57" t="s">
        <v>370</v>
      </c>
      <c r="F57" s="49" t="s">
        <v>269</v>
      </c>
      <c r="G57" s="49" t="s">
        <v>254</v>
      </c>
      <c r="I57" s="52">
        <v>66.55</v>
      </c>
      <c r="J57" s="52">
        <v>2.66</v>
      </c>
    </row>
    <row r="58" spans="1:10" s="49" customFormat="1">
      <c r="A58" t="s">
        <v>94</v>
      </c>
      <c r="B58" t="s">
        <v>396</v>
      </c>
      <c r="C58" s="50">
        <v>45938</v>
      </c>
      <c r="D58" s="51" t="s">
        <v>116</v>
      </c>
      <c r="E58" t="s">
        <v>370</v>
      </c>
      <c r="F58" s="49" t="s">
        <v>251</v>
      </c>
      <c r="G58" s="49" t="s">
        <v>254</v>
      </c>
      <c r="I58" s="52">
        <v>66.55</v>
      </c>
      <c r="J58" s="52">
        <v>2.66</v>
      </c>
    </row>
    <row r="59" spans="1:10">
      <c r="A59" t="s">
        <v>94</v>
      </c>
      <c r="B59" t="s">
        <v>396</v>
      </c>
      <c r="C59" s="26">
        <v>45938</v>
      </c>
      <c r="D59" s="35" t="s">
        <v>116</v>
      </c>
      <c r="E59" t="s">
        <v>370</v>
      </c>
      <c r="F59" t="s">
        <v>246</v>
      </c>
      <c r="G59" t="s">
        <v>254</v>
      </c>
      <c r="I59" s="15">
        <v>133.1</v>
      </c>
      <c r="J59" s="15">
        <v>5.32</v>
      </c>
    </row>
    <row r="60" spans="1:10">
      <c r="A60" t="s">
        <v>94</v>
      </c>
      <c r="B60" t="s">
        <v>396</v>
      </c>
      <c r="C60" s="46">
        <v>45938</v>
      </c>
      <c r="D60" t="s">
        <v>116</v>
      </c>
      <c r="E60" t="s">
        <v>370</v>
      </c>
      <c r="F60" t="s">
        <v>255</v>
      </c>
      <c r="G60" t="s">
        <v>254</v>
      </c>
      <c r="I60">
        <v>66.55</v>
      </c>
      <c r="J60">
        <v>2.66</v>
      </c>
    </row>
    <row r="61" spans="1:10">
      <c r="A61" t="s">
        <v>94</v>
      </c>
      <c r="B61" t="s">
        <v>396</v>
      </c>
      <c r="C61" s="46">
        <v>45938</v>
      </c>
      <c r="D61" t="s">
        <v>116</v>
      </c>
      <c r="E61" t="s">
        <v>370</v>
      </c>
      <c r="F61" t="s">
        <v>267</v>
      </c>
      <c r="G61" t="s">
        <v>254</v>
      </c>
      <c r="I61">
        <v>66.55</v>
      </c>
      <c r="J61">
        <v>2.66</v>
      </c>
    </row>
    <row r="62" spans="1:10">
      <c r="A62" t="s">
        <v>94</v>
      </c>
      <c r="B62" t="s">
        <v>396</v>
      </c>
      <c r="C62" s="46">
        <v>45938</v>
      </c>
      <c r="D62" t="s">
        <v>116</v>
      </c>
      <c r="E62" t="s">
        <v>370</v>
      </c>
      <c r="F62" t="s">
        <v>251</v>
      </c>
      <c r="G62" t="s">
        <v>254</v>
      </c>
      <c r="I62">
        <v>133.1</v>
      </c>
      <c r="J62">
        <v>5.32</v>
      </c>
    </row>
    <row r="63" spans="1:10">
      <c r="A63" t="s">
        <v>94</v>
      </c>
      <c r="B63" t="s">
        <v>396</v>
      </c>
      <c r="C63" s="46">
        <v>45938</v>
      </c>
      <c r="D63" t="s">
        <v>116</v>
      </c>
      <c r="E63" t="s">
        <v>370</v>
      </c>
      <c r="F63" t="s">
        <v>255</v>
      </c>
      <c r="G63" t="s">
        <v>254</v>
      </c>
      <c r="I63">
        <v>132.75</v>
      </c>
      <c r="J63">
        <v>5.64</v>
      </c>
    </row>
    <row r="64" spans="1:10">
      <c r="A64" t="s">
        <v>94</v>
      </c>
      <c r="B64" t="s">
        <v>396</v>
      </c>
      <c r="C64" s="46">
        <v>45938</v>
      </c>
      <c r="D64" t="s">
        <v>116</v>
      </c>
      <c r="E64" t="s">
        <v>370</v>
      </c>
      <c r="F64" t="s">
        <v>236</v>
      </c>
      <c r="G64" t="s">
        <v>254</v>
      </c>
      <c r="I64">
        <v>66.55</v>
      </c>
      <c r="J64">
        <v>2.66</v>
      </c>
    </row>
    <row r="65" spans="1:10">
      <c r="A65" t="s">
        <v>94</v>
      </c>
      <c r="B65" t="s">
        <v>396</v>
      </c>
      <c r="C65" s="46">
        <v>45938</v>
      </c>
      <c r="D65" t="s">
        <v>116</v>
      </c>
      <c r="E65" t="s">
        <v>370</v>
      </c>
      <c r="F65" t="s">
        <v>269</v>
      </c>
      <c r="G65" t="s">
        <v>254</v>
      </c>
      <c r="I65">
        <v>66.55</v>
      </c>
      <c r="J65">
        <v>2.66</v>
      </c>
    </row>
    <row r="66" spans="1:10">
      <c r="A66" t="s">
        <v>94</v>
      </c>
      <c r="B66" t="s">
        <v>396</v>
      </c>
      <c r="C66" s="46">
        <v>45938</v>
      </c>
      <c r="D66" t="s">
        <v>116</v>
      </c>
      <c r="E66" t="s">
        <v>370</v>
      </c>
      <c r="F66" t="s">
        <v>265</v>
      </c>
      <c r="G66" t="s">
        <v>254</v>
      </c>
      <c r="I66">
        <v>133.1</v>
      </c>
      <c r="J66">
        <v>6.66</v>
      </c>
    </row>
    <row r="67" spans="1:10">
      <c r="A67" t="s">
        <v>94</v>
      </c>
      <c r="B67" t="s">
        <v>396</v>
      </c>
      <c r="C67" s="46">
        <v>45938</v>
      </c>
      <c r="D67" t="s">
        <v>116</v>
      </c>
      <c r="E67" t="s">
        <v>370</v>
      </c>
      <c r="F67" t="s">
        <v>255</v>
      </c>
      <c r="G67" t="s">
        <v>254</v>
      </c>
      <c r="I67">
        <v>199.65</v>
      </c>
      <c r="J67">
        <v>8.98</v>
      </c>
    </row>
    <row r="68" spans="1:10">
      <c r="A68" t="s">
        <v>94</v>
      </c>
      <c r="B68" t="s">
        <v>396</v>
      </c>
      <c r="C68" s="46">
        <v>45938</v>
      </c>
      <c r="D68" t="s">
        <v>116</v>
      </c>
      <c r="E68" t="s">
        <v>370</v>
      </c>
      <c r="F68" t="s">
        <v>255</v>
      </c>
      <c r="G68" t="s">
        <v>254</v>
      </c>
      <c r="I68">
        <v>66.55</v>
      </c>
      <c r="J68">
        <v>2.66</v>
      </c>
    </row>
    <row r="69" spans="1:10">
      <c r="A69" t="s">
        <v>94</v>
      </c>
      <c r="B69" t="s">
        <v>396</v>
      </c>
      <c r="C69" s="46">
        <v>45938</v>
      </c>
      <c r="D69" t="s">
        <v>116</v>
      </c>
      <c r="E69" t="s">
        <v>370</v>
      </c>
      <c r="F69" t="s">
        <v>265</v>
      </c>
      <c r="G69" t="s">
        <v>254</v>
      </c>
      <c r="I69">
        <v>133.1</v>
      </c>
      <c r="J69">
        <v>5.32</v>
      </c>
    </row>
    <row r="70" spans="1:10">
      <c r="A70" t="s">
        <v>94</v>
      </c>
      <c r="B70" t="s">
        <v>396</v>
      </c>
      <c r="C70" s="46">
        <v>45938</v>
      </c>
      <c r="D70" t="s">
        <v>116</v>
      </c>
      <c r="E70" t="s">
        <v>370</v>
      </c>
      <c r="F70" t="s">
        <v>236</v>
      </c>
      <c r="G70" t="s">
        <v>254</v>
      </c>
      <c r="I70">
        <v>66.55</v>
      </c>
      <c r="J70">
        <v>3.33</v>
      </c>
    </row>
    <row r="71" spans="1:10">
      <c r="A71" t="s">
        <v>94</v>
      </c>
      <c r="B71" t="s">
        <v>396</v>
      </c>
      <c r="C71" s="46">
        <v>45938</v>
      </c>
      <c r="D71" t="s">
        <v>116</v>
      </c>
      <c r="E71" t="s">
        <v>370</v>
      </c>
      <c r="F71" t="s">
        <v>236</v>
      </c>
      <c r="G71" t="s">
        <v>254</v>
      </c>
      <c r="I71">
        <v>66.55</v>
      </c>
      <c r="J71">
        <v>2.66</v>
      </c>
    </row>
    <row r="72" spans="1:10">
      <c r="A72" t="s">
        <v>94</v>
      </c>
      <c r="B72" t="s">
        <v>396</v>
      </c>
      <c r="C72" s="46">
        <v>45938</v>
      </c>
      <c r="D72" t="s">
        <v>116</v>
      </c>
      <c r="E72" t="s">
        <v>370</v>
      </c>
      <c r="F72" t="s">
        <v>236</v>
      </c>
      <c r="G72" t="s">
        <v>254</v>
      </c>
      <c r="I72">
        <v>66.55</v>
      </c>
      <c r="J72">
        <v>2.66</v>
      </c>
    </row>
    <row r="73" spans="1:10">
      <c r="A73" t="s">
        <v>94</v>
      </c>
      <c r="B73" t="s">
        <v>396</v>
      </c>
      <c r="C73" s="46">
        <v>45938</v>
      </c>
      <c r="D73" t="s">
        <v>116</v>
      </c>
      <c r="E73" t="s">
        <v>370</v>
      </c>
      <c r="F73" t="s">
        <v>265</v>
      </c>
      <c r="G73" t="s">
        <v>254</v>
      </c>
      <c r="I73">
        <v>66.55</v>
      </c>
      <c r="J73">
        <v>2.66</v>
      </c>
    </row>
    <row r="74" spans="1:10">
      <c r="A74" t="s">
        <v>94</v>
      </c>
      <c r="B74" t="s">
        <v>396</v>
      </c>
      <c r="C74" s="46">
        <v>45938</v>
      </c>
      <c r="D74" t="s">
        <v>116</v>
      </c>
      <c r="E74" t="s">
        <v>370</v>
      </c>
      <c r="F74" t="s">
        <v>255</v>
      </c>
      <c r="G74" t="s">
        <v>254</v>
      </c>
      <c r="I74">
        <v>66.55</v>
      </c>
      <c r="J74">
        <v>2.66</v>
      </c>
    </row>
    <row r="75" spans="1:10">
      <c r="A75" t="s">
        <v>94</v>
      </c>
      <c r="B75" t="s">
        <v>396</v>
      </c>
      <c r="C75" s="46">
        <v>45938</v>
      </c>
      <c r="D75" t="s">
        <v>116</v>
      </c>
      <c r="E75" t="s">
        <v>370</v>
      </c>
      <c r="F75" t="s">
        <v>255</v>
      </c>
      <c r="G75" t="s">
        <v>254</v>
      </c>
      <c r="I75">
        <v>132.75</v>
      </c>
      <c r="J75">
        <v>5.31</v>
      </c>
    </row>
    <row r="76" spans="1:10">
      <c r="A76" t="s">
        <v>94</v>
      </c>
      <c r="B76" t="s">
        <v>396</v>
      </c>
      <c r="C76" s="46">
        <v>45933</v>
      </c>
      <c r="D76" t="s">
        <v>116</v>
      </c>
      <c r="E76" t="s">
        <v>370</v>
      </c>
      <c r="F76" t="s">
        <v>255</v>
      </c>
      <c r="G76" t="s">
        <v>233</v>
      </c>
      <c r="I76">
        <v>-18.87</v>
      </c>
      <c r="J76">
        <v>-1.88</v>
      </c>
    </row>
    <row r="77" spans="1:10">
      <c r="A77" t="s">
        <v>94</v>
      </c>
      <c r="B77" t="s">
        <v>396</v>
      </c>
      <c r="C77" s="46">
        <v>45943</v>
      </c>
      <c r="D77" t="s">
        <v>116</v>
      </c>
      <c r="E77" t="s">
        <v>370</v>
      </c>
      <c r="F77" t="s">
        <v>246</v>
      </c>
      <c r="G77" t="s">
        <v>233</v>
      </c>
      <c r="I77">
        <v>289.89</v>
      </c>
      <c r="J77">
        <v>36.24</v>
      </c>
    </row>
    <row r="78" spans="1:10">
      <c r="A78" t="s">
        <v>94</v>
      </c>
      <c r="B78" t="s">
        <v>396</v>
      </c>
      <c r="C78" s="46">
        <v>45938</v>
      </c>
      <c r="D78" t="s">
        <v>116</v>
      </c>
      <c r="E78" t="s">
        <v>370</v>
      </c>
      <c r="F78" t="s">
        <v>246</v>
      </c>
      <c r="G78" t="s">
        <v>254</v>
      </c>
      <c r="I78">
        <v>66.55</v>
      </c>
      <c r="J78">
        <v>2.66</v>
      </c>
    </row>
    <row r="79" spans="1:10">
      <c r="A79" t="s">
        <v>94</v>
      </c>
      <c r="B79" t="s">
        <v>396</v>
      </c>
      <c r="C79" s="46">
        <v>45938</v>
      </c>
      <c r="D79" t="s">
        <v>116</v>
      </c>
      <c r="E79" t="s">
        <v>370</v>
      </c>
      <c r="F79" t="s">
        <v>265</v>
      </c>
      <c r="G79" t="s">
        <v>254</v>
      </c>
      <c r="I79">
        <v>66.55</v>
      </c>
      <c r="J79">
        <v>3.33</v>
      </c>
    </row>
    <row r="80" spans="1:10">
      <c r="A80" t="s">
        <v>94</v>
      </c>
      <c r="B80" t="s">
        <v>396</v>
      </c>
      <c r="C80" s="46">
        <v>45938</v>
      </c>
      <c r="D80" t="s">
        <v>116</v>
      </c>
      <c r="E80" t="s">
        <v>370</v>
      </c>
      <c r="F80" t="s">
        <v>255</v>
      </c>
      <c r="G80" t="s">
        <v>254</v>
      </c>
      <c r="I80">
        <v>66.55</v>
      </c>
      <c r="J80">
        <v>2.66</v>
      </c>
    </row>
    <row r="81" spans="1:10">
      <c r="A81" t="s">
        <v>94</v>
      </c>
      <c r="B81" t="s">
        <v>396</v>
      </c>
      <c r="C81" s="46">
        <v>45938</v>
      </c>
      <c r="D81" t="s">
        <v>116</v>
      </c>
      <c r="E81" t="s">
        <v>370</v>
      </c>
      <c r="F81" t="s">
        <v>255</v>
      </c>
      <c r="G81" t="s">
        <v>254</v>
      </c>
      <c r="I81">
        <v>93.03</v>
      </c>
      <c r="J81">
        <v>3.72</v>
      </c>
    </row>
    <row r="82" spans="1:10">
      <c r="A82" t="s">
        <v>94</v>
      </c>
      <c r="B82" t="s">
        <v>396</v>
      </c>
      <c r="C82" s="46">
        <v>45938</v>
      </c>
      <c r="D82" t="s">
        <v>116</v>
      </c>
      <c r="E82" t="s">
        <v>370</v>
      </c>
      <c r="F82" t="s">
        <v>265</v>
      </c>
      <c r="G82" t="s">
        <v>254</v>
      </c>
      <c r="I82">
        <v>199.65</v>
      </c>
      <c r="J82">
        <v>7.98</v>
      </c>
    </row>
    <row r="83" spans="1:10">
      <c r="A83" t="s">
        <v>94</v>
      </c>
      <c r="B83" t="s">
        <v>396</v>
      </c>
      <c r="C83" s="46">
        <v>45938</v>
      </c>
      <c r="D83" t="s">
        <v>116</v>
      </c>
      <c r="E83" t="s">
        <v>370</v>
      </c>
      <c r="F83" t="s">
        <v>230</v>
      </c>
      <c r="G83" t="s">
        <v>254</v>
      </c>
      <c r="I83">
        <v>66.55</v>
      </c>
      <c r="J83">
        <v>2.66</v>
      </c>
    </row>
    <row r="84" spans="1:10">
      <c r="A84" t="s">
        <v>94</v>
      </c>
      <c r="B84" t="s">
        <v>396</v>
      </c>
      <c r="C84" s="46">
        <v>45938</v>
      </c>
      <c r="D84" t="s">
        <v>116</v>
      </c>
      <c r="E84" t="s">
        <v>370</v>
      </c>
      <c r="F84" t="s">
        <v>267</v>
      </c>
      <c r="G84" t="s">
        <v>254</v>
      </c>
      <c r="I84">
        <v>66.55</v>
      </c>
      <c r="J84">
        <v>2.66</v>
      </c>
    </row>
    <row r="85" spans="1:10">
      <c r="A85" t="s">
        <v>94</v>
      </c>
      <c r="B85" t="s">
        <v>396</v>
      </c>
      <c r="C85" s="46">
        <v>45938</v>
      </c>
      <c r="D85" t="s">
        <v>116</v>
      </c>
      <c r="E85" t="s">
        <v>370</v>
      </c>
      <c r="F85" t="s">
        <v>255</v>
      </c>
      <c r="G85" t="s">
        <v>254</v>
      </c>
      <c r="I85">
        <v>255.48</v>
      </c>
      <c r="J85">
        <v>10.220000000000001</v>
      </c>
    </row>
    <row r="86" spans="1:10">
      <c r="A86" t="s">
        <v>94</v>
      </c>
      <c r="B86" t="s">
        <v>396</v>
      </c>
      <c r="C86" s="46">
        <v>45938</v>
      </c>
      <c r="D86" t="s">
        <v>116</v>
      </c>
      <c r="E86" t="s">
        <v>370</v>
      </c>
      <c r="F86" t="s">
        <v>255</v>
      </c>
      <c r="G86" t="s">
        <v>254</v>
      </c>
      <c r="I86">
        <v>66.55</v>
      </c>
      <c r="J86">
        <v>2.66</v>
      </c>
    </row>
    <row r="87" spans="1:10">
      <c r="A87" t="s">
        <v>94</v>
      </c>
      <c r="B87" t="s">
        <v>396</v>
      </c>
      <c r="C87" s="46">
        <v>45938</v>
      </c>
      <c r="D87" t="s">
        <v>116</v>
      </c>
      <c r="E87" t="s">
        <v>370</v>
      </c>
      <c r="F87" t="s">
        <v>265</v>
      </c>
      <c r="G87" t="s">
        <v>254</v>
      </c>
      <c r="I87">
        <v>66.55</v>
      </c>
      <c r="J87">
        <v>2.66</v>
      </c>
    </row>
    <row r="88" spans="1:10">
      <c r="A88" t="s">
        <v>94</v>
      </c>
      <c r="B88" t="s">
        <v>396</v>
      </c>
      <c r="C88" s="46">
        <v>45938</v>
      </c>
      <c r="D88" t="s">
        <v>116</v>
      </c>
      <c r="E88" t="s">
        <v>370</v>
      </c>
      <c r="F88" t="s">
        <v>236</v>
      </c>
      <c r="G88" t="s">
        <v>254</v>
      </c>
      <c r="I88">
        <v>133.1</v>
      </c>
      <c r="J88">
        <v>5.32</v>
      </c>
    </row>
    <row r="89" spans="1:10">
      <c r="A89" t="s">
        <v>94</v>
      </c>
      <c r="B89" t="s">
        <v>396</v>
      </c>
      <c r="C89" s="46">
        <v>45938</v>
      </c>
      <c r="D89" t="s">
        <v>116</v>
      </c>
      <c r="E89" t="s">
        <v>370</v>
      </c>
      <c r="F89" t="s">
        <v>265</v>
      </c>
      <c r="G89" t="s">
        <v>254</v>
      </c>
      <c r="I89">
        <v>318.81</v>
      </c>
      <c r="J89">
        <v>12.75</v>
      </c>
    </row>
    <row r="90" spans="1:10">
      <c r="A90" t="s">
        <v>94</v>
      </c>
      <c r="B90" t="s">
        <v>396</v>
      </c>
      <c r="C90" s="46">
        <v>45938</v>
      </c>
      <c r="D90" t="s">
        <v>116</v>
      </c>
      <c r="E90" t="s">
        <v>370</v>
      </c>
      <c r="F90" t="s">
        <v>251</v>
      </c>
      <c r="G90" t="s">
        <v>254</v>
      </c>
      <c r="I90">
        <v>332.75</v>
      </c>
      <c r="J90">
        <v>13.3</v>
      </c>
    </row>
    <row r="91" spans="1:10">
      <c r="A91" t="s">
        <v>94</v>
      </c>
      <c r="B91" t="s">
        <v>396</v>
      </c>
      <c r="C91" s="46">
        <v>45938</v>
      </c>
      <c r="D91" t="s">
        <v>116</v>
      </c>
      <c r="E91" t="s">
        <v>370</v>
      </c>
      <c r="F91" t="s">
        <v>246</v>
      </c>
      <c r="G91" t="s">
        <v>254</v>
      </c>
      <c r="I91">
        <v>133.1</v>
      </c>
      <c r="J91">
        <v>5.32</v>
      </c>
    </row>
    <row r="92" spans="1:10">
      <c r="A92" t="s">
        <v>94</v>
      </c>
      <c r="B92" t="s">
        <v>396</v>
      </c>
      <c r="C92" s="46">
        <v>45938</v>
      </c>
      <c r="D92" t="s">
        <v>116</v>
      </c>
      <c r="E92" t="s">
        <v>370</v>
      </c>
      <c r="F92" t="s">
        <v>255</v>
      </c>
      <c r="G92" t="s">
        <v>254</v>
      </c>
      <c r="I92">
        <v>133.1</v>
      </c>
      <c r="J92">
        <v>6.32</v>
      </c>
    </row>
    <row r="93" spans="1:10">
      <c r="A93" t="s">
        <v>94</v>
      </c>
      <c r="B93" t="s">
        <v>396</v>
      </c>
      <c r="C93" s="46">
        <v>45943</v>
      </c>
      <c r="D93" t="s">
        <v>116</v>
      </c>
      <c r="E93" t="s">
        <v>370</v>
      </c>
      <c r="F93" t="s">
        <v>267</v>
      </c>
      <c r="G93" t="s">
        <v>233</v>
      </c>
      <c r="I93">
        <v>-52.64</v>
      </c>
      <c r="J93">
        <v>-6.58</v>
      </c>
    </row>
    <row r="94" spans="1:10">
      <c r="A94" t="s">
        <v>94</v>
      </c>
      <c r="B94" t="s">
        <v>396</v>
      </c>
      <c r="C94" s="46">
        <v>45936</v>
      </c>
      <c r="D94" t="s">
        <v>126</v>
      </c>
      <c r="E94" t="s">
        <v>370</v>
      </c>
      <c r="F94" t="s">
        <v>241</v>
      </c>
      <c r="G94" t="s">
        <v>240</v>
      </c>
      <c r="I94">
        <v>308.14</v>
      </c>
      <c r="J94">
        <v>15.4</v>
      </c>
    </row>
    <row r="95" spans="1:10">
      <c r="A95" t="s">
        <v>94</v>
      </c>
      <c r="B95" t="s">
        <v>396</v>
      </c>
      <c r="C95" s="46">
        <v>45936</v>
      </c>
      <c r="D95" t="s">
        <v>126</v>
      </c>
      <c r="E95" t="s">
        <v>370</v>
      </c>
      <c r="F95" t="s">
        <v>241</v>
      </c>
      <c r="G95" t="s">
        <v>240</v>
      </c>
      <c r="I95">
        <v>242.02</v>
      </c>
      <c r="J95">
        <v>11.06</v>
      </c>
    </row>
    <row r="96" spans="1:10">
      <c r="A96" t="s">
        <v>94</v>
      </c>
      <c r="B96" t="s">
        <v>396</v>
      </c>
      <c r="C96" s="46">
        <v>45931</v>
      </c>
      <c r="D96" t="s">
        <v>126</v>
      </c>
      <c r="E96" t="s">
        <v>370</v>
      </c>
      <c r="F96" t="s">
        <v>241</v>
      </c>
      <c r="G96" t="s">
        <v>240</v>
      </c>
      <c r="I96">
        <v>608.4</v>
      </c>
      <c r="J96">
        <v>25.86</v>
      </c>
    </row>
    <row r="97" spans="1:10">
      <c r="A97" t="s">
        <v>94</v>
      </c>
      <c r="B97" t="s">
        <v>396</v>
      </c>
      <c r="C97" s="46">
        <v>45954</v>
      </c>
      <c r="D97" t="s">
        <v>138</v>
      </c>
      <c r="E97" t="s">
        <v>370</v>
      </c>
      <c r="F97" t="s">
        <v>251</v>
      </c>
      <c r="G97" t="s">
        <v>277</v>
      </c>
      <c r="I97">
        <v>16198.47</v>
      </c>
      <c r="J97">
        <v>1619.84</v>
      </c>
    </row>
    <row r="98" spans="1:10">
      <c r="A98" t="s">
        <v>94</v>
      </c>
      <c r="B98" t="s">
        <v>396</v>
      </c>
      <c r="C98" s="46">
        <v>45937</v>
      </c>
      <c r="D98" t="s">
        <v>138</v>
      </c>
      <c r="E98" t="s">
        <v>370</v>
      </c>
      <c r="F98" t="s">
        <v>251</v>
      </c>
      <c r="G98" t="s">
        <v>249</v>
      </c>
      <c r="I98">
        <v>1143.8</v>
      </c>
      <c r="J98">
        <v>114.38</v>
      </c>
    </row>
    <row r="99" spans="1:10">
      <c r="A99" t="s">
        <v>94</v>
      </c>
      <c r="B99" t="s">
        <v>396</v>
      </c>
      <c r="C99" s="46">
        <v>45947</v>
      </c>
      <c r="D99" t="s">
        <v>138</v>
      </c>
      <c r="E99" t="s">
        <v>370</v>
      </c>
      <c r="F99" t="s">
        <v>267</v>
      </c>
      <c r="G99" t="s">
        <v>277</v>
      </c>
      <c r="I99">
        <v>1413.44</v>
      </c>
      <c r="J99">
        <v>141.34</v>
      </c>
    </row>
    <row r="100" spans="1:10">
      <c r="A100" t="s">
        <v>94</v>
      </c>
      <c r="B100" t="s">
        <v>396</v>
      </c>
      <c r="C100" s="46">
        <v>45951</v>
      </c>
      <c r="D100" t="s">
        <v>138</v>
      </c>
      <c r="E100" t="s">
        <v>370</v>
      </c>
      <c r="F100" t="s">
        <v>251</v>
      </c>
      <c r="G100" t="s">
        <v>277</v>
      </c>
      <c r="I100">
        <v>4884.68</v>
      </c>
      <c r="J100">
        <v>488.47</v>
      </c>
    </row>
    <row r="101" spans="1:10">
      <c r="A101" t="s">
        <v>94</v>
      </c>
      <c r="B101" t="s">
        <v>396</v>
      </c>
      <c r="C101" s="46">
        <v>45946</v>
      </c>
      <c r="D101" t="s">
        <v>138</v>
      </c>
      <c r="E101" t="s">
        <v>370</v>
      </c>
      <c r="F101" t="s">
        <v>246</v>
      </c>
      <c r="G101" t="s">
        <v>277</v>
      </c>
      <c r="I101">
        <v>8126.99</v>
      </c>
      <c r="J101">
        <v>812.7</v>
      </c>
    </row>
    <row r="102" spans="1:10">
      <c r="A102" t="s">
        <v>94</v>
      </c>
      <c r="B102" t="s">
        <v>396</v>
      </c>
      <c r="C102" s="46">
        <v>45957</v>
      </c>
      <c r="D102" t="s">
        <v>138</v>
      </c>
      <c r="E102" t="s">
        <v>370</v>
      </c>
      <c r="F102" t="s">
        <v>401</v>
      </c>
      <c r="G102" t="s">
        <v>277</v>
      </c>
      <c r="I102">
        <v>305.37</v>
      </c>
      <c r="J102">
        <v>30.54</v>
      </c>
    </row>
    <row r="103" spans="1:10">
      <c r="A103" t="s">
        <v>94</v>
      </c>
      <c r="B103" t="s">
        <v>396</v>
      </c>
      <c r="C103" s="46">
        <v>45950</v>
      </c>
      <c r="D103" t="s">
        <v>138</v>
      </c>
      <c r="E103" t="s">
        <v>370</v>
      </c>
      <c r="F103" t="s">
        <v>236</v>
      </c>
      <c r="G103" t="s">
        <v>277</v>
      </c>
      <c r="I103">
        <v>16930.93</v>
      </c>
      <c r="J103">
        <v>1693.1</v>
      </c>
    </row>
    <row r="104" spans="1:10">
      <c r="A104" t="s">
        <v>94</v>
      </c>
      <c r="B104" t="s">
        <v>396</v>
      </c>
      <c r="C104" s="46">
        <v>45945</v>
      </c>
      <c r="D104" t="s">
        <v>138</v>
      </c>
      <c r="E104" t="s">
        <v>370</v>
      </c>
      <c r="F104" t="s">
        <v>267</v>
      </c>
      <c r="G104" t="s">
        <v>277</v>
      </c>
      <c r="I104">
        <v>10603.6</v>
      </c>
      <c r="J104">
        <v>1060.3599999999999</v>
      </c>
    </row>
    <row r="105" spans="1:10">
      <c r="A105" t="s">
        <v>94</v>
      </c>
      <c r="B105" t="s">
        <v>396</v>
      </c>
      <c r="C105" s="46">
        <v>45957</v>
      </c>
      <c r="D105" t="s">
        <v>138</v>
      </c>
      <c r="E105" t="s">
        <v>370</v>
      </c>
      <c r="F105" t="s">
        <v>401</v>
      </c>
      <c r="G105" t="s">
        <v>277</v>
      </c>
      <c r="I105">
        <v>1871.68</v>
      </c>
      <c r="J105">
        <v>187.17</v>
      </c>
    </row>
    <row r="106" spans="1:10">
      <c r="A106" t="s">
        <v>94</v>
      </c>
      <c r="B106" t="s">
        <v>396</v>
      </c>
      <c r="C106" s="46">
        <v>45947</v>
      </c>
      <c r="D106" t="s">
        <v>138</v>
      </c>
      <c r="E106" t="s">
        <v>370</v>
      </c>
      <c r="F106" t="s">
        <v>236</v>
      </c>
      <c r="G106" t="s">
        <v>277</v>
      </c>
      <c r="I106">
        <v>32030.53</v>
      </c>
      <c r="J106">
        <v>3203.06</v>
      </c>
    </row>
    <row r="107" spans="1:10">
      <c r="A107" t="s">
        <v>94</v>
      </c>
      <c r="B107" t="s">
        <v>396</v>
      </c>
      <c r="C107" s="46">
        <v>45950</v>
      </c>
      <c r="D107" t="s">
        <v>138</v>
      </c>
      <c r="E107" t="s">
        <v>370</v>
      </c>
      <c r="F107" t="s">
        <v>251</v>
      </c>
      <c r="G107" t="s">
        <v>277</v>
      </c>
      <c r="I107">
        <v>1516.59</v>
      </c>
      <c r="J107">
        <v>151.66</v>
      </c>
    </row>
    <row r="108" spans="1:10">
      <c r="A108" t="s">
        <v>94</v>
      </c>
      <c r="B108" t="s">
        <v>396</v>
      </c>
      <c r="C108" s="46">
        <v>45937</v>
      </c>
      <c r="D108" t="s">
        <v>138</v>
      </c>
      <c r="E108" t="s">
        <v>370</v>
      </c>
      <c r="F108" t="s">
        <v>267</v>
      </c>
      <c r="G108" t="s">
        <v>277</v>
      </c>
      <c r="I108">
        <v>2094.25</v>
      </c>
      <c r="J108">
        <v>209.42</v>
      </c>
    </row>
    <row r="109" spans="1:10">
      <c r="A109" t="s">
        <v>94</v>
      </c>
      <c r="B109" t="s">
        <v>396</v>
      </c>
      <c r="C109" s="46">
        <v>45947</v>
      </c>
      <c r="D109" t="s">
        <v>138</v>
      </c>
      <c r="E109" t="s">
        <v>370</v>
      </c>
      <c r="F109" t="s">
        <v>251</v>
      </c>
      <c r="G109" t="s">
        <v>277</v>
      </c>
      <c r="I109">
        <v>11087.33</v>
      </c>
      <c r="J109">
        <v>1108.74</v>
      </c>
    </row>
    <row r="110" spans="1:10">
      <c r="A110" t="s">
        <v>94</v>
      </c>
      <c r="B110" t="s">
        <v>396</v>
      </c>
      <c r="C110" s="46">
        <v>45946</v>
      </c>
      <c r="D110" t="s">
        <v>138</v>
      </c>
      <c r="E110" t="s">
        <v>370</v>
      </c>
      <c r="F110" t="s">
        <v>288</v>
      </c>
      <c r="G110" t="s">
        <v>277</v>
      </c>
      <c r="I110">
        <v>4416.6000000000004</v>
      </c>
      <c r="J110">
        <v>441.66</v>
      </c>
    </row>
    <row r="111" spans="1:10">
      <c r="A111" t="s">
        <v>94</v>
      </c>
      <c r="B111" t="s">
        <v>396</v>
      </c>
      <c r="C111" s="46">
        <v>45957</v>
      </c>
      <c r="D111" t="s">
        <v>138</v>
      </c>
      <c r="E111" t="s">
        <v>370</v>
      </c>
      <c r="F111" t="s">
        <v>401</v>
      </c>
      <c r="G111" t="s">
        <v>277</v>
      </c>
      <c r="I111">
        <v>2165.62</v>
      </c>
      <c r="J111">
        <v>216.56</v>
      </c>
    </row>
    <row r="112" spans="1:10">
      <c r="A112" t="s">
        <v>94</v>
      </c>
      <c r="B112" t="s">
        <v>396</v>
      </c>
      <c r="C112" s="46">
        <v>45950</v>
      </c>
      <c r="D112" t="s">
        <v>138</v>
      </c>
      <c r="E112" t="s">
        <v>370</v>
      </c>
      <c r="F112" t="s">
        <v>267</v>
      </c>
      <c r="G112" t="s">
        <v>277</v>
      </c>
      <c r="I112">
        <v>11148.76</v>
      </c>
      <c r="J112">
        <v>1114.8800000000001</v>
      </c>
    </row>
    <row r="113" spans="1:10">
      <c r="A113" t="s">
        <v>94</v>
      </c>
      <c r="B113" t="s">
        <v>396</v>
      </c>
      <c r="C113" s="46">
        <v>45931</v>
      </c>
      <c r="D113" t="s">
        <v>157</v>
      </c>
      <c r="E113" t="s">
        <v>370</v>
      </c>
      <c r="F113" t="s">
        <v>267</v>
      </c>
      <c r="G113" t="s">
        <v>227</v>
      </c>
      <c r="I113">
        <v>13108.32</v>
      </c>
      <c r="J113">
        <v>1310.83</v>
      </c>
    </row>
    <row r="114" spans="1:10">
      <c r="A114" t="s">
        <v>94</v>
      </c>
      <c r="B114" t="s">
        <v>396</v>
      </c>
      <c r="C114" s="46">
        <v>45931</v>
      </c>
      <c r="D114" t="s">
        <v>112</v>
      </c>
      <c r="E114" t="s">
        <v>370</v>
      </c>
      <c r="F114" t="s">
        <v>402</v>
      </c>
      <c r="G114" t="s">
        <v>403</v>
      </c>
      <c r="I114">
        <v>11440.24</v>
      </c>
      <c r="J114">
        <v>1372.83</v>
      </c>
    </row>
    <row r="115" spans="1:10">
      <c r="A115" t="s">
        <v>94</v>
      </c>
      <c r="B115" t="s">
        <v>396</v>
      </c>
      <c r="C115" s="46">
        <v>45931</v>
      </c>
      <c r="D115" t="s">
        <v>112</v>
      </c>
      <c r="E115" t="s">
        <v>370</v>
      </c>
      <c r="F115" t="s">
        <v>402</v>
      </c>
      <c r="G115" t="s">
        <v>403</v>
      </c>
      <c r="I115">
        <v>13814.4</v>
      </c>
      <c r="J115">
        <v>1657.73</v>
      </c>
    </row>
    <row r="116" spans="1:10">
      <c r="A116" t="s">
        <v>94</v>
      </c>
      <c r="B116" t="s">
        <v>396</v>
      </c>
      <c r="C116" s="46">
        <v>45931</v>
      </c>
      <c r="D116" t="s">
        <v>112</v>
      </c>
      <c r="E116" t="s">
        <v>370</v>
      </c>
      <c r="F116" t="s">
        <v>246</v>
      </c>
      <c r="G116" t="s">
        <v>403</v>
      </c>
      <c r="I116">
        <v>3351.89</v>
      </c>
      <c r="J116">
        <v>402.23</v>
      </c>
    </row>
    <row r="117" spans="1:10">
      <c r="A117" t="s">
        <v>94</v>
      </c>
      <c r="B117" t="s">
        <v>396</v>
      </c>
      <c r="C117" s="46">
        <v>45931</v>
      </c>
      <c r="D117" t="s">
        <v>112</v>
      </c>
      <c r="E117" t="s">
        <v>370</v>
      </c>
      <c r="F117" t="s">
        <v>246</v>
      </c>
      <c r="G117" t="s">
        <v>403</v>
      </c>
      <c r="I117">
        <v>2742.03</v>
      </c>
      <c r="J117">
        <v>329.04</v>
      </c>
    </row>
    <row r="118" spans="1:10">
      <c r="A118" t="s">
        <v>94</v>
      </c>
      <c r="B118" t="s">
        <v>396</v>
      </c>
      <c r="C118" s="46">
        <v>45931</v>
      </c>
      <c r="D118" t="s">
        <v>112</v>
      </c>
      <c r="E118" t="s">
        <v>370</v>
      </c>
      <c r="F118" t="s">
        <v>404</v>
      </c>
      <c r="G118" t="s">
        <v>403</v>
      </c>
      <c r="I118">
        <v>17529.37</v>
      </c>
      <c r="J118">
        <v>2103.52</v>
      </c>
    </row>
    <row r="119" spans="1:10">
      <c r="A119" t="s">
        <v>94</v>
      </c>
      <c r="B119" t="s">
        <v>396</v>
      </c>
      <c r="C119" s="46">
        <v>45931</v>
      </c>
      <c r="D119" t="s">
        <v>112</v>
      </c>
      <c r="E119" t="s">
        <v>370</v>
      </c>
      <c r="F119" t="s">
        <v>404</v>
      </c>
      <c r="G119" t="s">
        <v>403</v>
      </c>
      <c r="I119">
        <v>250</v>
      </c>
      <c r="J119">
        <v>30</v>
      </c>
    </row>
    <row r="120" spans="1:10">
      <c r="A120" t="s">
        <v>94</v>
      </c>
      <c r="B120" t="s">
        <v>396</v>
      </c>
      <c r="C120" s="46">
        <v>45931</v>
      </c>
      <c r="D120" t="s">
        <v>112</v>
      </c>
      <c r="E120" t="s">
        <v>370</v>
      </c>
      <c r="F120" t="s">
        <v>404</v>
      </c>
      <c r="G120" t="s">
        <v>403</v>
      </c>
      <c r="I120">
        <v>5809.58</v>
      </c>
      <c r="J120">
        <v>697.15</v>
      </c>
    </row>
    <row r="121" spans="1:10">
      <c r="A121" t="s">
        <v>94</v>
      </c>
      <c r="B121" t="s">
        <v>396</v>
      </c>
      <c r="C121" s="46">
        <v>45931</v>
      </c>
      <c r="D121" t="s">
        <v>112</v>
      </c>
      <c r="E121" t="s">
        <v>370</v>
      </c>
      <c r="F121" t="s">
        <v>405</v>
      </c>
      <c r="G121" t="s">
        <v>403</v>
      </c>
      <c r="I121">
        <v>21274.5</v>
      </c>
      <c r="J121">
        <v>2978.43</v>
      </c>
    </row>
    <row r="122" spans="1:10">
      <c r="A122" t="s">
        <v>94</v>
      </c>
      <c r="B122" t="s">
        <v>396</v>
      </c>
      <c r="C122" s="46">
        <v>45931</v>
      </c>
      <c r="D122" t="s">
        <v>112</v>
      </c>
      <c r="E122" t="s">
        <v>370</v>
      </c>
      <c r="F122" t="s">
        <v>406</v>
      </c>
      <c r="G122" t="s">
        <v>403</v>
      </c>
      <c r="I122">
        <v>7844.35</v>
      </c>
      <c r="J122">
        <v>941.32</v>
      </c>
    </row>
    <row r="123" spans="1:10">
      <c r="A123" t="s">
        <v>94</v>
      </c>
      <c r="B123" t="s">
        <v>396</v>
      </c>
      <c r="C123" s="46">
        <v>45931</v>
      </c>
      <c r="D123" t="s">
        <v>112</v>
      </c>
      <c r="E123" t="s">
        <v>370</v>
      </c>
      <c r="F123" t="s">
        <v>406</v>
      </c>
      <c r="G123" t="s">
        <v>403</v>
      </c>
      <c r="I123">
        <v>7970.04</v>
      </c>
      <c r="J123">
        <v>956.4</v>
      </c>
    </row>
    <row r="124" spans="1:10">
      <c r="A124" t="s">
        <v>94</v>
      </c>
      <c r="B124" t="s">
        <v>396</v>
      </c>
      <c r="C124" s="46">
        <v>45931</v>
      </c>
      <c r="D124" t="s">
        <v>112</v>
      </c>
      <c r="E124" t="s">
        <v>370</v>
      </c>
      <c r="F124" t="s">
        <v>404</v>
      </c>
      <c r="G124" t="s">
        <v>407</v>
      </c>
      <c r="I124">
        <v>3102.44</v>
      </c>
      <c r="J124">
        <v>465.37</v>
      </c>
    </row>
    <row r="125" spans="1:10">
      <c r="A125" t="s">
        <v>94</v>
      </c>
      <c r="B125" t="s">
        <v>396</v>
      </c>
      <c r="C125" s="46">
        <v>45931</v>
      </c>
      <c r="D125" t="s">
        <v>112</v>
      </c>
      <c r="E125" t="s">
        <v>370</v>
      </c>
      <c r="F125" t="s">
        <v>408</v>
      </c>
      <c r="G125" t="s">
        <v>407</v>
      </c>
      <c r="I125">
        <v>623.73</v>
      </c>
      <c r="J125">
        <v>93.56</v>
      </c>
    </row>
    <row r="126" spans="1:10">
      <c r="A126" t="s">
        <v>94</v>
      </c>
      <c r="B126" t="s">
        <v>396</v>
      </c>
      <c r="C126" s="46">
        <v>45931</v>
      </c>
      <c r="D126" t="s">
        <v>112</v>
      </c>
      <c r="E126" t="s">
        <v>370</v>
      </c>
      <c r="F126" t="s">
        <v>230</v>
      </c>
      <c r="G126" t="s">
        <v>407</v>
      </c>
      <c r="I126">
        <v>4333.01</v>
      </c>
      <c r="J126">
        <v>649.95000000000005</v>
      </c>
    </row>
    <row r="127" spans="1:10">
      <c r="A127" t="s">
        <v>94</v>
      </c>
      <c r="B127" t="s">
        <v>396</v>
      </c>
      <c r="C127" s="46">
        <v>45931</v>
      </c>
      <c r="D127" t="s">
        <v>112</v>
      </c>
      <c r="E127" t="s">
        <v>370</v>
      </c>
      <c r="F127" t="s">
        <v>409</v>
      </c>
      <c r="G127" t="s">
        <v>407</v>
      </c>
      <c r="I127">
        <v>932.45</v>
      </c>
      <c r="J127">
        <v>139.87</v>
      </c>
    </row>
    <row r="128" spans="1:10">
      <c r="A128" t="s">
        <v>94</v>
      </c>
      <c r="B128" t="s">
        <v>396</v>
      </c>
      <c r="C128" s="46">
        <v>45931</v>
      </c>
      <c r="D128" t="s">
        <v>104</v>
      </c>
      <c r="E128" t="s">
        <v>370</v>
      </c>
      <c r="I128">
        <v>-2397.0000000000027</v>
      </c>
      <c r="J128">
        <v>-131.84000000000015</v>
      </c>
    </row>
    <row r="129" spans="1:10">
      <c r="A129" t="s">
        <v>94</v>
      </c>
      <c r="B129" t="s">
        <v>396</v>
      </c>
      <c r="C129" s="46">
        <v>45931</v>
      </c>
      <c r="D129" t="s">
        <v>112</v>
      </c>
      <c r="E129" t="s">
        <v>370</v>
      </c>
      <c r="I129">
        <v>2.9103830456733704E-11</v>
      </c>
      <c r="J129">
        <v>5.2750692702829838E-11</v>
      </c>
    </row>
    <row r="130" spans="1:10">
      <c r="A130" t="s">
        <v>94</v>
      </c>
      <c r="B130" t="s">
        <v>396</v>
      </c>
      <c r="C130" s="46">
        <v>45931</v>
      </c>
      <c r="D130" t="s">
        <v>132</v>
      </c>
      <c r="E130" t="s">
        <v>370</v>
      </c>
      <c r="I130">
        <v>2397</v>
      </c>
      <c r="J130">
        <v>131.84</v>
      </c>
    </row>
    <row r="131" spans="1:10">
      <c r="A131" t="s">
        <v>94</v>
      </c>
      <c r="B131" t="s">
        <v>396</v>
      </c>
      <c r="C131" s="46">
        <v>45931</v>
      </c>
      <c r="D131" t="s">
        <v>135</v>
      </c>
      <c r="E131" t="s">
        <v>370</v>
      </c>
      <c r="I131">
        <v>-91925.39</v>
      </c>
      <c r="J131">
        <v>-6894.4</v>
      </c>
    </row>
    <row r="132" spans="1:10">
      <c r="A132" t="s">
        <v>94</v>
      </c>
      <c r="B132" t="s">
        <v>396</v>
      </c>
      <c r="C132" s="46">
        <v>45931</v>
      </c>
      <c r="D132" t="s">
        <v>130</v>
      </c>
      <c r="E132" t="s">
        <v>370</v>
      </c>
      <c r="I132">
        <v>12236</v>
      </c>
      <c r="J132">
        <v>1070.6499999999999</v>
      </c>
    </row>
    <row r="133" spans="1:10">
      <c r="A133" t="s">
        <v>94</v>
      </c>
      <c r="B133" t="s">
        <v>396</v>
      </c>
      <c r="C133" s="46">
        <v>45931</v>
      </c>
      <c r="D133" t="s">
        <v>141</v>
      </c>
      <c r="E133" t="s">
        <v>370</v>
      </c>
      <c r="I133">
        <v>91925.389999999985</v>
      </c>
      <c r="J133">
        <v>6894.4000000000015</v>
      </c>
    </row>
    <row r="134" spans="1:10">
      <c r="A134" t="s">
        <v>94</v>
      </c>
      <c r="B134" t="s">
        <v>396</v>
      </c>
      <c r="C134" s="46">
        <v>45931</v>
      </c>
      <c r="D134" t="s">
        <v>153</v>
      </c>
      <c r="E134" t="s">
        <v>370</v>
      </c>
      <c r="I134">
        <v>-1.4551915228366852E-11</v>
      </c>
      <c r="J134">
        <v>0</v>
      </c>
    </row>
    <row r="135" spans="1:10">
      <c r="A135" t="s">
        <v>94</v>
      </c>
      <c r="B135" t="s">
        <v>396</v>
      </c>
      <c r="C135" s="46">
        <v>45931</v>
      </c>
      <c r="D135" t="s">
        <v>116</v>
      </c>
      <c r="E135" t="s">
        <v>370</v>
      </c>
      <c r="I135">
        <v>9031.920000000142</v>
      </c>
      <c r="J135">
        <v>373.72999999998825</v>
      </c>
    </row>
    <row r="136" spans="1:10">
      <c r="A136" t="s">
        <v>94</v>
      </c>
      <c r="B136" t="s">
        <v>396</v>
      </c>
      <c r="C136" s="46">
        <v>45931</v>
      </c>
      <c r="D136" t="s">
        <v>126</v>
      </c>
      <c r="E136" t="s">
        <v>370</v>
      </c>
      <c r="I136">
        <v>-9031.9199999999855</v>
      </c>
      <c r="J136">
        <v>-373.73000000000008</v>
      </c>
    </row>
    <row r="137" spans="1:10">
      <c r="A137" t="s">
        <v>94</v>
      </c>
      <c r="B137" t="s">
        <v>396</v>
      </c>
      <c r="C137" s="46">
        <v>45931</v>
      </c>
      <c r="D137" t="s">
        <v>138</v>
      </c>
      <c r="E137" t="s">
        <v>370</v>
      </c>
      <c r="I137">
        <v>-12235.999999999665</v>
      </c>
      <c r="J137">
        <v>-1070.6499999999887</v>
      </c>
    </row>
  </sheetData>
  <autoFilter ref="A1:J59" xr:uid="{B5C8AF37-B96D-45E7-93CE-F4B31E6CBC8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E818-45AE-47F3-9C6B-DA3C22D27C40}">
  <dimension ref="A1:L9"/>
  <sheetViews>
    <sheetView workbookViewId="0">
      <selection activeCell="B7" sqref="B7"/>
    </sheetView>
  </sheetViews>
  <sheetFormatPr defaultColWidth="11.42578125" defaultRowHeight="15"/>
  <cols>
    <col min="1" max="1" width="24.5703125" customWidth="1"/>
    <col min="2" max="2" width="24.85546875" customWidth="1"/>
  </cols>
  <sheetData>
    <row r="1" spans="1:12">
      <c r="A1" s="7" t="s">
        <v>410</v>
      </c>
      <c r="L1" s="16"/>
    </row>
    <row r="3" spans="1:12">
      <c r="B3" s="11" t="s">
        <v>411</v>
      </c>
    </row>
    <row r="4" spans="1:12">
      <c r="A4" s="13" t="s">
        <v>412</v>
      </c>
      <c r="B4" s="12">
        <f>+SUM('Modelo Datos'!I:I)</f>
        <v>287153.66000000009</v>
      </c>
    </row>
    <row r="5" spans="1:12">
      <c r="A5" s="13" t="s">
        <v>413</v>
      </c>
      <c r="B5" s="12">
        <f>+SUM('Modelo Datos'!J:J)</f>
        <v>26781.440000000002</v>
      </c>
    </row>
    <row r="6" spans="1:12">
      <c r="A6" s="13" t="s">
        <v>414</v>
      </c>
      <c r="B6" s="12">
        <f>+SUM('Modelo Datos'!K:K)</f>
        <v>26781.440000000002</v>
      </c>
    </row>
    <row r="7" spans="1:12">
      <c r="A7" s="13" t="s">
        <v>415</v>
      </c>
      <c r="B7" s="12">
        <f>+SUM('Modelo Datos'!P:R)</f>
        <v>0</v>
      </c>
    </row>
    <row r="9" spans="1:12">
      <c r="A9" s="14" t="s">
        <v>416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700608-87c1-4b7c-937f-b2582eea695b">
      <Terms xmlns="http://schemas.microsoft.com/office/infopath/2007/PartnerControls"/>
    </lcf76f155ced4ddcb4097134ff3c332f>
    <TaxCatchAll xmlns="5c680a88-8913-4f49-a90f-96ec542e1a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78EBE1-A219-4250-872C-23C2F9D11C9F}"/>
</file>

<file path=customXml/itemProps2.xml><?xml version="1.0" encoding="utf-8"?>
<ds:datastoreItem xmlns:ds="http://schemas.openxmlformats.org/officeDocument/2006/customXml" ds:itemID="{05D59B25-0BE4-4092-A380-FE4CC87DD9DC}"/>
</file>

<file path=customXml/itemProps3.xml><?xml version="1.0" encoding="utf-8"?>
<ds:datastoreItem xmlns:ds="http://schemas.openxmlformats.org/officeDocument/2006/customXml" ds:itemID="{FE3283E5-3A07-49D6-A69A-14E2C452FE05}"/>
</file>

<file path=docMetadata/LabelInfo.xml><?xml version="1.0" encoding="utf-8"?>
<clbl:labelList xmlns:clbl="http://schemas.microsoft.com/office/2020/mipLabelMetadata">
  <clbl:label id="{059eb431-8a05-4e9a-9d3a-0a9056cd91f1}" enabled="0" method="" siteId="{059eb431-8a05-4e9a-9d3a-0a9056cd91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 Torres</dc:creator>
  <cp:keywords/>
  <dc:description/>
  <cp:lastModifiedBy>Pere Torres</cp:lastModifiedBy>
  <cp:revision/>
  <dcterms:created xsi:type="dcterms:W3CDTF">2025-06-26T11:08:49Z</dcterms:created>
  <dcterms:modified xsi:type="dcterms:W3CDTF">2026-03-16T12:54:43Z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0x010100526B37DCBE27DF4DB781863BFA31B7FA</vt:lpwstr>
  </property>
  <property fmtid="{D5CDD505-2E9C-101B-9397-08002B2CF9AE}" pid="3" name="MediaServiceImageTags">
    <vt:lpwstr/>
  </property>
</Properties>
</file>