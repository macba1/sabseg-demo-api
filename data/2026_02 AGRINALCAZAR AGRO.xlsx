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brokerspartners.sharepoint.com/sites/CEOOffice/Documentos compartidos/2. Datos/6. Controlling Comercial/1. Ficheros Report/2026/02. FEBRERO/Estadisticas/02. Febrero/"/>
    </mc:Choice>
  </mc:AlternateContent>
  <xr:revisionPtr revIDLastSave="184" documentId="8_{FFF29496-6DF0-4301-B987-868E8D80F918}" xr6:coauthVersionLast="47" xr6:coauthVersionMax="47" xr10:uidLastSave="{5D304877-F956-47C7-B6FB-38ED22EC6A11}"/>
  <bookViews>
    <workbookView xWindow="-110" yWindow="-110" windowWidth="19420" windowHeight="11500" firstSheet="3" activeTab="8" xr2:uid="{AC9C8347-FAD0-48F6-AE62-0DE895465174}"/>
  </bookViews>
  <sheets>
    <sheet name="Instrucciones" sheetId="2" r:id="rId1"/>
    <sheet name="Descripción" sheetId="1" r:id="rId2"/>
    <sheet name="Modelo Datos" sheetId="3" r:id="rId3"/>
    <sheet name="TD" sheetId="6" r:id="rId4"/>
    <sheet name="REPORT" sheetId="7" r:id="rId5"/>
    <sheet name="Otros ingresos" sheetId="5" r:id="rId6"/>
    <sheet name="Validación Datos" sheetId="4" r:id="rId7"/>
    <sheet name="clientes" sheetId="8" r:id="rId8"/>
    <sheet name="polizas" sheetId="9" r:id="rId9"/>
  </sheets>
  <definedNames>
    <definedName name="_xlnm._FilterDatabase" localSheetId="2" hidden="1">'Modelo Datos'!$A$1:$AM$1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9" l="1"/>
  <c r="J4" i="9"/>
  <c r="I5" i="9"/>
  <c r="J5" i="9"/>
  <c r="I6" i="9"/>
  <c r="J6" i="9"/>
  <c r="I7" i="9"/>
  <c r="J7" i="9"/>
  <c r="I8" i="9"/>
  <c r="J8" i="9"/>
  <c r="I9" i="9"/>
  <c r="J9" i="9"/>
  <c r="I10" i="9"/>
  <c r="J10" i="9"/>
  <c r="I11" i="9"/>
  <c r="J11" i="9"/>
  <c r="I12" i="9"/>
  <c r="J12" i="9"/>
  <c r="I13" i="9"/>
  <c r="J13" i="9"/>
  <c r="I14" i="9"/>
  <c r="J14" i="9"/>
  <c r="I15" i="9"/>
  <c r="J15" i="9"/>
  <c r="I16" i="9"/>
  <c r="J16" i="9"/>
  <c r="I17" i="9"/>
  <c r="J17" i="9"/>
  <c r="I18" i="9"/>
  <c r="J18" i="9"/>
  <c r="I19" i="9"/>
  <c r="J19" i="9"/>
  <c r="I20" i="9"/>
  <c r="J20" i="9"/>
  <c r="I21" i="9"/>
  <c r="J21" i="9"/>
  <c r="I22" i="9"/>
  <c r="J22" i="9"/>
  <c r="I23" i="9"/>
  <c r="J23" i="9"/>
  <c r="I24" i="9"/>
  <c r="J24" i="9"/>
  <c r="I25" i="9"/>
  <c r="J25" i="9"/>
  <c r="I26" i="9"/>
  <c r="J26" i="9"/>
  <c r="I27" i="9"/>
  <c r="J27" i="9"/>
  <c r="I28" i="9"/>
  <c r="J28" i="9"/>
  <c r="I29" i="9"/>
  <c r="J29" i="9"/>
  <c r="I30" i="9"/>
  <c r="J30" i="9"/>
  <c r="I31" i="9"/>
  <c r="J31" i="9"/>
  <c r="I32" i="9"/>
  <c r="J32" i="9"/>
  <c r="I33" i="9"/>
  <c r="J33" i="9"/>
  <c r="I34" i="9"/>
  <c r="J34" i="9"/>
  <c r="I35" i="9"/>
  <c r="J35" i="9"/>
  <c r="I36" i="9"/>
  <c r="J36" i="9"/>
  <c r="I37" i="9"/>
  <c r="J37" i="9"/>
  <c r="I38" i="9"/>
  <c r="J38" i="9"/>
  <c r="I39" i="9"/>
  <c r="J39" i="9"/>
  <c r="I40" i="9"/>
  <c r="J40" i="9"/>
  <c r="I41" i="9"/>
  <c r="J41" i="9"/>
  <c r="I42" i="9"/>
  <c r="J42" i="9"/>
  <c r="I43" i="9"/>
  <c r="J43" i="9"/>
  <c r="I44" i="9"/>
  <c r="J44" i="9"/>
  <c r="I45" i="9"/>
  <c r="J45" i="9"/>
  <c r="I46" i="9"/>
  <c r="J46" i="9"/>
  <c r="I47" i="9"/>
  <c r="J47" i="9"/>
  <c r="I48" i="9"/>
  <c r="J48" i="9"/>
  <c r="I49" i="9"/>
  <c r="J49" i="9"/>
  <c r="I50" i="9"/>
  <c r="J50" i="9"/>
  <c r="I51" i="9"/>
  <c r="J51" i="9"/>
  <c r="I52" i="9"/>
  <c r="J52" i="9"/>
  <c r="I53" i="9"/>
  <c r="J53" i="9"/>
  <c r="I54" i="9"/>
  <c r="J54" i="9"/>
  <c r="I55" i="9"/>
  <c r="J55" i="9"/>
  <c r="I56" i="9"/>
  <c r="J56" i="9"/>
  <c r="I57" i="9"/>
  <c r="J57" i="9"/>
  <c r="I58" i="9"/>
  <c r="J58" i="9"/>
  <c r="I59" i="9"/>
  <c r="J59" i="9"/>
  <c r="I60" i="9"/>
  <c r="J60" i="9"/>
  <c r="I61" i="9"/>
  <c r="J61" i="9"/>
  <c r="I62" i="9"/>
  <c r="J62" i="9"/>
  <c r="I63" i="9"/>
  <c r="J63" i="9"/>
  <c r="I64" i="9"/>
  <c r="J64" i="9"/>
  <c r="I65" i="9"/>
  <c r="J65" i="9"/>
  <c r="I66" i="9"/>
  <c r="J66" i="9"/>
  <c r="I67" i="9"/>
  <c r="J67" i="9"/>
  <c r="I68" i="9"/>
  <c r="J68" i="9"/>
  <c r="I69" i="9"/>
  <c r="J69" i="9"/>
  <c r="I70" i="9"/>
  <c r="J70" i="9"/>
  <c r="I71" i="9"/>
  <c r="J71" i="9"/>
  <c r="I72" i="9"/>
  <c r="J72" i="9"/>
  <c r="I73" i="9"/>
  <c r="J73" i="9"/>
  <c r="I74" i="9"/>
  <c r="J74" i="9"/>
  <c r="I75" i="9"/>
  <c r="J75" i="9"/>
  <c r="I76" i="9"/>
  <c r="J76" i="9"/>
  <c r="I77" i="9"/>
  <c r="J77" i="9"/>
  <c r="I78" i="9"/>
  <c r="J78" i="9"/>
  <c r="I79" i="9"/>
  <c r="J79" i="9"/>
  <c r="I80" i="9"/>
  <c r="J80" i="9"/>
  <c r="I81" i="9"/>
  <c r="J81" i="9"/>
  <c r="I82" i="9"/>
  <c r="J82" i="9"/>
  <c r="I83" i="9"/>
  <c r="J83" i="9"/>
  <c r="I84" i="9"/>
  <c r="J84" i="9"/>
  <c r="I85" i="9"/>
  <c r="J85" i="9"/>
  <c r="I86" i="9"/>
  <c r="J86" i="9"/>
  <c r="I87" i="9"/>
  <c r="J87" i="9"/>
  <c r="I88" i="9"/>
  <c r="J88" i="9"/>
  <c r="I89" i="9"/>
  <c r="J89" i="9"/>
  <c r="I90" i="9"/>
  <c r="J90" i="9"/>
  <c r="I91" i="9"/>
  <c r="J91" i="9"/>
  <c r="I92" i="9"/>
  <c r="J92" i="9"/>
  <c r="I93" i="9"/>
  <c r="J93" i="9"/>
  <c r="I94" i="9"/>
  <c r="J94" i="9"/>
  <c r="I95" i="9"/>
  <c r="J95" i="9"/>
  <c r="I96" i="9"/>
  <c r="J96" i="9"/>
  <c r="I97" i="9"/>
  <c r="J97" i="9"/>
  <c r="I98" i="9"/>
  <c r="J98" i="9"/>
  <c r="I99" i="9"/>
  <c r="J99" i="9"/>
  <c r="I100" i="9"/>
  <c r="J100" i="9"/>
  <c r="I101" i="9"/>
  <c r="J101" i="9"/>
  <c r="I102" i="9"/>
  <c r="J102" i="9"/>
  <c r="I103" i="9"/>
  <c r="J103" i="9"/>
  <c r="I104" i="9"/>
  <c r="J104" i="9"/>
  <c r="I105" i="9"/>
  <c r="J105" i="9"/>
  <c r="I106" i="9"/>
  <c r="J106" i="9"/>
  <c r="I107" i="9"/>
  <c r="J107" i="9"/>
  <c r="I108" i="9"/>
  <c r="J108" i="9"/>
  <c r="I109" i="9"/>
  <c r="J109" i="9"/>
  <c r="I110" i="9"/>
  <c r="J110" i="9"/>
  <c r="I111" i="9"/>
  <c r="J111" i="9"/>
  <c r="I112" i="9"/>
  <c r="J112" i="9"/>
  <c r="I113" i="9"/>
  <c r="J113" i="9"/>
  <c r="I114" i="9"/>
  <c r="J114" i="9"/>
  <c r="I115" i="9"/>
  <c r="J115" i="9"/>
  <c r="I116" i="9"/>
  <c r="J116" i="9"/>
  <c r="I117" i="9"/>
  <c r="J117" i="9"/>
  <c r="I118" i="9"/>
  <c r="J118" i="9"/>
  <c r="I119" i="9"/>
  <c r="J119" i="9"/>
  <c r="I120" i="9"/>
  <c r="J120" i="9"/>
  <c r="I121" i="9"/>
  <c r="J121" i="9"/>
  <c r="I122" i="9"/>
  <c r="J122" i="9"/>
  <c r="I123" i="9"/>
  <c r="J123" i="9"/>
  <c r="I124" i="9"/>
  <c r="J124" i="9"/>
  <c r="I125" i="9"/>
  <c r="J125" i="9"/>
  <c r="I126" i="9"/>
  <c r="J126" i="9"/>
  <c r="I127" i="9"/>
  <c r="J127" i="9"/>
  <c r="I128" i="9"/>
  <c r="J128" i="9"/>
  <c r="I129" i="9"/>
  <c r="J129" i="9"/>
  <c r="I130" i="9"/>
  <c r="J130" i="9"/>
  <c r="I131" i="9"/>
  <c r="J131" i="9"/>
  <c r="I132" i="9"/>
  <c r="J132" i="9"/>
  <c r="I133" i="9"/>
  <c r="J133" i="9"/>
  <c r="I134" i="9"/>
  <c r="J134" i="9"/>
  <c r="I135" i="9"/>
  <c r="J135" i="9"/>
  <c r="I136" i="9"/>
  <c r="J136" i="9"/>
  <c r="I137" i="9"/>
  <c r="J137" i="9"/>
  <c r="I138" i="9"/>
  <c r="J138" i="9"/>
  <c r="I139" i="9"/>
  <c r="J139" i="9"/>
  <c r="I140" i="9"/>
  <c r="J140" i="9"/>
  <c r="I141" i="9"/>
  <c r="J141" i="9"/>
  <c r="I142" i="9"/>
  <c r="J142" i="9"/>
  <c r="I143" i="9"/>
  <c r="J143" i="9"/>
  <c r="I144" i="9"/>
  <c r="J144" i="9"/>
  <c r="I145" i="9"/>
  <c r="J145" i="9"/>
  <c r="I146" i="9"/>
  <c r="J146" i="9"/>
  <c r="I147" i="9"/>
  <c r="J147" i="9"/>
  <c r="I148" i="9"/>
  <c r="J148" i="9"/>
  <c r="I149" i="9"/>
  <c r="J149" i="9"/>
  <c r="I150" i="9"/>
  <c r="J150" i="9"/>
  <c r="I151" i="9"/>
  <c r="J151" i="9"/>
  <c r="I152" i="9"/>
  <c r="J152" i="9"/>
  <c r="I153" i="9"/>
  <c r="J153" i="9"/>
  <c r="I154" i="9"/>
  <c r="J154" i="9"/>
  <c r="I155" i="9"/>
  <c r="J155" i="9"/>
  <c r="I156" i="9"/>
  <c r="J156" i="9"/>
  <c r="I157" i="9"/>
  <c r="J157" i="9"/>
  <c r="I158" i="9"/>
  <c r="J158" i="9"/>
  <c r="I159" i="9"/>
  <c r="J159" i="9"/>
  <c r="I160" i="9"/>
  <c r="J160" i="9"/>
  <c r="I161" i="9"/>
  <c r="J161" i="9"/>
  <c r="I162" i="9"/>
  <c r="J162" i="9"/>
  <c r="I163" i="9"/>
  <c r="J163" i="9"/>
  <c r="I164" i="9"/>
  <c r="J164" i="9"/>
  <c r="I165" i="9"/>
  <c r="J165" i="9"/>
  <c r="I166" i="9"/>
  <c r="J166" i="9"/>
  <c r="I167" i="9"/>
  <c r="J167" i="9"/>
  <c r="I168" i="9"/>
  <c r="J168" i="9"/>
  <c r="I169" i="9"/>
  <c r="J169" i="9"/>
  <c r="I170" i="9"/>
  <c r="J170" i="9"/>
  <c r="I171" i="9"/>
  <c r="J171" i="9"/>
  <c r="I172" i="9"/>
  <c r="J172" i="9"/>
  <c r="I173" i="9"/>
  <c r="J173" i="9"/>
  <c r="I174" i="9"/>
  <c r="J174" i="9"/>
  <c r="I175" i="9"/>
  <c r="J175" i="9"/>
  <c r="I176" i="9"/>
  <c r="J176" i="9"/>
  <c r="I177" i="9"/>
  <c r="J177" i="9"/>
  <c r="I178" i="9"/>
  <c r="J178" i="9"/>
  <c r="I179" i="9"/>
  <c r="J179" i="9"/>
  <c r="I180" i="9"/>
  <c r="J180" i="9"/>
  <c r="I181" i="9"/>
  <c r="J181" i="9"/>
  <c r="I182" i="9"/>
  <c r="J182" i="9"/>
  <c r="I183" i="9"/>
  <c r="J183" i="9"/>
  <c r="I184" i="9"/>
  <c r="J184" i="9"/>
  <c r="I185" i="9"/>
  <c r="J185" i="9"/>
  <c r="I186" i="9"/>
  <c r="J186" i="9"/>
  <c r="I187" i="9"/>
  <c r="J187" i="9"/>
  <c r="I188" i="9"/>
  <c r="J188" i="9"/>
  <c r="I189" i="9"/>
  <c r="J189" i="9"/>
  <c r="I190" i="9"/>
  <c r="J190" i="9"/>
  <c r="I191" i="9"/>
  <c r="J191" i="9"/>
  <c r="I192" i="9"/>
  <c r="J192" i="9"/>
  <c r="I193" i="9"/>
  <c r="J193" i="9"/>
  <c r="I194" i="9"/>
  <c r="J194" i="9"/>
  <c r="I195" i="9"/>
  <c r="J195" i="9"/>
  <c r="I196" i="9"/>
  <c r="J196" i="9"/>
  <c r="I197" i="9"/>
  <c r="J197" i="9"/>
  <c r="I198" i="9"/>
  <c r="J198" i="9"/>
  <c r="I199" i="9"/>
  <c r="J199" i="9"/>
  <c r="I200" i="9"/>
  <c r="J200" i="9"/>
  <c r="I201" i="9"/>
  <c r="J201" i="9"/>
  <c r="I202" i="9"/>
  <c r="J202" i="9"/>
  <c r="I203" i="9"/>
  <c r="J203" i="9"/>
  <c r="I204" i="9"/>
  <c r="J204" i="9"/>
  <c r="I205" i="9"/>
  <c r="J205" i="9"/>
  <c r="I206" i="9"/>
  <c r="J206" i="9"/>
  <c r="I207" i="9"/>
  <c r="J207" i="9"/>
  <c r="I208" i="9"/>
  <c r="J208" i="9"/>
  <c r="I209" i="9"/>
  <c r="J209" i="9"/>
  <c r="J3" i="9"/>
  <c r="I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3" i="9"/>
  <c r="B142" i="8"/>
  <c r="C142" i="8"/>
  <c r="D142" i="8"/>
  <c r="B143" i="8"/>
  <c r="C143" i="8"/>
  <c r="D143" i="8"/>
  <c r="B144" i="8"/>
  <c r="C144" i="8"/>
  <c r="D144" i="8"/>
  <c r="B145" i="8"/>
  <c r="C145" i="8"/>
  <c r="D145" i="8"/>
  <c r="B146" i="8"/>
  <c r="C146" i="8"/>
  <c r="D146" i="8"/>
  <c r="B147" i="8"/>
  <c r="C147" i="8"/>
  <c r="D147" i="8"/>
  <c r="B148" i="8"/>
  <c r="C148" i="8"/>
  <c r="D148" i="8"/>
  <c r="B149" i="8"/>
  <c r="C149" i="8"/>
  <c r="D149" i="8"/>
  <c r="B150" i="8"/>
  <c r="C150" i="8"/>
  <c r="D150" i="8"/>
  <c r="B151" i="8"/>
  <c r="C151" i="8"/>
  <c r="D151" i="8"/>
  <c r="B152" i="8"/>
  <c r="C152" i="8"/>
  <c r="D152" i="8"/>
  <c r="B153" i="8"/>
  <c r="C153" i="8"/>
  <c r="D153" i="8"/>
  <c r="B154" i="8"/>
  <c r="C154" i="8"/>
  <c r="D154" i="8"/>
  <c r="B155" i="8"/>
  <c r="C155" i="8"/>
  <c r="D155" i="8"/>
  <c r="B156" i="8"/>
  <c r="C156" i="8"/>
  <c r="D156" i="8"/>
  <c r="B157" i="8"/>
  <c r="C157" i="8"/>
  <c r="D157" i="8"/>
  <c r="B158" i="8"/>
  <c r="C158" i="8"/>
  <c r="D158" i="8"/>
  <c r="B159" i="8"/>
  <c r="C159" i="8"/>
  <c r="D159" i="8"/>
  <c r="B160" i="8"/>
  <c r="C160" i="8"/>
  <c r="D160" i="8"/>
  <c r="B161" i="8"/>
  <c r="C161" i="8"/>
  <c r="D161" i="8"/>
  <c r="B162" i="8"/>
  <c r="C162" i="8"/>
  <c r="D162" i="8"/>
  <c r="B163" i="8"/>
  <c r="C163" i="8"/>
  <c r="D163" i="8"/>
  <c r="B164" i="8"/>
  <c r="C164" i="8"/>
  <c r="D164" i="8"/>
  <c r="B165" i="8"/>
  <c r="C165" i="8"/>
  <c r="D165" i="8"/>
  <c r="B166" i="8"/>
  <c r="C166" i="8"/>
  <c r="D166" i="8"/>
  <c r="B167" i="8"/>
  <c r="C167" i="8"/>
  <c r="D167" i="8"/>
  <c r="B168" i="8"/>
  <c r="C168" i="8"/>
  <c r="D168" i="8"/>
  <c r="B169" i="8"/>
  <c r="C169" i="8"/>
  <c r="D169" i="8"/>
  <c r="B170" i="8"/>
  <c r="C170" i="8"/>
  <c r="D170" i="8"/>
  <c r="B171" i="8"/>
  <c r="C171" i="8"/>
  <c r="D171" i="8"/>
  <c r="B172" i="8"/>
  <c r="C172" i="8"/>
  <c r="D172" i="8"/>
  <c r="B173" i="8"/>
  <c r="C173" i="8"/>
  <c r="D173" i="8"/>
  <c r="B174" i="8"/>
  <c r="C174" i="8"/>
  <c r="D174" i="8"/>
  <c r="B175" i="8"/>
  <c r="C175" i="8"/>
  <c r="D175" i="8"/>
  <c r="B176" i="8"/>
  <c r="C176" i="8"/>
  <c r="D176" i="8"/>
  <c r="B177" i="8"/>
  <c r="C177" i="8"/>
  <c r="D177" i="8"/>
  <c r="C19" i="6"/>
  <c r="D19" i="6"/>
  <c r="E19" i="6"/>
  <c r="F19" i="6"/>
  <c r="B19" i="6"/>
  <c r="F7" i="6"/>
  <c r="AH218" i="3"/>
  <c r="AH217" i="3"/>
  <c r="AH216" i="3"/>
  <c r="AH215" i="3"/>
  <c r="AH214" i="3"/>
  <c r="AH213" i="3"/>
  <c r="AH212" i="3"/>
  <c r="AH211" i="3"/>
  <c r="AH210" i="3"/>
  <c r="AH209" i="3"/>
  <c r="AH208" i="3"/>
  <c r="AH207" i="3"/>
  <c r="AH206" i="3"/>
  <c r="AH205" i="3"/>
  <c r="AH204" i="3"/>
  <c r="AH203" i="3"/>
  <c r="AH202" i="3"/>
  <c r="AH201" i="3"/>
  <c r="AH200" i="3"/>
  <c r="AH199" i="3"/>
  <c r="AH198" i="3"/>
  <c r="AH197" i="3"/>
  <c r="AH196" i="3"/>
  <c r="AH195" i="3"/>
  <c r="AH194" i="3"/>
  <c r="AH193" i="3"/>
  <c r="AH192" i="3"/>
  <c r="AH191" i="3"/>
  <c r="AH190" i="3"/>
  <c r="AH189" i="3"/>
  <c r="AH188" i="3"/>
  <c r="AH187" i="3"/>
  <c r="AH186" i="3"/>
  <c r="AH185" i="3"/>
  <c r="AH184" i="3"/>
  <c r="AH183" i="3"/>
  <c r="J183" i="3"/>
  <c r="AH182" i="3"/>
  <c r="J182" i="3"/>
  <c r="AH181" i="3"/>
  <c r="J181" i="3"/>
  <c r="AH180" i="3"/>
  <c r="AH179" i="3"/>
  <c r="J179" i="3"/>
  <c r="AH178" i="3"/>
  <c r="J178" i="3"/>
  <c r="AH177" i="3"/>
  <c r="J177" i="3"/>
  <c r="AH176" i="3"/>
  <c r="AH175" i="3"/>
  <c r="AH174" i="3"/>
  <c r="AH173" i="3"/>
  <c r="AH172" i="3"/>
  <c r="AH171" i="3"/>
  <c r="AH170" i="3"/>
  <c r="AH169" i="3"/>
  <c r="AH168" i="3"/>
  <c r="AH167" i="3"/>
  <c r="AH166" i="3"/>
  <c r="AH165" i="3"/>
  <c r="AH164" i="3"/>
  <c r="AH163" i="3"/>
  <c r="AH162" i="3"/>
  <c r="AH161" i="3"/>
  <c r="AH160" i="3"/>
  <c r="AH159" i="3"/>
  <c r="AH158" i="3"/>
  <c r="AH157" i="3"/>
  <c r="AH156" i="3"/>
  <c r="AH155" i="3"/>
  <c r="AH154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8" i="3"/>
  <c r="AH137" i="3"/>
  <c r="AH136" i="3"/>
  <c r="AH135" i="3"/>
  <c r="AH134" i="3"/>
  <c r="AH133" i="3"/>
  <c r="AH132" i="3"/>
  <c r="AH131" i="3"/>
  <c r="AH130" i="3"/>
  <c r="AH129" i="3"/>
  <c r="AH128" i="3"/>
  <c r="AH127" i="3"/>
  <c r="AH126" i="3"/>
  <c r="AH125" i="3"/>
  <c r="AH124" i="3"/>
  <c r="AH123" i="3"/>
  <c r="AH122" i="3"/>
  <c r="AH121" i="3"/>
  <c r="AH120" i="3"/>
  <c r="AH119" i="3"/>
  <c r="AH118" i="3"/>
  <c r="AH117" i="3"/>
  <c r="AH116" i="3"/>
  <c r="AH115" i="3"/>
  <c r="AH114" i="3"/>
  <c r="AH113" i="3"/>
  <c r="AH112" i="3"/>
  <c r="AH111" i="3"/>
  <c r="AH110" i="3"/>
  <c r="AH109" i="3"/>
  <c r="AH108" i="3"/>
  <c r="AH107" i="3"/>
  <c r="AH106" i="3"/>
  <c r="AH105" i="3"/>
  <c r="AH104" i="3"/>
  <c r="AH103" i="3"/>
  <c r="AH102" i="3"/>
  <c r="AH101" i="3"/>
  <c r="AH100" i="3"/>
  <c r="AH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2" i="3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3" i="8"/>
  <c r="AO2" i="3" l="1"/>
  <c r="B7" i="4" l="1"/>
  <c r="B6" i="4"/>
  <c r="B4" i="4"/>
  <c r="B5" i="4" l="1"/>
</calcChain>
</file>

<file path=xl/sharedStrings.xml><?xml version="1.0" encoding="utf-8"?>
<sst xmlns="http://schemas.openxmlformats.org/spreadsheetml/2006/main" count="2770" uniqueCount="719">
  <si>
    <t>INSRUCCIONES PARA LA CUMPLIMENTACIÓN DEL FICHERO MENSUAL DE RECIBOS</t>
  </si>
  <si>
    <r>
      <rPr>
        <b/>
        <sz val="11"/>
        <color theme="1"/>
        <rFont val="Aptos Narrow"/>
        <family val="2"/>
        <scheme val="minor"/>
      </rPr>
      <t>Fecha límite para la introducción de recibos</t>
    </r>
    <r>
      <rPr>
        <sz val="11"/>
        <color theme="1"/>
        <rFont val="Aptos Narrow"/>
        <family val="2"/>
        <scheme val="minor"/>
      </rPr>
      <t>: El día 6 del mes siguiente</t>
    </r>
  </si>
  <si>
    <r>
      <rPr>
        <b/>
        <sz val="11"/>
        <color theme="1"/>
        <rFont val="Aptos Narrow"/>
        <family val="2"/>
        <scheme val="minor"/>
      </rPr>
      <t xml:space="preserve">Fecha límite para enviar fichero: </t>
    </r>
    <r>
      <rPr>
        <sz val="11"/>
        <color theme="1"/>
        <rFont val="Aptos Narrow"/>
        <family val="2"/>
        <scheme val="minor"/>
      </rPr>
      <t>Día 7 de cada mes (o el siguiente laborable)</t>
    </r>
  </si>
  <si>
    <t>Requisitos información:</t>
  </si>
  <si>
    <t>- El periodo siempre es el acumulado del año en curso hasta el último día del mes anterior a la fecha de extracción</t>
  </si>
  <si>
    <t>- Rellenar la pestaña "Modelo Datos", con la siguiente información:</t>
  </si>
  <si>
    <t>- Recibos facturados en el periodo</t>
  </si>
  <si>
    <t>- Recibos anulados en el periodo (los importes de primas y comisiones multiplicar x -1)</t>
  </si>
  <si>
    <t>(Deberían aparecer todos los recibos anulados en el periodo en curso, incluso si estos recibos se facturaron en años anteriores)</t>
  </si>
  <si>
    <t>- Revisar en la pestaña "Validación de Datos" que las cifras resultantes de Primas y Comiones son correctas</t>
  </si>
  <si>
    <t xml:space="preserve"> - Rellenar pestaña otros ingresos: Honorarios y/o otras comisiones. (En caso de recibirlos.)</t>
  </si>
  <si>
    <t>- En caso de no disponer de algún campo, nos lo tendríais que comunicar</t>
  </si>
  <si>
    <r>
      <t xml:space="preserve">- Cambiar el nombre del fichero a: </t>
    </r>
    <r>
      <rPr>
        <b/>
        <sz val="11"/>
        <color theme="1"/>
        <rFont val="Aptos Narrow"/>
        <family val="2"/>
        <scheme val="minor"/>
      </rPr>
      <t>Nombre Correduria_yyyymm</t>
    </r>
  </si>
  <si>
    <t>(Eg: Sabseg_202506)</t>
  </si>
  <si>
    <t xml:space="preserve">- Enviar vía email el día 7 a: </t>
  </si>
  <si>
    <t>carles.saez@sabseg.com</t>
  </si>
  <si>
    <t xml:space="preserve">pere.torres@sabseg.com </t>
  </si>
  <si>
    <t>marc.anadon@sabseg.com</t>
  </si>
  <si>
    <t>MODELO DATOS</t>
  </si>
  <si>
    <t>DESCRIPCIÓN</t>
  </si>
  <si>
    <t>Num. Recibo Cía</t>
  </si>
  <si>
    <t>Número de recibo compañía</t>
  </si>
  <si>
    <t>Num. Recibo Interno</t>
  </si>
  <si>
    <t>Número de recibo interno (El que asigna al programa de gestión)</t>
  </si>
  <si>
    <t>Núm. Póliza Cía</t>
  </si>
  <si>
    <t>Número de póliza compañía</t>
  </si>
  <si>
    <t>Núm. Póliza Interno</t>
  </si>
  <si>
    <t>Número de póliza interno (El que asigna al programa de gestión)</t>
  </si>
  <si>
    <t>Fecha facturación</t>
  </si>
  <si>
    <t>Fecha de Facturación o emisión del recibo</t>
  </si>
  <si>
    <t>Fecha Efecto</t>
  </si>
  <si>
    <t>Fecha efecto recibo</t>
  </si>
  <si>
    <t>Producto</t>
  </si>
  <si>
    <t>Nombre de Producto</t>
  </si>
  <si>
    <t>Ramo</t>
  </si>
  <si>
    <t>Nombre de Ramo (con el mayor desglose posible, no ramo DGS)</t>
  </si>
  <si>
    <t>Prima neta</t>
  </si>
  <si>
    <t>Prima neta de póliza (sin impuestos)</t>
  </si>
  <si>
    <t>Comisión Bruta/Correduria</t>
  </si>
  <si>
    <t>Es la comsión total percibida, incluye sobrecomisión en recibo (si la hay)</t>
  </si>
  <si>
    <t>Comisión prima neta</t>
  </si>
  <si>
    <t>Comsión estándar de la póliza, sin la comsión adicional</t>
  </si>
  <si>
    <t>Comisión complementaria</t>
  </si>
  <si>
    <t>Comsión adicional, incluida en recibo</t>
  </si>
  <si>
    <t>Colaborador 1</t>
  </si>
  <si>
    <t>Indicar nombre de Colaborador / Auxiliar Externo 
Si es una venta Cruzada con otra correduria de Sabseg (póliza que le habeis emitido a la otra correduría), indicar como Colaborador a la otra correduría: "VC NOMBRE CORREDURIA"</t>
  </si>
  <si>
    <t>Póliza que habeis emitido a la otra correduría</t>
  </si>
  <si>
    <t>Colaborador 2</t>
  </si>
  <si>
    <t>Colaborador 3</t>
  </si>
  <si>
    <t>Comisión colaborador 1</t>
  </si>
  <si>
    <t>Comisión cedida al colaborador o auxiliar externo</t>
  </si>
  <si>
    <t>Comisión colaborador 2</t>
  </si>
  <si>
    <t>Comisión colaborador 3</t>
  </si>
  <si>
    <t>Fecha Liquidación Colaborador</t>
  </si>
  <si>
    <t>Fecha en las que se liquidan las comisiones al colaborador</t>
  </si>
  <si>
    <t>Tipo Recibo</t>
  </si>
  <si>
    <t>- Nueva Producción - Cartera - Sup. Cartera … (Las diferentes tipologías de  recibo que tengais en vuestro sistema)</t>
  </si>
  <si>
    <t>Empresa</t>
  </si>
  <si>
    <t>Nombre de vuestra correduria</t>
  </si>
  <si>
    <t>Compañía</t>
  </si>
  <si>
    <t>Aseguradora de la póliza</t>
  </si>
  <si>
    <t>Gestión</t>
  </si>
  <si>
    <t>Tipo de gestión/cobro: - Correduría - Compañía (Los diferentes tipos de gestión/cobro del  recibo/póliza que tengais en vuestro sistema)</t>
  </si>
  <si>
    <t>Duracion póliza</t>
  </si>
  <si>
    <t>Diferenciar por tipo de póliza. Renovable (Genera cartera) y temporales/únicas (No genera cartera).</t>
  </si>
  <si>
    <t>Situación</t>
  </si>
  <si>
    <t>- Cobrado - Liquidado - Pendiente - Anulado …. (Las diferentes situaciones del  recibo que tengais en vuestro sistema)</t>
  </si>
  <si>
    <t>Fecha devolución</t>
  </si>
  <si>
    <t xml:space="preserve">      Fechas de situación de los recibos</t>
  </si>
  <si>
    <t>Fecha de liquidación</t>
  </si>
  <si>
    <t>Fecha de cobro</t>
  </si>
  <si>
    <t>Fecha anulación</t>
  </si>
  <si>
    <t>Cliente NIF</t>
  </si>
  <si>
    <t>NIF del cliente</t>
  </si>
  <si>
    <t>Cliente Nombre</t>
  </si>
  <si>
    <t>Nombre del cliente o tomador</t>
  </si>
  <si>
    <t>Tipo Cliente</t>
  </si>
  <si>
    <t>Particular  /  Empresa (o Persona Física / Persona Jurídica)</t>
  </si>
  <si>
    <t>Cliente CP</t>
  </si>
  <si>
    <t>Código Postal</t>
  </si>
  <si>
    <t>OTROS INGRESOS</t>
  </si>
  <si>
    <t>Honorarios</t>
  </si>
  <si>
    <t xml:space="preserve">Honorarios percibidos </t>
  </si>
  <si>
    <t>Cesiones Honorarios</t>
  </si>
  <si>
    <t>Cesiones a colaboradores de los honorarios percibidos</t>
  </si>
  <si>
    <t>Otras comisiones</t>
  </si>
  <si>
    <t>Otras comisiones percibidas por mediación de seguros (colaborador de otra correduria, que no sea  SABSEG.)</t>
  </si>
  <si>
    <t>Cesiones Otras comisiones</t>
  </si>
  <si>
    <t>Cesiones a colaboradores de otras comisiones</t>
  </si>
  <si>
    <t>Núm. Recibo Interno</t>
  </si>
  <si>
    <t>Comisión Bruta</t>
  </si>
  <si>
    <t>mes</t>
  </si>
  <si>
    <t>L4388595</t>
  </si>
  <si>
    <t>AGROSEGURO</t>
  </si>
  <si>
    <t>NP</t>
  </si>
  <si>
    <t>AGRINALCAZAR</t>
  </si>
  <si>
    <t>OCCIDENT</t>
  </si>
  <si>
    <t>COBRADO</t>
  </si>
  <si>
    <t>B30799712</t>
  </si>
  <si>
    <t>EXPLOTACIONES AGRICOLAS JUMAR, S.LL</t>
  </si>
  <si>
    <t>EMPRESA</t>
  </si>
  <si>
    <t>L4391981</t>
  </si>
  <si>
    <t>B14771331</t>
  </si>
  <si>
    <t>FLORETTE MURCIA, S.L.U.</t>
  </si>
  <si>
    <t>L4391896</t>
  </si>
  <si>
    <t>L4399095</t>
  </si>
  <si>
    <t>MAPFRE</t>
  </si>
  <si>
    <t>29041143D</t>
  </si>
  <si>
    <t>BERNARDO CARPENA GARCIA</t>
  </si>
  <si>
    <t>PARTICULAR</t>
  </si>
  <si>
    <t>L4435731</t>
  </si>
  <si>
    <t>ALLIANZ</t>
  </si>
  <si>
    <t>29040770G</t>
  </si>
  <si>
    <t>ORLANDO TURPÍN GÓMEZ</t>
  </si>
  <si>
    <t>L4353853</t>
  </si>
  <si>
    <t>34800789H</t>
  </si>
  <si>
    <t>JORGE VICENTE REVILLA</t>
  </si>
  <si>
    <t>L4361704</t>
  </si>
  <si>
    <t>E75785683</t>
  </si>
  <si>
    <t>HIJOS MATIAS VICENTE, C.B.</t>
  </si>
  <si>
    <t>L4410505</t>
  </si>
  <si>
    <t>77568646L</t>
  </si>
  <si>
    <t>ANTONIO MORENO CANO</t>
  </si>
  <si>
    <t>L4410520</t>
  </si>
  <si>
    <t>48482486G</t>
  </si>
  <si>
    <t>PILAR TORNERO MARTINEZ</t>
  </si>
  <si>
    <t>L4413121</t>
  </si>
  <si>
    <t>77570187L</t>
  </si>
  <si>
    <t>JUAN  LUCAS RAMOS GARCIA</t>
  </si>
  <si>
    <t>L4336316</t>
  </si>
  <si>
    <t>B28864817</t>
  </si>
  <si>
    <t>D´QUART</t>
  </si>
  <si>
    <t>L4336482</t>
  </si>
  <si>
    <t>B05568944</t>
  </si>
  <si>
    <t>P-CARJAYA, S.L.</t>
  </si>
  <si>
    <t>L4409610</t>
  </si>
  <si>
    <t>48398357D</t>
  </si>
  <si>
    <t>MIGUEL ANGEL LÓPEZ CANDEL</t>
  </si>
  <si>
    <t>L4404780</t>
  </si>
  <si>
    <t>74309986E</t>
  </si>
  <si>
    <t>MARIA TERESA GÓMEZ CARRILLO</t>
  </si>
  <si>
    <t>L4362824</t>
  </si>
  <si>
    <t>22414243F</t>
  </si>
  <si>
    <t>ISABEL GARCIA GARCIA</t>
  </si>
  <si>
    <t>L4362861</t>
  </si>
  <si>
    <t>34807228V</t>
  </si>
  <si>
    <t>Mª ISABEL ORTEGA GARCIA</t>
  </si>
  <si>
    <t>L4357644</t>
  </si>
  <si>
    <t>74428802C</t>
  </si>
  <si>
    <t>FELIPE BUENO MARÍN</t>
  </si>
  <si>
    <t>L4399106</t>
  </si>
  <si>
    <t>77523319W</t>
  </si>
  <si>
    <t>VIRTUDES SAORÍN TORRANO</t>
  </si>
  <si>
    <t>L4400790</t>
  </si>
  <si>
    <t>34788090S</t>
  </si>
  <si>
    <t>JOSE LUIS FERRER EGEA</t>
  </si>
  <si>
    <t>L4400856</t>
  </si>
  <si>
    <t>L4400893</t>
  </si>
  <si>
    <t>34825356K</t>
  </si>
  <si>
    <t>PURIFICACIÓN FERRER EGEA</t>
  </si>
  <si>
    <t>L4404813</t>
  </si>
  <si>
    <t>22404202V</t>
  </si>
  <si>
    <t>AMANCIO GUILLERMO SANCHEZ LÓPEZ</t>
  </si>
  <si>
    <t>L4406025</t>
  </si>
  <si>
    <t>B73439390</t>
  </si>
  <si>
    <t>EX. CASA DE LOS ALMENDROS, S.L.</t>
  </si>
  <si>
    <t>L4406003</t>
  </si>
  <si>
    <t>L4404942</t>
  </si>
  <si>
    <t>77712739V</t>
  </si>
  <si>
    <t>JESUS GÓMEZ HERRERA</t>
  </si>
  <si>
    <t>L4430201</t>
  </si>
  <si>
    <t>48517554C</t>
  </si>
  <si>
    <t>MARIO YEPEZ GUILLAMON</t>
  </si>
  <si>
    <t>L4407333</t>
  </si>
  <si>
    <t>E05282850</t>
  </si>
  <si>
    <t>EXPLOTACIONES AGRICOLAS LA MUELA, C.B.</t>
  </si>
  <si>
    <t>L4407322</t>
  </si>
  <si>
    <t>L4430190</t>
  </si>
  <si>
    <t>74335842A</t>
  </si>
  <si>
    <t>PURIFICACIÓN GUILLAMON PALAZÓN</t>
  </si>
  <si>
    <t>L4426362</t>
  </si>
  <si>
    <t>77512892V</t>
  </si>
  <si>
    <t>MªTRINIDAD MARÍN GONZALEZ</t>
  </si>
  <si>
    <t>L4426373</t>
  </si>
  <si>
    <t>L4408420</t>
  </si>
  <si>
    <t>74342252L</t>
  </si>
  <si>
    <t>Mª TRINIDAD MORTE MOLINA</t>
  </si>
  <si>
    <t>L4423330</t>
  </si>
  <si>
    <t>27464791P</t>
  </si>
  <si>
    <t>JOSE LUIS TURPIN LUCAS</t>
  </si>
  <si>
    <t>L4423352</t>
  </si>
  <si>
    <t>L4422943</t>
  </si>
  <si>
    <t>E22886600</t>
  </si>
  <si>
    <t>AGRICOLA MARIN GONZALVEZ, C.B.</t>
  </si>
  <si>
    <t>L4415836</t>
  </si>
  <si>
    <t>77721143A</t>
  </si>
  <si>
    <t>DEBORA CARRASCO NAVARRO</t>
  </si>
  <si>
    <t>L4415825</t>
  </si>
  <si>
    <t>L4354520</t>
  </si>
  <si>
    <t>29039918A</t>
  </si>
  <si>
    <t>JUAN ANTONIO VICENTE REVILLA</t>
  </si>
  <si>
    <t>L4426815</t>
  </si>
  <si>
    <t>B30537302</t>
  </si>
  <si>
    <t>CULTIVOS DEL NOROESTE, S.L.</t>
  </si>
  <si>
    <t>L4426793</t>
  </si>
  <si>
    <t>L4415210</t>
  </si>
  <si>
    <t>B30298053</t>
  </si>
  <si>
    <t>IMPORTACIONES COSTA CALIDA, S.L.</t>
  </si>
  <si>
    <t>L4402794</t>
  </si>
  <si>
    <t>B73956161</t>
  </si>
  <si>
    <t>AROMATIC FACTORY S.L.</t>
  </si>
  <si>
    <t>L4406751</t>
  </si>
  <si>
    <t>B60209384</t>
  </si>
  <si>
    <t>FRUTAS Y VERDURAS ANTONIO, S.L.</t>
  </si>
  <si>
    <t>FLORETTE MURCIA S.L.U.</t>
  </si>
  <si>
    <t>L4401361</t>
  </si>
  <si>
    <t>L4401405</t>
  </si>
  <si>
    <t>L4420784</t>
  </si>
  <si>
    <t>L4420795</t>
  </si>
  <si>
    <t>L4430223</t>
  </si>
  <si>
    <t>L4430256</t>
  </si>
  <si>
    <t>L4430271</t>
  </si>
  <si>
    <t>L4415265</t>
  </si>
  <si>
    <t>L4416890</t>
  </si>
  <si>
    <t>L4434913</t>
  </si>
  <si>
    <t>B75604611</t>
  </si>
  <si>
    <t>AGD FINCA LA TORRE, S.L.</t>
  </si>
  <si>
    <t>M7138863</t>
  </si>
  <si>
    <t>MUSSAP</t>
  </si>
  <si>
    <t>BANASEGUR</t>
  </si>
  <si>
    <t>B05570270</t>
  </si>
  <si>
    <t>EUROSERVICIOS AGRICOLAS MEDITERRANEO SL</t>
  </si>
  <si>
    <t>M7138874</t>
  </si>
  <si>
    <t>M7137776</t>
  </si>
  <si>
    <t>B05570288</t>
  </si>
  <si>
    <t>LODAN FRUIT SIGLO XXI, S.L.</t>
  </si>
  <si>
    <t>M7137780</t>
  </si>
  <si>
    <t>B02633626</t>
  </si>
  <si>
    <t>EXPOGROUP REGION DE MURCIA,S .L</t>
  </si>
  <si>
    <t>L4428543</t>
  </si>
  <si>
    <t>B73357477</t>
  </si>
  <si>
    <t>MARILOZASOL, S.L.</t>
  </si>
  <si>
    <t>L4428565</t>
  </si>
  <si>
    <t>B64070642</t>
  </si>
  <si>
    <t>RICOME PRODUCTIONS, S.L.</t>
  </si>
  <si>
    <t>L4426340</t>
  </si>
  <si>
    <t>52816981B</t>
  </si>
  <si>
    <t>ANTONIO JUAN LUCAS GOMEZ</t>
  </si>
  <si>
    <t>L4424015</t>
  </si>
  <si>
    <t>B56936479</t>
  </si>
  <si>
    <t>FINCAS BEKHATERA SL</t>
  </si>
  <si>
    <t>L4424030</t>
  </si>
  <si>
    <t>L4432894</t>
  </si>
  <si>
    <t>27450223E</t>
  </si>
  <si>
    <t>ISABEL MARTINEZ RUIZ</t>
  </si>
  <si>
    <t>L4430293</t>
  </si>
  <si>
    <t>34829778G</t>
  </si>
  <si>
    <t>JOSE MANUEL GUARDIOLA MARTINEZ</t>
  </si>
  <si>
    <t>L4358661</t>
  </si>
  <si>
    <t>L4368074</t>
  </si>
  <si>
    <t>B30799713</t>
  </si>
  <si>
    <t>L4352861</t>
  </si>
  <si>
    <t>MARIA ISABEL ORTEGA GARCIA</t>
  </si>
  <si>
    <t>L4355706</t>
  </si>
  <si>
    <t>AROMATIC FACTORY, S.L.</t>
  </si>
  <si>
    <t>L4356911</t>
  </si>
  <si>
    <t>74336992A</t>
  </si>
  <si>
    <t>ANGEL GOMEZ GONZALEZ</t>
  </si>
  <si>
    <t>L4356992</t>
  </si>
  <si>
    <t>27435726S</t>
  </si>
  <si>
    <t>JUAN AYALA CANDEL</t>
  </si>
  <si>
    <t>FELIPE BUENO MARIN</t>
  </si>
  <si>
    <t>L4357773</t>
  </si>
  <si>
    <t>74346979P</t>
  </si>
  <si>
    <t>JOSEFA FERNANDEZ ROS</t>
  </si>
  <si>
    <t>L4357832</t>
  </si>
  <si>
    <t>74317378P</t>
  </si>
  <si>
    <t>JOAQUIN MORA GONZALEZ</t>
  </si>
  <si>
    <t>L4357950</t>
  </si>
  <si>
    <t>29038614X</t>
  </si>
  <si>
    <t>VILLALBA GUARDIOLA MANUEL</t>
  </si>
  <si>
    <t>L4357961</t>
  </si>
  <si>
    <t>29040362X</t>
  </si>
  <si>
    <t>MARIA JOSEFA ALMAGRO GARCIA</t>
  </si>
  <si>
    <t>L4358134</t>
  </si>
  <si>
    <t>48422342M</t>
  </si>
  <si>
    <t>JOAQUIN GARCIA SANCHEZ</t>
  </si>
  <si>
    <t>L4358333</t>
  </si>
  <si>
    <t>L4358344</t>
  </si>
  <si>
    <t>L4358414</t>
  </si>
  <si>
    <t>77759844H</t>
  </si>
  <si>
    <t>MARA CANDELARIA QUIJADA MONDEJAR</t>
  </si>
  <si>
    <t>L4358716</t>
  </si>
  <si>
    <t>48519083P</t>
  </si>
  <si>
    <t>JOSE ANTONIO NOGUERA PEREZ</t>
  </si>
  <si>
    <t>L4358720</t>
  </si>
  <si>
    <t>77756206Z</t>
  </si>
  <si>
    <t>IKVAN MARIN LÓPEZ</t>
  </si>
  <si>
    <t>L4358731</t>
  </si>
  <si>
    <t>23040032N</t>
  </si>
  <si>
    <t>BENITO RAJA RAJA</t>
  </si>
  <si>
    <t>L4358742</t>
  </si>
  <si>
    <t>23208563E</t>
  </si>
  <si>
    <t>JOSÉ ZAMORA LÓPEZ</t>
  </si>
  <si>
    <t>L4358753</t>
  </si>
  <si>
    <t>74336012N</t>
  </si>
  <si>
    <t>Mª VICTORIA LOPEZ PALAZON</t>
  </si>
  <si>
    <t>L4358985</t>
  </si>
  <si>
    <t>77518161L</t>
  </si>
  <si>
    <t>MARA ANGELES CANO GIL</t>
  </si>
  <si>
    <t>L4359490</t>
  </si>
  <si>
    <t>77515776A</t>
  </si>
  <si>
    <t>JESUS VICTORIO YELO</t>
  </si>
  <si>
    <t>L4359641</t>
  </si>
  <si>
    <t>29039030N</t>
  </si>
  <si>
    <t>MARIA GLORIA YELO COBARRO</t>
  </si>
  <si>
    <t>L4359652</t>
  </si>
  <si>
    <t>77500918A</t>
  </si>
  <si>
    <t>JOSE LUIS CARRASCO GALLEGO</t>
  </si>
  <si>
    <t>L4359674</t>
  </si>
  <si>
    <t>74318973Q</t>
  </si>
  <si>
    <t>FRANCISCO PALAZON MOLINA</t>
  </si>
  <si>
    <t>L4359685</t>
  </si>
  <si>
    <t>48698311C</t>
  </si>
  <si>
    <t>JOSE REYES TRIGUEROS TORRANO</t>
  </si>
  <si>
    <t>L4359700</t>
  </si>
  <si>
    <t>48617779B</t>
  </si>
  <si>
    <t>ALBERTO TRIGUEROS TORRANO</t>
  </si>
  <si>
    <t>L4359733</t>
  </si>
  <si>
    <t>48417739W</t>
  </si>
  <si>
    <t>MARIA MONSERRAT MOLINA SALMERON</t>
  </si>
  <si>
    <t>L4359744</t>
  </si>
  <si>
    <t>77522611F</t>
  </si>
  <si>
    <t>JOSE ANTONIO MOLINA ABELLAN</t>
  </si>
  <si>
    <t>L4359803</t>
  </si>
  <si>
    <t>29038814A</t>
  </si>
  <si>
    <t>RAFAEL MONDEJAR BELDA</t>
  </si>
  <si>
    <t>L4359851</t>
  </si>
  <si>
    <t>77718911W</t>
  </si>
  <si>
    <t>JOSEFA VILLALBA RIOS</t>
  </si>
  <si>
    <t>L4359884</t>
  </si>
  <si>
    <t>77516493F</t>
  </si>
  <si>
    <t>JESUS ABELLAN BERMUDEZ</t>
  </si>
  <si>
    <t>L4360190</t>
  </si>
  <si>
    <t>77500990Y</t>
  </si>
  <si>
    <t>MARIA TRINIDAD SOLER FERNANDEZ</t>
  </si>
  <si>
    <t>L4360470</t>
  </si>
  <si>
    <t>48517155N</t>
  </si>
  <si>
    <t>DAVID MARIN MARIN</t>
  </si>
  <si>
    <t>L4360875</t>
  </si>
  <si>
    <t>B44545507</t>
  </si>
  <si>
    <t>RUIZ MOLINA HOYA, S.L.</t>
  </si>
  <si>
    <t>L4361015</t>
  </si>
  <si>
    <t>23024907K</t>
  </si>
  <si>
    <t xml:space="preserve"> JUANA VALERA MENDEZ</t>
  </si>
  <si>
    <t>L4361052</t>
  </si>
  <si>
    <t>48446860M</t>
  </si>
  <si>
    <t>JUAN JESUS MOLINA MOLINA</t>
  </si>
  <si>
    <t>L4361074</t>
  </si>
  <si>
    <t>48448866X</t>
  </si>
  <si>
    <t>FRANCISCO ANDRES GARCIA LUNA</t>
  </si>
  <si>
    <t>L4361354</t>
  </si>
  <si>
    <t>B73904153</t>
  </si>
  <si>
    <t>FUENTE JAVE AGRICOLA, S.L.</t>
  </si>
  <si>
    <t>L4361542</t>
  </si>
  <si>
    <t>B73706046</t>
  </si>
  <si>
    <t>EX AGRICOLAS LAS DUNAS, S.L.</t>
  </si>
  <si>
    <t>E75785693</t>
  </si>
  <si>
    <t>HIJOS DE MATIAS VICENTE C.B.</t>
  </si>
  <si>
    <t>L4361763</t>
  </si>
  <si>
    <t>B30553705</t>
  </si>
  <si>
    <t>EX AGRICOLAS VALENTINO, S.L</t>
  </si>
  <si>
    <t>L4362076</t>
  </si>
  <si>
    <t>77510630D</t>
  </si>
  <si>
    <t>JOSE ANTONIO GALINDO ORTEGA</t>
  </si>
  <si>
    <t>L4362080</t>
  </si>
  <si>
    <t>77570927T</t>
  </si>
  <si>
    <t>JOSE PASCUAL PIÑERA MARIN</t>
  </si>
  <si>
    <t>L4362102</t>
  </si>
  <si>
    <t>48524823K</t>
  </si>
  <si>
    <t>JOSE DAVID MOLINA CARRASCO</t>
  </si>
  <si>
    <t>L4362754</t>
  </si>
  <si>
    <t>77515769L</t>
  </si>
  <si>
    <t>JOAQUIN SALMERON PEREZ</t>
  </si>
  <si>
    <t>L4362975</t>
  </si>
  <si>
    <t>48448271J</t>
  </si>
  <si>
    <t>MIGUEL ANGEL YEPES GUILLAMON</t>
  </si>
  <si>
    <t>L4363071</t>
  </si>
  <si>
    <t>48846811D</t>
  </si>
  <si>
    <t>MARIA SANDOVAL RUIZ</t>
  </si>
  <si>
    <t>L4363082</t>
  </si>
  <si>
    <t>77715764Y</t>
  </si>
  <si>
    <t>CRISTIAN SAORIN TORRES</t>
  </si>
  <si>
    <t>L4363104</t>
  </si>
  <si>
    <t>L4363211</t>
  </si>
  <si>
    <t>74335086Y</t>
  </si>
  <si>
    <t>ISABEL PAGAN RAMIREZ</t>
  </si>
  <si>
    <t>L4363233</t>
  </si>
  <si>
    <t>22463786P</t>
  </si>
  <si>
    <t>JUAN GONZALEZ PEREZ</t>
  </si>
  <si>
    <t>L4363292</t>
  </si>
  <si>
    <t>34812596A</t>
  </si>
  <si>
    <t>MARIA MERCEDES GOMEZ CARRASCO</t>
  </si>
  <si>
    <t>L4363314</t>
  </si>
  <si>
    <t>74317261Y</t>
  </si>
  <si>
    <t>JESUS POVEDA CASTAÑO</t>
  </si>
  <si>
    <t>L4363351</t>
  </si>
  <si>
    <t>22476832J</t>
  </si>
  <si>
    <t>AGUSTINA BASTIDA BALLESTER</t>
  </si>
  <si>
    <t>L4363616</t>
  </si>
  <si>
    <t>77565448H</t>
  </si>
  <si>
    <t>ENCARNACION CANO MELGAREJO</t>
  </si>
  <si>
    <t>L4363911</t>
  </si>
  <si>
    <t>29040382F</t>
  </si>
  <si>
    <t>ISABEL PAGAN RUIZ</t>
  </si>
  <si>
    <t>L4363955</t>
  </si>
  <si>
    <t>77721439T</t>
  </si>
  <si>
    <t>ANA MARIA TORRANO LOPEZ</t>
  </si>
  <si>
    <t>L4364095</t>
  </si>
  <si>
    <t>B02791028</t>
  </si>
  <si>
    <t>FABIOLA AGRICOLA, S.L.</t>
  </si>
  <si>
    <t>L4364353</t>
  </si>
  <si>
    <t>E73836892</t>
  </si>
  <si>
    <t>JOSE Y JOAQUIN CANDEL BANEGAS C.B.</t>
  </si>
  <si>
    <t>L4364552</t>
  </si>
  <si>
    <t>B73664864</t>
  </si>
  <si>
    <t>BLANCA GROWERS SL</t>
  </si>
  <si>
    <t>L4364574</t>
  </si>
  <si>
    <t>B05521521</t>
  </si>
  <si>
    <t>MURCIA GROWERS S.L.</t>
  </si>
  <si>
    <t>L4364585</t>
  </si>
  <si>
    <t>52819599F</t>
  </si>
  <si>
    <t>JOSE CANDEL BANEGAS</t>
  </si>
  <si>
    <t>L4364596</t>
  </si>
  <si>
    <t>77519457G</t>
  </si>
  <si>
    <t>JOAQUIN CANDEL BANEGAS</t>
  </si>
  <si>
    <t>L4364692</t>
  </si>
  <si>
    <t>77720492L</t>
  </si>
  <si>
    <t>ANTONIO FERNANADEZ GIMENEZ</t>
  </si>
  <si>
    <t>L4364703</t>
  </si>
  <si>
    <t>48662393M</t>
  </si>
  <si>
    <t>ANTONIO FERNANDEZ MARTINEZ</t>
  </si>
  <si>
    <t>L4364714</t>
  </si>
  <si>
    <t>77723076G</t>
  </si>
  <si>
    <t>GEMA ROS LUCAS</t>
  </si>
  <si>
    <t>L4364736</t>
  </si>
  <si>
    <t>77510649M</t>
  </si>
  <si>
    <t>DOMINGO BALDUINO VAZQUEZ TORNERO</t>
  </si>
  <si>
    <t>L4364891</t>
  </si>
  <si>
    <t>45275163P</t>
  </si>
  <si>
    <t>MARIA LUISA PEREZ MUIÑO</t>
  </si>
  <si>
    <t>L4364924</t>
  </si>
  <si>
    <t>B73990368</t>
  </si>
  <si>
    <t>INNOVACIONES AGRONOMICAS, S.L.</t>
  </si>
  <si>
    <t>L4365204</t>
  </si>
  <si>
    <t>77523430K</t>
  </si>
  <si>
    <t>ANTONIO JOSE BANEGAS ESPAÑA</t>
  </si>
  <si>
    <t>L4365296</t>
  </si>
  <si>
    <t>22402812F</t>
  </si>
  <si>
    <t>ANTONIO LOPEZ GARCIA</t>
  </si>
  <si>
    <t>L4365521</t>
  </si>
  <si>
    <t>77567434A</t>
  </si>
  <si>
    <t>JUAN BERMEJO ORTIZ</t>
  </si>
  <si>
    <t>L4365543</t>
  </si>
  <si>
    <t>74297057N</t>
  </si>
  <si>
    <t>ANTONIA ORTIZ MOLINA</t>
  </si>
  <si>
    <t>L4365576</t>
  </si>
  <si>
    <t>77571491N</t>
  </si>
  <si>
    <t>ANTONIO COBARRO SANCHEZ</t>
  </si>
  <si>
    <t>L4365613</t>
  </si>
  <si>
    <t>74326372D</t>
  </si>
  <si>
    <t>Mª MONTSERRAT AROCA MORALES</t>
  </si>
  <si>
    <t>L4365775</t>
  </si>
  <si>
    <t>48424073B</t>
  </si>
  <si>
    <t>NURIA CASTAÑO MORALES</t>
  </si>
  <si>
    <t>L4365834</t>
  </si>
  <si>
    <t>52817727K</t>
  </si>
  <si>
    <t>FRANCISCO JESUS CARRILLO LOZANO</t>
  </si>
  <si>
    <t>L4366070</t>
  </si>
  <si>
    <t>48662373P</t>
  </si>
  <si>
    <t>CONSUELO CONTRERAS BELDA</t>
  </si>
  <si>
    <t>L4366195</t>
  </si>
  <si>
    <t>74309984C</t>
  </si>
  <si>
    <t>TRINIDAD CANDEL GOMEZ</t>
  </si>
  <si>
    <t>L4366243</t>
  </si>
  <si>
    <t>B05500285</t>
  </si>
  <si>
    <t>FRUTAS SANCHEZ Y MARTINEZ S.L.</t>
  </si>
  <si>
    <t>L4366265</t>
  </si>
  <si>
    <t>B42951905</t>
  </si>
  <si>
    <t>EL MAESTRICO, S.L.</t>
  </si>
  <si>
    <t>L4366335</t>
  </si>
  <si>
    <t>V73502148</t>
  </si>
  <si>
    <t>SAT Nº9858 EL RULETE</t>
  </si>
  <si>
    <t>L4366593</t>
  </si>
  <si>
    <t>70517655T</t>
  </si>
  <si>
    <t>EVA ISABEL ABALOS LUJAN</t>
  </si>
  <si>
    <t>L4366630</t>
  </si>
  <si>
    <t>B72480320</t>
  </si>
  <si>
    <t>AGRIPRIM, S.L.</t>
  </si>
  <si>
    <t>L4366711</t>
  </si>
  <si>
    <t>29039152L</t>
  </si>
  <si>
    <t>FRANCISCO PEREZ GIMENEZ</t>
  </si>
  <si>
    <t>L4367013</t>
  </si>
  <si>
    <t>E05520143</t>
  </si>
  <si>
    <t>AGRICOLA HNOS.LUCIA Y JOSE C.B.</t>
  </si>
  <si>
    <t>L4367046</t>
  </si>
  <si>
    <t>48488675Y</t>
  </si>
  <si>
    <t>PEDRO JOSE MIRALLES MARTINEZ</t>
  </si>
  <si>
    <t>L4367083</t>
  </si>
  <si>
    <t>77510855G</t>
  </si>
  <si>
    <t>MANUEL MIÑANO GUTIERREZ</t>
  </si>
  <si>
    <t>L4367131</t>
  </si>
  <si>
    <t>48421801Q</t>
  </si>
  <si>
    <t>JUAN ANGEL MARTINEZ ORTEGA</t>
  </si>
  <si>
    <t>L4367271</t>
  </si>
  <si>
    <t>34827880S</t>
  </si>
  <si>
    <t>RAQUEL FATIMA ABELLAN MARTINEZ</t>
  </si>
  <si>
    <t>L4367282</t>
  </si>
  <si>
    <t>B73828998</t>
  </si>
  <si>
    <t>OSAGON INVERSIONES S.L.</t>
  </si>
  <si>
    <t>L4367293</t>
  </si>
  <si>
    <t>77514712C</t>
  </si>
  <si>
    <t>OSCAR JESUS ABELLAN MARTINEZ</t>
  </si>
  <si>
    <t>L4367326</t>
  </si>
  <si>
    <t>34804325N</t>
  </si>
  <si>
    <t>GERMAN BRUNO ABELLAN MARTINEZ</t>
  </si>
  <si>
    <t>L4367341</t>
  </si>
  <si>
    <t>B97823884</t>
  </si>
  <si>
    <t>AUGUSTA TRADICIONAL, S.L.</t>
  </si>
  <si>
    <t>L4367363</t>
  </si>
  <si>
    <t>E06776199</t>
  </si>
  <si>
    <t>AGROANYBIEM C.B.</t>
  </si>
  <si>
    <t>L4367422</t>
  </si>
  <si>
    <t>48516948N</t>
  </si>
  <si>
    <t>OMAR JESUS GOMEZ MOLINA</t>
  </si>
  <si>
    <t>L4367691</t>
  </si>
  <si>
    <t>F30157606</t>
  </si>
  <si>
    <t>SAT VERGEL BLANCA Nº 7996</t>
  </si>
  <si>
    <t>L4367702</t>
  </si>
  <si>
    <t>48522540S</t>
  </si>
  <si>
    <t>ANDRES BASTIDA MOLINA</t>
  </si>
  <si>
    <t>L43677470</t>
  </si>
  <si>
    <t>77712582K</t>
  </si>
  <si>
    <t>CRISTINA LUCAS RUBIO</t>
  </si>
  <si>
    <t>L4368365</t>
  </si>
  <si>
    <t>B83478495</t>
  </si>
  <si>
    <t>OLIVARICAS XXI S.L.</t>
  </si>
  <si>
    <t>L4368435</t>
  </si>
  <si>
    <t>77518797B</t>
  </si>
  <si>
    <t>ANA MARIA CARRILLO BELMONTE</t>
  </si>
  <si>
    <t>L4368450</t>
  </si>
  <si>
    <t>21066346W</t>
  </si>
  <si>
    <t>JOAQUIN GUILLEN GOMEZ</t>
  </si>
  <si>
    <t>L4368483</t>
  </si>
  <si>
    <t>29041111T</t>
  </si>
  <si>
    <t>JOSE MARIA MORA LOZANO</t>
  </si>
  <si>
    <t>L4368553</t>
  </si>
  <si>
    <t>29061592B</t>
  </si>
  <si>
    <t>FRANCISCO DÍAZ LOZANO</t>
  </si>
  <si>
    <t>L4369150</t>
  </si>
  <si>
    <t>B30879480</t>
  </si>
  <si>
    <t>AGRICULTURA DOLORES</t>
  </si>
  <si>
    <t>L4369194</t>
  </si>
  <si>
    <t>B73767238</t>
  </si>
  <si>
    <t>AGROFRUITS LEVANTE</t>
  </si>
  <si>
    <t>L4369242</t>
  </si>
  <si>
    <t>B73311326</t>
  </si>
  <si>
    <t xml:space="preserve">AGRICOLA CIRVA </t>
  </si>
  <si>
    <t>L4369253</t>
  </si>
  <si>
    <t>74286831M</t>
  </si>
  <si>
    <t>ALONSO DIAZ PIÑERO</t>
  </si>
  <si>
    <t>L4369264</t>
  </si>
  <si>
    <t>B42949636</t>
  </si>
  <si>
    <t>AG GRAPES</t>
  </si>
  <si>
    <t>L4369356</t>
  </si>
  <si>
    <t>AGROFUITS LEVANTE</t>
  </si>
  <si>
    <t>L4369430</t>
  </si>
  <si>
    <t>B73231680</t>
  </si>
  <si>
    <t>AGROCIRUELO</t>
  </si>
  <si>
    <t>L4370211</t>
  </si>
  <si>
    <t>22406208E</t>
  </si>
  <si>
    <t>ELISA MARTINEZ TORRES</t>
  </si>
  <si>
    <t>L4370303</t>
  </si>
  <si>
    <t>74341855J</t>
  </si>
  <si>
    <t>CARMEN BRACOT CARRASCO</t>
  </si>
  <si>
    <t>L4370830</t>
  </si>
  <si>
    <t>22424706M</t>
  </si>
  <si>
    <t>ANTONIO TURPIN LUCAS</t>
  </si>
  <si>
    <t>L4371493</t>
  </si>
  <si>
    <t>B05514625</t>
  </si>
  <si>
    <t>OSCAR MARTINEZ, S.L.</t>
  </si>
  <si>
    <t>L4371891</t>
  </si>
  <si>
    <t>48399512Z</t>
  </si>
  <si>
    <t>FRANCISCO LOPEZ HITA</t>
  </si>
  <si>
    <t>L4371902</t>
  </si>
  <si>
    <t>V30218135</t>
  </si>
  <si>
    <t>SAT 8518 LOS MELGOS</t>
  </si>
  <si>
    <t>L4371913</t>
  </si>
  <si>
    <t>48393075V</t>
  </si>
  <si>
    <t>JOSE LOPEZ HITA</t>
  </si>
  <si>
    <t>L4371924</t>
  </si>
  <si>
    <t>48399513S</t>
  </si>
  <si>
    <t>SANTIAGO LOPEZ HITA</t>
  </si>
  <si>
    <t>L4371946</t>
  </si>
  <si>
    <t>48393076H</t>
  </si>
  <si>
    <t>CATALINA LÓPEZ HITA</t>
  </si>
  <si>
    <t>L4371961</t>
  </si>
  <si>
    <t>B73486839</t>
  </si>
  <si>
    <t>INVERSIONES Y CONST. PARRALERO E HIJOS S.L.</t>
  </si>
  <si>
    <t>L4371972</t>
  </si>
  <si>
    <t>48649067L</t>
  </si>
  <si>
    <t>JOSE ANTONIO MEDRANO MORTE</t>
  </si>
  <si>
    <t>L4371994</t>
  </si>
  <si>
    <t>B73706558</t>
  </si>
  <si>
    <t>PROFRUMUR S.L.</t>
  </si>
  <si>
    <t>L4372145</t>
  </si>
  <si>
    <t>77522475D</t>
  </si>
  <si>
    <t>ALICIA MARIANA FRUTOS FRANCO</t>
  </si>
  <si>
    <t>L4372156</t>
  </si>
  <si>
    <t>B73804593</t>
  </si>
  <si>
    <t>ALMOND AGRI</t>
  </si>
  <si>
    <t>L4372495</t>
  </si>
  <si>
    <t>E73809543</t>
  </si>
  <si>
    <t>AGRICOLA TURPIN MARIN, CB</t>
  </si>
  <si>
    <t>L4373954</t>
  </si>
  <si>
    <t>X4142417W</t>
  </si>
  <si>
    <t>RASSA URBONAVICIUTE</t>
  </si>
  <si>
    <t>L4374050</t>
  </si>
  <si>
    <t>48664087C</t>
  </si>
  <si>
    <t>RAFAEL MELGAREJO VILLEGAS</t>
  </si>
  <si>
    <t>L4374072</t>
  </si>
  <si>
    <t>E73702078</t>
  </si>
  <si>
    <t>LA HERMOSA CB</t>
  </si>
  <si>
    <t>L4374153</t>
  </si>
  <si>
    <t>77568653A</t>
  </si>
  <si>
    <t>JAVIER MOLINA ARAGONÉS</t>
  </si>
  <si>
    <t>L4374175</t>
  </si>
  <si>
    <t>L4374190</t>
  </si>
  <si>
    <t>L4374374</t>
  </si>
  <si>
    <t>74221980Z</t>
  </si>
  <si>
    <t>NURIA SANCHEZ FERNANDEZ</t>
  </si>
  <si>
    <t>L4375004</t>
  </si>
  <si>
    <t>EXP. AGRICOLAS JUMAR, S.L.</t>
  </si>
  <si>
    <t>L4375925</t>
  </si>
  <si>
    <t>b03175072</t>
  </si>
  <si>
    <t>ALFOSEA HERMANOS</t>
  </si>
  <si>
    <t>L4376076</t>
  </si>
  <si>
    <t>49595362W</t>
  </si>
  <si>
    <t>ANDREA MARTINEZ YELO</t>
  </si>
  <si>
    <t>L4382590</t>
  </si>
  <si>
    <t>L4382601</t>
  </si>
  <si>
    <t>M7137883</t>
  </si>
  <si>
    <t>B54508940</t>
  </si>
  <si>
    <t>AGROFRUIT SELECCIÓN, S.L.</t>
  </si>
  <si>
    <t>M7137894</t>
  </si>
  <si>
    <t>B73952970</t>
  </si>
  <si>
    <t>AGROFUTURE FRUIT, S.L.</t>
  </si>
  <si>
    <t>L4362043</t>
  </si>
  <si>
    <t>48630374W</t>
  </si>
  <si>
    <t>JUAN FRANCISCO CONTRERAS SALMERON</t>
  </si>
  <si>
    <t>JUAN FRANCISCO CONTRERAS SOLANA</t>
  </si>
  <si>
    <t>M7137824</t>
  </si>
  <si>
    <t>B73656480</t>
  </si>
  <si>
    <t>CARBONELL Y MARMOL SL</t>
  </si>
  <si>
    <t>CARBONELL Y MARMOL,S L.</t>
  </si>
  <si>
    <t>€' 000</t>
  </si>
  <si>
    <t>Prima neta YTD R</t>
  </si>
  <si>
    <t>Comisiones brutas</t>
  </si>
  <si>
    <t>SOBRECOMISION</t>
  </si>
  <si>
    <t>HONORARIOS</t>
  </si>
  <si>
    <t>Etiquetas de fila</t>
  </si>
  <si>
    <t>Suma de Prima neta</t>
  </si>
  <si>
    <t>Suma de Comisión prima neta</t>
  </si>
  <si>
    <t>Suma de Comisión complementaria</t>
  </si>
  <si>
    <t>Suma de Comisión colaborador 1</t>
  </si>
  <si>
    <t>Agropecuario</t>
  </si>
  <si>
    <t>Resto de lineas</t>
  </si>
  <si>
    <t>Total general</t>
  </si>
  <si>
    <t>M-1</t>
  </si>
  <si>
    <t>Resto de Líneas</t>
  </si>
  <si>
    <t>MES ACTUAL</t>
  </si>
  <si>
    <t>Ajuste</t>
  </si>
  <si>
    <t>Elevia</t>
  </si>
  <si>
    <t>empresa</t>
  </si>
  <si>
    <t>TIPO_DATO</t>
  </si>
  <si>
    <t>Equivalencia</t>
  </si>
  <si>
    <t>area</t>
  </si>
  <si>
    <t>Cliente</t>
  </si>
  <si>
    <t>Entidad Aseguradora</t>
  </si>
  <si>
    <t>Venta cruzada</t>
  </si>
  <si>
    <t>Total Comisión</t>
  </si>
  <si>
    <t>Agrinalcazar</t>
  </si>
  <si>
    <t>Real</t>
  </si>
  <si>
    <t>Agro</t>
  </si>
  <si>
    <t>INDICAR DETALLE DE OTROS INGRESOS DURANTE EL PERIODO</t>
  </si>
  <si>
    <t>(Honorarios (SIN IVA), comisiones como colaborador de otras corredurias..)</t>
  </si>
  <si>
    <t>RAMO</t>
  </si>
  <si>
    <t>Mes</t>
  </si>
  <si>
    <t>Cesión Honorarios</t>
  </si>
  <si>
    <t>Cesiones 
Otras Comsiones</t>
  </si>
  <si>
    <t>Total</t>
  </si>
  <si>
    <t>VALIDACIÓN DATOS</t>
  </si>
  <si>
    <t>IMPORTES ACUMULADOS</t>
  </si>
  <si>
    <t>Primas Netas</t>
  </si>
  <si>
    <t>Comsiones Brutas</t>
  </si>
  <si>
    <t>Comisión P. Neta</t>
  </si>
  <si>
    <t>Comsión Colaborador</t>
  </si>
  <si>
    <t>Verificar que las cifras acumuladas son correctas</t>
  </si>
  <si>
    <t>nombre</t>
  </si>
  <si>
    <t>Tipo</t>
  </si>
  <si>
    <t>cp</t>
  </si>
  <si>
    <t>(en blanco)</t>
  </si>
  <si>
    <t>Suma de Comisión Bruta</t>
  </si>
  <si>
    <t>NIF</t>
  </si>
  <si>
    <t>EFECTO</t>
  </si>
  <si>
    <t>cia</t>
  </si>
  <si>
    <t>colab1</t>
  </si>
  <si>
    <t>com colaborador</t>
  </si>
  <si>
    <t>El Ciruelo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</si>
</sst>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3" formatCode="_-* #,##0.00_-;\-* #,##0.00_-;_-* &quot;-&quot;??_-;_-@_-"/>
    <numFmt numFmtId="164" formatCode="#,##0\ &quot;€&quot;"/>
    <numFmt numFmtId="165" formatCode="#,##0.0"/>
    <numFmt numFmtId="166" formatCode="0.0%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1"/>
      <color theme="4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9"/>
      <color theme="0"/>
      <name val="Courier New"/>
      <family val="3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/>
      <diagonal/>
    </border>
    <border>
      <left/>
      <right/>
      <top/>
      <bottom style="thin">
        <color theme="3" tint="0.499984740745262"/>
      </bottom>
      <diagonal/>
    </border>
    <border>
      <left/>
      <right style="thin">
        <color theme="7"/>
      </right>
      <top style="thin">
        <color theme="3" tint="0.499984740745262"/>
      </top>
      <bottom/>
      <diagonal/>
    </border>
    <border>
      <left/>
      <right style="thin">
        <color theme="7"/>
      </right>
      <top/>
      <bottom/>
      <diagonal/>
    </border>
    <border>
      <left/>
      <right/>
      <top/>
      <bottom style="thin">
        <color theme="7"/>
      </bottom>
      <diagonal/>
    </border>
    <border>
      <left style="thin">
        <color theme="0"/>
      </left>
      <right/>
      <top/>
      <bottom/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medium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 indent="2"/>
    </xf>
    <xf numFmtId="0" fontId="0" fillId="0" borderId="0" xfId="0" quotePrefix="1" applyAlignment="1">
      <alignment horizontal="left" vertical="center" wrapText="1" indent="2"/>
    </xf>
    <xf numFmtId="0" fontId="0" fillId="0" borderId="0" xfId="0" applyAlignment="1">
      <alignment horizontal="left" indent="2"/>
    </xf>
    <xf numFmtId="2" fontId="3" fillId="2" borderId="1" xfId="0" applyNumberFormat="1" applyFont="1" applyFill="1" applyBorder="1" applyAlignment="1">
      <alignment horizontal="left" vertical="center" wrapText="1" indent="2"/>
    </xf>
    <xf numFmtId="2" fontId="3" fillId="3" borderId="1" xfId="0" applyNumberFormat="1" applyFont="1" applyFill="1" applyBorder="1" applyAlignment="1">
      <alignment horizontal="left" vertical="center" wrapText="1" indent="2"/>
    </xf>
    <xf numFmtId="0" fontId="4" fillId="0" borderId="0" xfId="0" applyFont="1" applyAlignment="1">
      <alignment horizontal="left" indent="2"/>
    </xf>
    <xf numFmtId="0" fontId="0" fillId="4" borderId="0" xfId="0" applyFill="1"/>
    <xf numFmtId="0" fontId="0" fillId="4" borderId="0" xfId="0" quotePrefix="1" applyFill="1"/>
    <xf numFmtId="0" fontId="0" fillId="4" borderId="3" xfId="0" applyFill="1" applyBorder="1"/>
    <xf numFmtId="0" fontId="1" fillId="2" borderId="0" xfId="0" applyFont="1" applyFill="1" applyAlignment="1">
      <alignment horizontal="center"/>
    </xf>
    <xf numFmtId="164" fontId="2" fillId="0" borderId="2" xfId="0" applyNumberFormat="1" applyFont="1" applyBorder="1"/>
    <xf numFmtId="0" fontId="4" fillId="5" borderId="2" xfId="0" applyFont="1" applyFill="1" applyBorder="1"/>
    <xf numFmtId="0" fontId="5" fillId="0" borderId="0" xfId="0" applyFont="1"/>
    <xf numFmtId="2" fontId="3" fillId="2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14" fontId="6" fillId="0" borderId="0" xfId="0" applyNumberFormat="1" applyFont="1"/>
    <xf numFmtId="0" fontId="0" fillId="4" borderId="5" xfId="0" applyFill="1" applyBorder="1"/>
    <xf numFmtId="0" fontId="0" fillId="4" borderId="6" xfId="0" applyFill="1" applyBorder="1"/>
    <xf numFmtId="0" fontId="8" fillId="4" borderId="0" xfId="0" applyFont="1" applyFill="1"/>
    <xf numFmtId="0" fontId="0" fillId="4" borderId="0" xfId="0" quotePrefix="1" applyFill="1" applyAlignment="1">
      <alignment vertical="center"/>
    </xf>
    <xf numFmtId="0" fontId="7" fillId="4" borderId="0" xfId="1" applyFill="1"/>
    <xf numFmtId="0" fontId="0" fillId="4" borderId="7" xfId="0" applyFill="1" applyBorder="1"/>
    <xf numFmtId="0" fontId="7" fillId="4" borderId="7" xfId="1" applyFill="1" applyBorder="1"/>
    <xf numFmtId="0" fontId="0" fillId="0" borderId="0" xfId="0" applyAlignment="1" applyProtection="1">
      <alignment wrapText="1"/>
      <protection locked="0"/>
    </xf>
    <xf numFmtId="14" fontId="0" fillId="0" borderId="0" xfId="0" applyNumberFormat="1" applyProtection="1">
      <protection locked="0"/>
    </xf>
    <xf numFmtId="2" fontId="3" fillId="7" borderId="1" xfId="0" applyNumberFormat="1" applyFont="1" applyFill="1" applyBorder="1" applyAlignment="1">
      <alignment horizontal="center" vertical="center" wrapText="1"/>
    </xf>
    <xf numFmtId="2" fontId="3" fillId="8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left" vertical="center" wrapText="1" indent="2"/>
    </xf>
    <xf numFmtId="2" fontId="3" fillId="8" borderId="1" xfId="0" applyNumberFormat="1" applyFont="1" applyFill="1" applyBorder="1" applyAlignment="1">
      <alignment horizontal="left" vertical="center" wrapText="1" indent="2"/>
    </xf>
    <xf numFmtId="0" fontId="2" fillId="8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4" fontId="0" fillId="0" borderId="0" xfId="0" applyNumberFormat="1"/>
    <xf numFmtId="0" fontId="2" fillId="0" borderId="0" xfId="0" applyFont="1"/>
    <xf numFmtId="3" fontId="2" fillId="0" borderId="0" xfId="0" applyNumberFormat="1" applyFont="1"/>
    <xf numFmtId="3" fontId="2" fillId="9" borderId="0" xfId="0" applyNumberFormat="1" applyFont="1" applyFill="1"/>
    <xf numFmtId="165" fontId="2" fillId="0" borderId="0" xfId="0" applyNumberFormat="1" applyFont="1"/>
    <xf numFmtId="165" fontId="0" fillId="0" borderId="0" xfId="0" applyNumberFormat="1"/>
    <xf numFmtId="3" fontId="2" fillId="6" borderId="0" xfId="0" applyNumberFormat="1" applyFont="1" applyFill="1"/>
    <xf numFmtId="0" fontId="2" fillId="6" borderId="0" xfId="0" applyFont="1" applyFill="1"/>
    <xf numFmtId="0" fontId="2" fillId="10" borderId="10" xfId="0" applyFont="1" applyFill="1" applyBorder="1" applyAlignment="1">
      <alignment horizontal="center"/>
    </xf>
    <xf numFmtId="0" fontId="2" fillId="11" borderId="0" xfId="0" applyFont="1" applyFill="1"/>
    <xf numFmtId="3" fontId="2" fillId="11" borderId="0" xfId="0" applyNumberFormat="1" applyFont="1" applyFill="1"/>
    <xf numFmtId="2" fontId="11" fillId="12" borderId="11" xfId="0" applyNumberFormat="1" applyFont="1" applyFill="1" applyBorder="1" applyAlignment="1">
      <alignment horizontal="center" vertical="center" wrapText="1"/>
    </xf>
    <xf numFmtId="43" fontId="0" fillId="0" borderId="0" xfId="2" applyFont="1" applyAlignment="1">
      <alignment horizontal="left"/>
    </xf>
    <xf numFmtId="14" fontId="0" fillId="0" borderId="0" xfId="0" applyNumberFormat="1" applyAlignment="1" applyProtection="1">
      <alignment horizontal="center"/>
      <protection locked="0"/>
    </xf>
    <xf numFmtId="43" fontId="0" fillId="0" borderId="0" xfId="0" applyNumberFormat="1"/>
    <xf numFmtId="0" fontId="0" fillId="11" borderId="0" xfId="0" applyFill="1"/>
    <xf numFmtId="14" fontId="0" fillId="11" borderId="0" xfId="0" applyNumberFormat="1" applyFill="1" applyProtection="1">
      <protection locked="0"/>
    </xf>
    <xf numFmtId="165" fontId="0" fillId="11" borderId="0" xfId="0" applyNumberFormat="1" applyFill="1"/>
    <xf numFmtId="166" fontId="0" fillId="0" borderId="0" xfId="0" applyNumberFormat="1"/>
    <xf numFmtId="0" fontId="12" fillId="0" borderId="0" xfId="0" applyFont="1"/>
    <xf numFmtId="8" fontId="13" fillId="0" borderId="12" xfId="0" applyNumberFormat="1" applyFont="1" applyBorder="1" applyAlignment="1">
      <alignment horizontal="center"/>
    </xf>
    <xf numFmtId="0" fontId="0" fillId="6" borderId="0" xfId="0" applyFill="1"/>
    <xf numFmtId="14" fontId="0" fillId="6" borderId="0" xfId="0" applyNumberFormat="1" applyFill="1"/>
    <xf numFmtId="4" fontId="0" fillId="6" borderId="0" xfId="0" applyNumberFormat="1" applyFill="1"/>
    <xf numFmtId="0" fontId="0" fillId="6" borderId="0" xfId="0" applyFill="1" applyAlignment="1" applyProtection="1">
      <alignment horizontal="center"/>
      <protection locked="0"/>
    </xf>
    <xf numFmtId="8" fontId="0" fillId="0" borderId="0" xfId="0" applyNumberFormat="1"/>
    <xf numFmtId="0" fontId="1" fillId="2" borderId="4" xfId="0" applyFont="1" applyFill="1" applyBorder="1" applyAlignment="1">
      <alignment horizontal="center"/>
    </xf>
    <xf numFmtId="0" fontId="0" fillId="0" borderId="8" xfId="0" quotePrefix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3">
    <cellStyle name="Hipervínculo" xfId="1" builtinId="8"/>
    <cellStyle name="Millares" xfId="2" builtinId="3"/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8659</xdr:colOff>
      <xdr:row>1</xdr:row>
      <xdr:rowOff>76893</xdr:rowOff>
    </xdr:from>
    <xdr:to>
      <xdr:col>3</xdr:col>
      <xdr:colOff>745721</xdr:colOff>
      <xdr:row>3</xdr:row>
      <xdr:rowOff>97911</xdr:rowOff>
    </xdr:to>
    <xdr:pic>
      <xdr:nvPicPr>
        <xdr:cNvPr id="2" name="GrÃ¡fico 3">
          <a:extLst>
            <a:ext uri="{FF2B5EF4-FFF2-40B4-BE49-F238E27FC236}">
              <a16:creationId xmlns:a16="http://schemas.microsoft.com/office/drawing/2014/main" id="{5F8F1978-E350-5A4F-D294-1EA33D152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77" y="258734"/>
          <a:ext cx="1883872" cy="3885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0.508214583337" createdVersion="8" refreshedVersion="8" minRefreshableVersion="3" recordCount="219" xr:uid="{1DAF6403-31D0-4D27-864D-C20B9E607A3C}">
  <cacheSource type="worksheet">
    <worksheetSource ref="A1:AH1048576" sheet="Modelo Datos"/>
  </cacheSource>
  <cacheFields count="36">
    <cacheField name="Num. Recibo Cía" numFmtId="0">
      <sharedItems containsNonDate="0" containsString="0" containsBlank="1"/>
    </cacheField>
    <cacheField name="Núm. Recibo Interno" numFmtId="0">
      <sharedItems containsNonDate="0" containsString="0" containsBlank="1"/>
    </cacheField>
    <cacheField name="Núm. Póliza Cía" numFmtId="0">
      <sharedItems containsNonDate="0" containsString="0" containsBlank="1" count="1">
        <m/>
      </sharedItems>
    </cacheField>
    <cacheField name="Núm. Póliza Interno" numFmtId="0">
      <sharedItems containsBlank="1" count="206">
        <s v="L4388595"/>
        <s v="L4391981"/>
        <s v="L4391896"/>
        <s v="L4399095"/>
        <s v="L4435731"/>
        <s v="L4353853"/>
        <s v="L4361704"/>
        <s v="L4410505"/>
        <s v="L4410520"/>
        <s v="L4413121"/>
        <s v="L4336316"/>
        <s v="L4336482"/>
        <s v="L4409610"/>
        <s v="L4404780"/>
        <s v="L4362824"/>
        <s v="L4362861"/>
        <s v="L4357644"/>
        <s v="L4399106"/>
        <s v="L4400790"/>
        <s v="L4400856"/>
        <s v="L4400893"/>
        <s v="L4404813"/>
        <s v="L4406025"/>
        <s v="L4406003"/>
        <s v="L4404942"/>
        <s v="L4430201"/>
        <s v="L4407333"/>
        <s v="L4407322"/>
        <s v="L4430190"/>
        <s v="L4426362"/>
        <s v="L4426373"/>
        <s v="L4408420"/>
        <s v="L4423330"/>
        <s v="L4423352"/>
        <s v="L4422943"/>
        <s v="L4415836"/>
        <s v="L4415825"/>
        <s v="L4354520"/>
        <s v="L4426815"/>
        <s v="L4426793"/>
        <s v="L4415210"/>
        <s v="L4402794"/>
        <s v="L4406751"/>
        <s v="L4401361"/>
        <s v="L4401405"/>
        <s v="L4420784"/>
        <s v="L4420795"/>
        <s v="L4430223"/>
        <s v="L4430256"/>
        <s v="L4430271"/>
        <s v="L4415265"/>
        <s v="L4416890"/>
        <s v="L4434913"/>
        <s v="M7138863"/>
        <s v="M7138874"/>
        <s v="M7137776"/>
        <s v="M7137780"/>
        <s v="L4428543"/>
        <s v="L4428565"/>
        <s v="L4426340"/>
        <s v="L4424015"/>
        <s v="L4424030"/>
        <s v="L4432894"/>
        <s v="L4430293"/>
        <s v="L4358661"/>
        <s v="L4368074"/>
        <s v="L4352861"/>
        <s v="L4355706"/>
        <s v="L4356911"/>
        <s v="L4356992"/>
        <s v="L4357773"/>
        <s v="L4357832"/>
        <s v="L4357950"/>
        <s v="L4357961"/>
        <s v="L4358134"/>
        <s v="L4358333"/>
        <s v="L4358344"/>
        <s v="L4358414"/>
        <s v="L4358716"/>
        <s v="L4358720"/>
        <s v="L4358731"/>
        <s v="L4358742"/>
        <s v="L4358753"/>
        <s v="L4358985"/>
        <s v="L4359490"/>
        <s v="L4359641"/>
        <s v="L4359652"/>
        <s v="L4359674"/>
        <s v="L4359685"/>
        <s v="L4359700"/>
        <s v="L4359733"/>
        <s v="L4359744"/>
        <s v="L4359803"/>
        <s v="L4359851"/>
        <s v="L4359884"/>
        <s v="L4360190"/>
        <s v="L4360470"/>
        <s v="L4360875"/>
        <s v="L4361015"/>
        <s v="L4361052"/>
        <s v="L4361074"/>
        <s v="L4361354"/>
        <s v="L4361542"/>
        <s v="L4361763"/>
        <s v="L4362076"/>
        <s v="L4362080"/>
        <s v="L4362102"/>
        <s v="L4362754"/>
        <s v="L4362975"/>
        <s v="L4363071"/>
        <s v="L4363082"/>
        <s v="L4363104"/>
        <s v="L4363211"/>
        <s v="L4363233"/>
        <s v="L4363292"/>
        <s v="L4363314"/>
        <s v="L4363351"/>
        <s v="L4363616"/>
        <s v="L4363911"/>
        <s v="L4363955"/>
        <s v="L4364095"/>
        <s v="L4364353"/>
        <s v="L4364552"/>
        <s v="L4364574"/>
        <s v="L4364585"/>
        <s v="L4364596"/>
        <s v="L4364692"/>
        <s v="L4364703"/>
        <s v="L4364714"/>
        <s v="L4364736"/>
        <s v="L4364891"/>
        <s v="L4364924"/>
        <s v="L4365204"/>
        <s v="L4365296"/>
        <s v="L4365521"/>
        <s v="L4365543"/>
        <s v="L4365576"/>
        <s v="L4365613"/>
        <s v="L4365775"/>
        <s v="L4365834"/>
        <s v="L4366070"/>
        <s v="L4366195"/>
        <s v="L4366243"/>
        <s v="L4366265"/>
        <s v="L4366335"/>
        <s v="L4366593"/>
        <s v="L4366630"/>
        <s v="L4366711"/>
        <s v="L4367013"/>
        <s v="L4367046"/>
        <s v="L4367083"/>
        <s v="L4367131"/>
        <s v="L4367271"/>
        <s v="L4367282"/>
        <s v="L4367293"/>
        <s v="L4367326"/>
        <s v="L4367341"/>
        <s v="L4367363"/>
        <s v="L4367422"/>
        <s v="L4367691"/>
        <s v="L4367702"/>
        <s v="L43677470"/>
        <s v="L4368365"/>
        <s v="L4368435"/>
        <s v="L4368450"/>
        <s v="L4368483"/>
        <s v="L4368553"/>
        <s v="L4369150"/>
        <s v="L4369194"/>
        <s v="L4369242"/>
        <s v="L4369253"/>
        <s v="L4369264"/>
        <s v="L4369356"/>
        <s v="L4369430"/>
        <s v="L4370211"/>
        <s v="L4370303"/>
        <s v="L4370830"/>
        <s v="L4371493"/>
        <s v="L4371891"/>
        <s v="L4371902"/>
        <s v="L4371913"/>
        <s v="L4371924"/>
        <s v="L4371946"/>
        <s v="L4371961"/>
        <s v="L4371972"/>
        <s v="L4371994"/>
        <s v="L4372145"/>
        <s v="L4372156"/>
        <s v="L4372495"/>
        <s v="L4373954"/>
        <s v="L4374050"/>
        <s v="L4374072"/>
        <s v="L4374153"/>
        <s v="L4374175"/>
        <s v="L4374190"/>
        <s v="L4374374"/>
        <s v="L4375004"/>
        <s v="L4375925"/>
        <s v="L4376076"/>
        <s v="L4382590"/>
        <s v="L4382601"/>
        <s v="M7137883"/>
        <s v="M7137894"/>
        <s v="L4362043"/>
        <s v="M7137824"/>
        <m/>
      </sharedItems>
    </cacheField>
    <cacheField name="Fecha facturación" numFmtId="0">
      <sharedItems containsNonDate="0" containsDate="1" containsString="0" containsBlank="1" minDate="2025-01-01T00:00:00" maxDate="2026-02-28T00:00:00" count="199">
        <d v="2026-02-04T00:00:00"/>
        <d v="2026-02-06T00:00:00"/>
        <d v="2026-02-11T00:00:00"/>
        <d v="2026-02-27T00:00:00"/>
        <d v="2026-02-19T00:00:00"/>
        <d v="2026-02-18T00:00:00"/>
        <d v="2026-02-13T00:00:00"/>
        <d v="2026-02-16T00:00:00"/>
        <d v="2026-02-12T00:00:00"/>
        <d v="2026-02-26T00:00:00"/>
        <d v="2026-02-17T00:00:00"/>
        <d v="2026-02-25T00:00:00"/>
        <d v="2026-02-24T00:00:00"/>
        <d v="2026-02-20T00:00:00"/>
        <d v="2026-02-23T00:00:00"/>
        <d v="2026-01-22T00:00:00"/>
        <d v="2026-01-21T00:00:00"/>
        <d v="2026-01-15T00:00:00"/>
        <d v="2026-01-02T00:00:00"/>
        <d v="2026-01-07T00:00:00"/>
        <d v="2026-01-08T00:00:00"/>
        <d v="2026-01-09T00:00:00"/>
        <d v="2026-01-12T00:00:00"/>
        <d v="2026-01-13T00:00:00"/>
        <d v="2026-01-14T00:00:00"/>
        <d v="2026-01-16T00:00:00"/>
        <d v="2026-01-19T00:00:00"/>
        <d v="2026-01-20T00:00:00"/>
        <d v="2026-01-23T00:00:00"/>
        <d v="2026-01-26T00:00:00"/>
        <d v="2026-01-30T00:00:00"/>
        <d v="2026-01-28T00:00:00"/>
        <d v="2026-01-27T00:00:00"/>
        <m/>
        <d v="2025-03-18T00:00:00" u="1"/>
        <d v="2025-03-05T00:00:00" u="1"/>
        <d v="2025-03-12T00:00:00" u="1"/>
        <d v="2025-03-17T00:00:00" u="1"/>
        <d v="2025-03-31T00:00:00" u="1"/>
        <d v="2025-03-26T00:00:00" u="1"/>
        <d v="2025-03-07T00:00:00" u="1"/>
        <d v="2025-03-10T00:00:00" u="1"/>
        <d v="2025-03-11T00:00:00" u="1"/>
        <d v="2025-03-14T00:00:00" u="1"/>
        <d v="2025-03-24T00:00:00" u="1"/>
        <d v="2025-03-13T00:00:00" u="1"/>
        <d v="2025-03-03T00:00:00" u="1"/>
        <d v="2025-03-20T00:00:00" u="1"/>
        <d v="2025-03-21T00:00:00" u="1"/>
        <d v="2025-03-25T00:00:00" u="1"/>
        <d v="2025-03-30T00:00:00" u="1"/>
        <d v="2025-03-27T00:00:00" u="1"/>
        <d v="2025-03-28T00:00:00" u="1"/>
        <d v="2025-04-01T00:00:00" u="1"/>
        <d v="2025-04-02T00:00:00" u="1"/>
        <d v="2025-04-03T00:00:00" u="1"/>
        <d v="2025-04-11T00:00:00" u="1"/>
        <d v="2025-04-29T00:00:00" u="1"/>
        <d v="2025-04-10T00:00:00" u="1"/>
        <d v="2025-04-09T00:00:00" u="1"/>
        <d v="2025-04-16T00:00:00" u="1"/>
        <d v="2025-04-15T00:00:00" u="1"/>
        <d v="2025-04-30T00:00:00" u="1"/>
        <d v="2025-04-14T00:00:00" u="1"/>
        <d v="2025-04-04T00:00:00" u="1"/>
        <d v="2025-04-12T00:00:00" u="1"/>
        <d v="2025-04-24T00:00:00" u="1"/>
        <d v="2025-04-17T00:00:00" u="1"/>
        <d v="2025-04-08T00:00:00" u="1"/>
        <d v="2025-04-07T00:00:00" u="1"/>
        <d v="2025-04-28T00:00:00" u="1"/>
        <d v="2025-04-26T00:00:00" u="1"/>
        <d v="2025-04-25T00:00:00" u="1"/>
        <d v="2025-04-23T00:00:00" u="1"/>
        <d v="2025-05-05T00:00:00" u="1"/>
        <d v="2025-05-06T00:00:00" u="1"/>
        <d v="2025-05-07T00:00:00" u="1"/>
        <d v="2025-05-08T00:00:00" u="1"/>
        <d v="2025-05-09T00:00:00" u="1"/>
        <d v="2025-05-13T00:00:00" u="1"/>
        <d v="2025-05-15T00:00:00" u="1"/>
        <d v="2025-05-21T00:00:00" u="1"/>
        <d v="2025-05-22T00:00:00" u="1"/>
        <d v="2025-05-24T00:00:00" u="1"/>
        <d v="2025-05-14T00:00:00" u="1"/>
        <d v="2025-05-12T00:00:00" u="1"/>
        <d v="2025-05-16T00:00:00" u="1"/>
        <d v="2025-05-23T00:00:00" u="1"/>
        <d v="2025-05-29T00:00:00" u="1"/>
        <d v="2025-05-30T00:00:00" u="1"/>
        <d v="2025-05-02T00:00:00" u="1"/>
        <d v="2025-05-20T00:00:00" u="1"/>
        <d v="2025-05-19T00:00:00" u="1"/>
        <d v="2025-05-28T00:00:00" u="1"/>
        <d v="2025-06-07T00:00:00" u="1"/>
        <d v="2025-06-27T00:00:00" u="1"/>
        <d v="2025-07-11T00:00:00" u="1"/>
        <d v="2025-07-16T00:00:00" u="1"/>
        <d v="2025-07-24T00:00:00" u="1"/>
        <d v="2025-07-31T00:00:00" u="1"/>
        <d v="2025-08-08T00:00:00" u="1"/>
        <d v="2025-08-14T00:00:00" u="1"/>
        <d v="2025-08-21T00:00:00" u="1"/>
        <d v="2025-08-23T00:00:00" u="1"/>
        <d v="2025-08-27T00:00:00" u="1"/>
        <d v="2025-01-24T00:00:00" u="1"/>
        <d v="2025-06-30T00:00:00" u="1"/>
        <d v="2025-06-26T00:00:00" u="1"/>
        <d v="2025-06-23T00:00:00" u="1"/>
        <d v="2025-06-16T00:00:00" u="1"/>
        <d v="2025-06-06T00:00:00" u="1"/>
        <d v="2025-06-19T00:00:00" u="1"/>
        <d v="2025-06-13T00:00:00" u="1"/>
        <d v="2025-06-25T00:00:00" u="1"/>
        <d v="2025-06-10T00:00:00" u="1"/>
        <d v="2025-06-03T00:00:00" u="1"/>
        <d v="2025-06-08T00:00:00" u="1"/>
        <d v="2025-07-17T00:00:00" u="1"/>
        <d v="2025-07-23T00:00:00" u="1"/>
        <d v="2025-07-05T00:00:00" u="1"/>
        <d v="2025-07-03T00:00:00" u="1"/>
        <d v="2025-07-10T00:00:00" u="1"/>
        <d v="2025-07-18T00:00:00" u="1"/>
        <d v="2025-08-25T00:00:00" u="1"/>
        <d v="2025-08-28T00:00:00" u="1"/>
        <d v="2025-08-07T00:00:00" u="1"/>
        <d v="2025-02-26T00:00:00" u="1"/>
        <d v="2025-09-16T00:00:00" u="1"/>
        <d v="2025-09-11T00:00:00" u="1"/>
        <d v="2025-09-15T00:00:00" u="1"/>
        <d v="2025-09-23T00:00:00" u="1"/>
        <d v="2025-09-24T00:00:00" u="1"/>
        <d v="2025-09-22T00:00:00" u="1"/>
        <d v="2025-09-05T00:00:00" u="1"/>
        <d v="2025-09-04T00:00:00" u="1"/>
        <d v="2025-09-19T00:00:00" u="1"/>
        <d v="2025-09-26T00:00:00" u="1"/>
        <d v="2025-09-01T00:00:00" u="1"/>
        <d v="2025-01-20T00:00:00" u="1"/>
        <d v="2025-01-01T00:00:00" u="1"/>
        <d v="2025-10-31T00:00:00" u="1"/>
        <d v="2025-10-30T00:00:00" u="1"/>
        <d v="2025-10-28T00:00:00" u="1"/>
        <d v="2025-10-24T00:00:00" u="1"/>
        <d v="2025-10-23T00:00:00" u="1"/>
        <d v="2025-10-20T00:00:00" u="1"/>
        <d v="2025-10-17T00:00:00" u="1"/>
        <d v="2025-10-10T00:00:00" u="1"/>
        <d v="2025-10-09T00:00:00" u="1"/>
        <d v="2025-10-08T00:00:00" u="1"/>
        <d v="2025-10-06T00:00:00" u="1"/>
        <d v="2025-11-15T00:00:00" u="1"/>
        <d v="2025-11-07T00:00:00" u="1"/>
        <d v="2025-11-14T00:00:00" u="1"/>
        <d v="2025-11-01T00:00:00" u="1"/>
        <d v="2025-11-06T00:00:00" u="1"/>
        <d v="2025-11-20T00:00:00" u="1"/>
        <d v="2025-11-27T00:00:00" u="1"/>
        <d v="2025-11-28T00:00:00" u="1"/>
        <d v="2025-11-29T00:00:00" u="1"/>
        <d v="2025-12-03T00:00:00" u="1"/>
        <d v="2025-12-12T00:00:00" u="1"/>
        <d v="2025-12-05T00:00:00" u="1"/>
        <d v="2025-12-13T00:00:00" u="1"/>
        <d v="2025-12-18T00:00:00" u="1"/>
        <d v="2025-12-30T00:00:00" u="1"/>
        <d v="2025-12-31T00:00:00" u="1"/>
        <d v="2025-12-09T00:00:00" u="1"/>
        <d v="2025-12-19T00:00:00" u="1"/>
        <d v="2025-12-17T00:00:00" u="1"/>
        <d v="2025-12-26T00:00:00" u="1"/>
        <d v="2025-12-23T00:00:00" u="1"/>
        <d v="2025-12-22T00:00:00" u="1"/>
        <d v="2025-01-08T00:00:00" u="1"/>
        <d v="2025-02-19T00:00:00" u="1"/>
        <d v="2025-01-23T00:00:00" u="1"/>
        <d v="2025-01-10T00:00:00" u="1"/>
        <d v="2025-01-18T00:00:00" u="1"/>
        <d v="2025-01-22T00:00:00" u="1"/>
        <d v="2025-01-14T00:00:00" u="1"/>
        <d v="2025-01-17T00:00:00" u="1"/>
        <d v="2025-01-15T00:00:00" u="1"/>
        <d v="2025-01-03T00:00:00" u="1"/>
        <d v="2025-01-02T00:00:00" u="1"/>
        <d v="2025-01-16T00:00:00" u="1"/>
        <d v="2025-01-13T00:00:00" u="1"/>
        <d v="2025-01-09T00:00:00" u="1"/>
        <d v="2025-01-21T00:00:00" u="1"/>
        <d v="2025-01-28T00:00:00" u="1"/>
        <d v="2025-01-30T00:00:00" u="1"/>
        <d v="2025-02-28T00:00:00" u="1"/>
        <d v="2025-02-25T00:00:00" u="1"/>
        <d v="2025-02-27T00:00:00" u="1"/>
        <d v="2025-02-21T00:00:00" u="1"/>
        <d v="2025-02-17T00:00:00" u="1"/>
        <d v="2025-02-14T00:00:00" u="1"/>
        <d v="2025-02-06T00:00:00" u="1"/>
        <d v="2025-02-18T00:00:00" u="1"/>
        <d v="2025-02-20T00:00:00" u="1"/>
      </sharedItems>
      <fieldGroup par="35"/>
    </cacheField>
    <cacheField name="Fecha Efecto" numFmtId="0">
      <sharedItems containsNonDate="0" containsDate="1" containsString="0" containsBlank="1" minDate="2026-01-02T00:00:00" maxDate="2026-02-28T00:00:00"/>
    </cacheField>
    <cacheField name="Producto" numFmtId="0">
      <sharedItems containsBlank="1" count="2">
        <s v="AGROSEGURO"/>
        <m/>
      </sharedItems>
    </cacheField>
    <cacheField name="Ramo" numFmtId="0">
      <sharedItems containsBlank="1"/>
    </cacheField>
    <cacheField name="Prima neta" numFmtId="0">
      <sharedItems containsString="0" containsBlank="1" containsNumber="1" minValue="12.39" maxValue="1494124.27"/>
    </cacheField>
    <cacheField name="Comisión Bruta" numFmtId="0">
      <sharedItems containsString="0" containsBlank="1" containsNumber="1" minValue="2.2302000000000004" maxValue="138526.1856"/>
    </cacheField>
    <cacheField name="Comisión prima neta" numFmtId="0">
      <sharedItems containsString="0" containsBlank="1" containsNumber="1" minValue="0" maxValue="115438.488"/>
    </cacheField>
    <cacheField name="Comisión complementaria" numFmtId="0">
      <sharedItems containsString="0" containsBlank="1" containsNumber="1" minValue="0.37170000000000003" maxValue="44823.7281"/>
    </cacheField>
    <cacheField name="Colaborador 1" numFmtId="0">
      <sharedItems containsNonDate="0" containsString="0" containsBlank="1"/>
    </cacheField>
    <cacheField name="Colaborador 2" numFmtId="0">
      <sharedItems containsNonDate="0" containsString="0" containsBlank="1"/>
    </cacheField>
    <cacheField name="Colaborador 3" numFmtId="0">
      <sharedItems containsNonDate="0" containsString="0" containsBlank="1"/>
    </cacheField>
    <cacheField name="Comisión colaborador 1" numFmtId="0">
      <sharedItems containsString="0" containsBlank="1" containsNumber="1" minValue="1940.6352999999999" maxValue="130830.2956"/>
    </cacheField>
    <cacheField name="Comisión colaborador 2" numFmtId="0">
      <sharedItems containsNonDate="0" containsString="0" containsBlank="1"/>
    </cacheField>
    <cacheField name="Comisión colaborador 3" numFmtId="0">
      <sharedItems containsNonDate="0" containsString="0" containsBlank="1"/>
    </cacheField>
    <cacheField name="Fecha Liquidación Colaborador" numFmtId="0">
      <sharedItems containsNonDate="0" containsString="0" containsBlank="1"/>
    </cacheField>
    <cacheField name="Tipo Recibo" numFmtId="0">
      <sharedItems containsBlank="1"/>
    </cacheField>
    <cacheField name="Empresa" numFmtId="0">
      <sharedItems containsBlank="1"/>
    </cacheField>
    <cacheField name="Compañía" numFmtId="0">
      <sharedItems containsBlank="1"/>
    </cacheField>
    <cacheField name="Gestión" numFmtId="0">
      <sharedItems containsBlank="1"/>
    </cacheField>
    <cacheField name="Duracion póliza" numFmtId="0">
      <sharedItems containsNonDate="0" containsString="0" containsBlank="1"/>
    </cacheField>
    <cacheField name="Situación" numFmtId="0">
      <sharedItems containsBlank="1"/>
    </cacheField>
    <cacheField name="Fecha devolución" numFmtId="0">
      <sharedItems containsNonDate="0" containsString="0" containsBlank="1"/>
    </cacheField>
    <cacheField name="Fecha de liquidación" numFmtId="0">
      <sharedItems containsNonDate="0" containsString="0" containsBlank="1"/>
    </cacheField>
    <cacheField name="Fecha de cobro" numFmtId="0">
      <sharedItems containsNonDate="0" containsString="0" containsBlank="1"/>
    </cacheField>
    <cacheField name="Fecha anulación" numFmtId="0">
      <sharedItems containsNonDate="0" containsString="0" containsBlank="1"/>
    </cacheField>
    <cacheField name="Cliente NIF" numFmtId="0">
      <sharedItems containsBlank="1" count="176">
        <s v="B30799712"/>
        <s v="B14771331"/>
        <s v="29041143D"/>
        <s v="29040770G"/>
        <s v="34800789H"/>
        <s v="E75785683"/>
        <s v="77568646L"/>
        <s v="48482486G"/>
        <s v="77570187L"/>
        <s v="B28864817"/>
        <s v="B05568944"/>
        <s v="48398357D"/>
        <s v="74309986E"/>
        <s v="22414243F"/>
        <s v="34807228V"/>
        <s v="74428802C"/>
        <s v="77523319W"/>
        <s v="34788090S"/>
        <s v="34825356K"/>
        <s v="22404202V"/>
        <s v="B73439390"/>
        <s v="77712739V"/>
        <s v="48517554C"/>
        <s v="E05282850"/>
        <s v="74335842A"/>
        <s v="77512892V"/>
        <s v="74342252L"/>
        <s v="27464791P"/>
        <s v="E22886600"/>
        <s v="77721143A"/>
        <s v="29039918A"/>
        <s v="B30537302"/>
        <s v="B30298053"/>
        <s v="B73956161"/>
        <s v="B60209384"/>
        <s v="B75604611"/>
        <s v="B05570270"/>
        <s v="B05570288"/>
        <s v="B02633626"/>
        <s v="B73357477"/>
        <s v="B64070642"/>
        <s v="52816981B"/>
        <s v="B56936479"/>
        <s v="27450223E"/>
        <s v="34829778G"/>
        <s v="B30799713"/>
        <s v="74336992A"/>
        <s v="27435726S"/>
        <s v="74346979P"/>
        <s v="74317378P"/>
        <s v="29038614X"/>
        <s v="29040362X"/>
        <s v="48422342M"/>
        <s v="77759844H"/>
        <s v="48519083P"/>
        <s v="77756206Z"/>
        <s v="23040032N"/>
        <s v="23208563E"/>
        <s v="74336012N"/>
        <s v="77518161L"/>
        <s v="77515776A"/>
        <s v="29039030N"/>
        <s v="77500918A"/>
        <s v="74318973Q"/>
        <s v="48698311C"/>
        <s v="48617779B"/>
        <s v="48417739W"/>
        <s v="77522611F"/>
        <s v="29038814A"/>
        <s v="77718911W"/>
        <s v="77516493F"/>
        <s v="77500990Y"/>
        <s v="48517155N"/>
        <s v="B44545507"/>
        <s v="23024907K"/>
        <s v="48446860M"/>
        <s v="48448866X"/>
        <s v="B73904153"/>
        <s v="B73706046"/>
        <s v="E75785693"/>
        <s v="B30553705"/>
        <s v="77510630D"/>
        <s v="77570927T"/>
        <s v="48524823K"/>
        <s v="77515769L"/>
        <s v="48448271J"/>
        <s v="48846811D"/>
        <s v="77715764Y"/>
        <s v="74335086Y"/>
        <s v="22463786P"/>
        <s v="34812596A"/>
        <s v="74317261Y"/>
        <s v="22476832J"/>
        <s v="77565448H"/>
        <s v="29040382F"/>
        <s v="77721439T"/>
        <s v="B02791028"/>
        <s v="E73836892"/>
        <s v="B73664864"/>
        <s v="B05521521"/>
        <s v="52819599F"/>
        <s v="77519457G"/>
        <s v="77720492L"/>
        <s v="48662393M"/>
        <s v="77723076G"/>
        <s v="77510649M"/>
        <s v="45275163P"/>
        <s v="B73990368"/>
        <s v="77523430K"/>
        <s v="22402812F"/>
        <s v="77567434A"/>
        <s v="74297057N"/>
        <s v="77571491N"/>
        <s v="74326372D"/>
        <s v="48424073B"/>
        <s v="52817727K"/>
        <s v="48662373P"/>
        <s v="74309984C"/>
        <s v="B05500285"/>
        <s v="B42951905"/>
        <s v="V73502148"/>
        <s v="70517655T"/>
        <s v="B72480320"/>
        <s v="29039152L"/>
        <s v="E05520143"/>
        <s v="48488675Y"/>
        <s v="77510855G"/>
        <s v="48421801Q"/>
        <s v="34827880S"/>
        <s v="B73828998"/>
        <s v="77514712C"/>
        <s v="34804325N"/>
        <s v="B97823884"/>
        <s v="E06776199"/>
        <s v="48516948N"/>
        <s v="F30157606"/>
        <s v="48522540S"/>
        <s v="77712582K"/>
        <s v="B83478495"/>
        <s v="77518797B"/>
        <s v="21066346W"/>
        <s v="29041111T"/>
        <s v="29061592B"/>
        <s v="B30879480"/>
        <s v="B73767238"/>
        <s v="B73311326"/>
        <s v="74286831M"/>
        <s v="B42949636"/>
        <s v="B73231680"/>
        <s v="22406208E"/>
        <s v="74341855J"/>
        <s v="22424706M"/>
        <s v="B05514625"/>
        <s v="48399512Z"/>
        <s v="V30218135"/>
        <s v="48393075V"/>
        <s v="48399513S"/>
        <s v="48393076H"/>
        <s v="B73486839"/>
        <s v="48649067L"/>
        <s v="B73706558"/>
        <s v="77522475D"/>
        <s v="B73804593"/>
        <s v="E73809543"/>
        <s v="X4142417W"/>
        <s v="48664087C"/>
        <s v="E73702078"/>
        <s v="77568653A"/>
        <s v="74221980Z"/>
        <s v="b03175072"/>
        <s v="49595362W"/>
        <s v="B54508940"/>
        <s v="B73952970"/>
        <s v="48630374W"/>
        <s v="B73656480"/>
        <m/>
      </sharedItems>
    </cacheField>
    <cacheField name="Cliente Nombre" numFmtId="0">
      <sharedItems containsBlank="1"/>
    </cacheField>
    <cacheField name="Tipo Cliente" numFmtId="0">
      <sharedItems containsBlank="1"/>
    </cacheField>
    <cacheField name="Cliente CP" numFmtId="0">
      <sharedItems containsString="0" containsBlank="1" containsNumber="1" containsInteger="1" minValue="3350" maxValue="31320"/>
    </cacheField>
    <cacheField name="mes" numFmtId="0">
      <sharedItems containsString="0" containsBlank="1" containsNumber="1" containsInteger="1" minValue="1" maxValue="12" count="13">
        <n v="2"/>
        <n v="1"/>
        <m/>
        <n v="3" u="1"/>
        <n v="4" u="1"/>
        <n v="5" u="1"/>
        <n v="6" u="1"/>
        <n v="7" u="1"/>
        <n v="8" u="1"/>
        <n v="9" u="1"/>
        <n v="10" u="1"/>
        <n v="11" u="1"/>
        <n v="12" u="1"/>
      </sharedItems>
    </cacheField>
    <cacheField name="Días (Fecha facturación)" numFmtId="0" databaseField="0">
      <fieldGroup base="4">
        <rangePr groupBy="days" startDate="2026-01-02T00:00:00" endDate="2026-02-28T00:00:00"/>
        <groupItems count="368">
          <s v="&lt;02/01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8/02/2026"/>
        </groupItems>
      </fieldGroup>
    </cacheField>
    <cacheField name="Meses (Fecha facturación)" numFmtId="0" databaseField="0">
      <fieldGroup base="4">
        <rangePr groupBy="months" startDate="2026-01-02T00:00:00" endDate="2026-02-28T00:00:00"/>
        <groupItems count="14">
          <s v="&lt;02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8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m/>
    <m/>
    <x v="0"/>
    <x v="0"/>
    <x v="0"/>
    <d v="2026-02-04T00:00:00"/>
    <x v="0"/>
    <s v="AGROSEGURO"/>
    <n v="7730.15"/>
    <n v="773.01499999999987"/>
    <n v="618.41199999999992"/>
    <n v="154.60300000000001"/>
    <m/>
    <m/>
    <m/>
    <m/>
    <m/>
    <m/>
    <m/>
    <s v="NP"/>
    <s v="AGRINALCAZAR"/>
    <s v="OCCIDENT"/>
    <m/>
    <m/>
    <s v="COBRADO"/>
    <m/>
    <m/>
    <m/>
    <m/>
    <x v="0"/>
    <s v="EXPLOTACIONES AGRICOLAS JUMAR, S.LL"/>
    <s v="EMPRESA"/>
    <n v="30360"/>
    <x v="0"/>
  </r>
  <r>
    <m/>
    <m/>
    <x v="0"/>
    <x v="1"/>
    <x v="1"/>
    <d v="2026-02-06T00:00:00"/>
    <x v="0"/>
    <s v="AGROSEGURO"/>
    <n v="2528.9"/>
    <n v="202.31200000000001"/>
    <n v="151.73400000000001"/>
    <n v="50.578000000000003"/>
    <m/>
    <m/>
    <m/>
    <m/>
    <m/>
    <m/>
    <m/>
    <s v="NP"/>
    <s v="AGRINALCAZAR"/>
    <s v="OCCIDENT"/>
    <m/>
    <m/>
    <s v="COBRADO"/>
    <m/>
    <m/>
    <m/>
    <m/>
    <x v="1"/>
    <s v="FLORETTE MURCIA, S.L.U."/>
    <s v="EMPRESA"/>
    <n v="31320"/>
    <x v="0"/>
  </r>
  <r>
    <m/>
    <m/>
    <x v="0"/>
    <x v="2"/>
    <x v="1"/>
    <d v="2026-02-06T00:00:00"/>
    <x v="0"/>
    <s v="AGROSEGURO"/>
    <n v="1449.51"/>
    <n v="115.96079999999999"/>
    <n v="86.97059999999999"/>
    <n v="28.990200000000002"/>
    <m/>
    <m/>
    <m/>
    <m/>
    <m/>
    <m/>
    <m/>
    <s v="NP"/>
    <s v="AGRINALCAZAR"/>
    <s v="OCCIDENT"/>
    <m/>
    <m/>
    <s v="COBRADO"/>
    <m/>
    <m/>
    <m/>
    <m/>
    <x v="1"/>
    <s v="FLORETTE MURCIA, S.L.U."/>
    <s v="EMPRESA"/>
    <n v="31320"/>
    <x v="0"/>
  </r>
  <r>
    <m/>
    <m/>
    <x v="0"/>
    <x v="3"/>
    <x v="2"/>
    <d v="2026-02-11T00:00:00"/>
    <x v="0"/>
    <s v="AGROSEGURO"/>
    <n v="844.99"/>
    <n v="84.498999999999995"/>
    <n v="67.599199999999996"/>
    <n v="16.899799999999999"/>
    <m/>
    <m/>
    <m/>
    <m/>
    <m/>
    <m/>
    <m/>
    <s v="NP"/>
    <s v="AGRINALCAZAR"/>
    <s v="MAPFRE"/>
    <m/>
    <m/>
    <s v="COBRADO"/>
    <m/>
    <m/>
    <m/>
    <m/>
    <x v="2"/>
    <s v="BERNARDO CARPENA GARCIA"/>
    <s v="PARTICULAR"/>
    <n v="30550"/>
    <x v="0"/>
  </r>
  <r>
    <m/>
    <m/>
    <x v="0"/>
    <x v="4"/>
    <x v="3"/>
    <d v="2026-02-27T00:00:00"/>
    <x v="0"/>
    <s v="AGROSEGURO"/>
    <n v="483.06"/>
    <n v="14.491800000000001"/>
    <n v="4.8306000000000004"/>
    <n v="9.6612000000000009"/>
    <m/>
    <m/>
    <m/>
    <m/>
    <m/>
    <m/>
    <m/>
    <s v="NP"/>
    <s v="AGRINALCAZAR"/>
    <s v="ALLIANZ"/>
    <m/>
    <m/>
    <s v="COBRADO"/>
    <m/>
    <m/>
    <m/>
    <m/>
    <x v="3"/>
    <s v="ORLANDO TURPÍN GÓMEZ"/>
    <s v="PARTICULAR"/>
    <n v="30005"/>
    <x v="0"/>
  </r>
  <r>
    <m/>
    <m/>
    <x v="0"/>
    <x v="5"/>
    <x v="4"/>
    <d v="2026-02-19T00:00:00"/>
    <x v="0"/>
    <s v="AGROSEGURO"/>
    <n v="9854.24"/>
    <n v="1182.5088000000001"/>
    <n v="985.42399999999998"/>
    <n v="197.0848"/>
    <m/>
    <m/>
    <m/>
    <m/>
    <m/>
    <m/>
    <m/>
    <s v="NP"/>
    <s v="AGRINALCAZAR"/>
    <s v="OCCIDENT"/>
    <m/>
    <m/>
    <s v="COBRADO"/>
    <m/>
    <m/>
    <m/>
    <m/>
    <x v="4"/>
    <s v="JORGE VICENTE REVILLA"/>
    <s v="PARTICULAR"/>
    <n v="30530"/>
    <x v="0"/>
  </r>
  <r>
    <m/>
    <m/>
    <x v="0"/>
    <x v="6"/>
    <x v="4"/>
    <d v="2026-02-19T00:00:00"/>
    <x v="0"/>
    <s v="AGROSEGURO"/>
    <n v="29601.53"/>
    <n v="3552.1835999999998"/>
    <n v="2960.1529999999998"/>
    <n v="592.03059999999994"/>
    <m/>
    <m/>
    <m/>
    <m/>
    <m/>
    <m/>
    <m/>
    <s v="NP"/>
    <s v="AGRINALCAZAR"/>
    <s v="MAPFRE"/>
    <m/>
    <m/>
    <s v="COBRADO"/>
    <m/>
    <m/>
    <m/>
    <m/>
    <x v="5"/>
    <s v="HIJOS MATIAS VICENTE, C.B."/>
    <s v="EMPRESA"/>
    <n v="30530"/>
    <x v="0"/>
  </r>
  <r>
    <m/>
    <m/>
    <x v="0"/>
    <x v="7"/>
    <x v="4"/>
    <d v="2026-02-19T00:00:00"/>
    <x v="0"/>
    <s v="AGROSEGURO"/>
    <n v="1352.09"/>
    <n v="135.209"/>
    <n v="108.16719999999999"/>
    <n v="27.041799999999999"/>
    <m/>
    <m/>
    <m/>
    <m/>
    <m/>
    <m/>
    <m/>
    <s v="NP"/>
    <s v="AGRINALCAZAR"/>
    <s v="ALLIANZ"/>
    <m/>
    <m/>
    <s v="COBRADO"/>
    <m/>
    <m/>
    <m/>
    <m/>
    <x v="6"/>
    <s v="ANTONIO MORENO CANO"/>
    <s v="PARTICULAR"/>
    <n v="30550"/>
    <x v="0"/>
  </r>
  <r>
    <m/>
    <m/>
    <x v="0"/>
    <x v="8"/>
    <x v="5"/>
    <d v="2026-02-18T00:00:00"/>
    <x v="0"/>
    <s v="AGROSEGURO"/>
    <n v="886.94"/>
    <n v="88.694000000000003"/>
    <n v="70.955200000000005"/>
    <n v="17.738800000000001"/>
    <m/>
    <m/>
    <m/>
    <m/>
    <m/>
    <m/>
    <m/>
    <s v="NP"/>
    <s v="AGRINALCAZAR"/>
    <s v="ALLIANZ"/>
    <m/>
    <m/>
    <s v="COBRADO"/>
    <m/>
    <m/>
    <m/>
    <m/>
    <x v="7"/>
    <s v="PILAR TORNERO MARTINEZ"/>
    <s v="PARTICULAR"/>
    <n v="30550"/>
    <x v="0"/>
  </r>
  <r>
    <m/>
    <m/>
    <x v="0"/>
    <x v="9"/>
    <x v="4"/>
    <d v="2026-02-19T00:00:00"/>
    <x v="0"/>
    <s v="AGROSEGURO"/>
    <n v="679.89"/>
    <n v="67.989000000000004"/>
    <n v="54.391199999999998"/>
    <n v="13.597799999999999"/>
    <m/>
    <m/>
    <m/>
    <m/>
    <m/>
    <m/>
    <m/>
    <s v="NP"/>
    <s v="AGRINALCAZAR"/>
    <s v="MAPFRE"/>
    <m/>
    <m/>
    <s v="COBRADO"/>
    <m/>
    <m/>
    <m/>
    <m/>
    <x v="8"/>
    <s v="JUAN  LUCAS RAMOS GARCIA"/>
    <s v="PARTICULAR"/>
    <n v="30550"/>
    <x v="0"/>
  </r>
  <r>
    <m/>
    <m/>
    <x v="0"/>
    <x v="10"/>
    <x v="6"/>
    <d v="2026-02-13T00:00:00"/>
    <x v="0"/>
    <s v="AGROSEGURO"/>
    <n v="20382.009999999998"/>
    <n v="2038.201"/>
    <n v="1630.5608"/>
    <n v="407.64019999999999"/>
    <m/>
    <m/>
    <m/>
    <m/>
    <m/>
    <m/>
    <m/>
    <s v="NP"/>
    <s v="AGRINALCAZAR"/>
    <s v="OCCIDENT"/>
    <m/>
    <m/>
    <s v="COBRADO"/>
    <m/>
    <m/>
    <m/>
    <m/>
    <x v="9"/>
    <s v="D´QUART"/>
    <s v="EMPRESA"/>
    <n v="28003"/>
    <x v="0"/>
  </r>
  <r>
    <m/>
    <m/>
    <x v="0"/>
    <x v="11"/>
    <x v="6"/>
    <d v="2026-02-13T00:00:00"/>
    <x v="0"/>
    <s v="AGROSEGURO"/>
    <n v="10509.03"/>
    <n v="1050.9030000000002"/>
    <n v="840.72240000000011"/>
    <n v="210.18060000000003"/>
    <m/>
    <m/>
    <m/>
    <m/>
    <m/>
    <m/>
    <m/>
    <s v="NP"/>
    <s v="AGRINALCAZAR"/>
    <s v="OCCIDENT"/>
    <m/>
    <m/>
    <s v="COBRADO"/>
    <m/>
    <m/>
    <m/>
    <m/>
    <x v="10"/>
    <s v="P-CARJAYA, S.L."/>
    <s v="EMPRESA"/>
    <n v="30008"/>
    <x v="0"/>
  </r>
  <r>
    <m/>
    <m/>
    <x v="0"/>
    <x v="12"/>
    <x v="5"/>
    <d v="2026-02-18T00:00:00"/>
    <x v="0"/>
    <s v="AGROSEGURO"/>
    <n v="672.13"/>
    <n v="67.213000000000008"/>
    <n v="53.770400000000002"/>
    <n v="13.442600000000001"/>
    <m/>
    <m/>
    <m/>
    <m/>
    <m/>
    <m/>
    <m/>
    <s v="NP"/>
    <s v="AGRINALCAZAR"/>
    <s v="ALLIANZ"/>
    <m/>
    <m/>
    <s v="COBRADO"/>
    <m/>
    <m/>
    <m/>
    <m/>
    <x v="11"/>
    <s v="MIGUEL ANGEL LÓPEZ CANDEL"/>
    <s v="PARTICULAR"/>
    <n v="30012"/>
    <x v="0"/>
  </r>
  <r>
    <m/>
    <m/>
    <x v="0"/>
    <x v="13"/>
    <x v="7"/>
    <d v="2026-02-16T00:00:00"/>
    <x v="0"/>
    <s v="AGROSEGURO"/>
    <n v="3017.83"/>
    <n v="301.78300000000002"/>
    <n v="241.4264"/>
    <n v="60.3566"/>
    <m/>
    <m/>
    <m/>
    <m/>
    <m/>
    <m/>
    <m/>
    <s v="NP"/>
    <s v="AGRINALCAZAR"/>
    <s v="MAPFRE"/>
    <m/>
    <m/>
    <s v="COBRADO"/>
    <m/>
    <m/>
    <m/>
    <m/>
    <x v="12"/>
    <s v="MARIA TERESA GÓMEZ CARRILLO"/>
    <s v="PARTICULAR"/>
    <n v="30011"/>
    <x v="0"/>
  </r>
  <r>
    <m/>
    <m/>
    <x v="0"/>
    <x v="14"/>
    <x v="2"/>
    <d v="2026-02-11T00:00:00"/>
    <x v="0"/>
    <s v="AGROSEGURO"/>
    <n v="1204.06"/>
    <n v="120.40599999999999"/>
    <n v="96.324799999999996"/>
    <n v="24.081199999999999"/>
    <m/>
    <m/>
    <m/>
    <m/>
    <m/>
    <m/>
    <m/>
    <s v="NP"/>
    <s v="AGRINALCAZAR"/>
    <s v="MAPFRE"/>
    <m/>
    <m/>
    <s v="COBRADO"/>
    <m/>
    <m/>
    <m/>
    <m/>
    <x v="13"/>
    <s v="ISABEL GARCIA GARCIA"/>
    <s v="PARTICULAR"/>
    <n v="30550"/>
    <x v="0"/>
  </r>
  <r>
    <m/>
    <m/>
    <x v="0"/>
    <x v="15"/>
    <x v="2"/>
    <d v="2026-02-11T00:00:00"/>
    <x v="0"/>
    <s v="AGROSEGURO"/>
    <n v="143.44"/>
    <n v="24.384799999999998"/>
    <n v="21.515999999999998"/>
    <n v="2.8687999999999998"/>
    <m/>
    <m/>
    <m/>
    <m/>
    <m/>
    <m/>
    <m/>
    <s v="NP"/>
    <s v="AGRINALCAZAR"/>
    <s v="MAPFRE"/>
    <m/>
    <m/>
    <s v="COBRADO"/>
    <m/>
    <m/>
    <m/>
    <m/>
    <x v="14"/>
    <s v="Mª ISABEL ORTEGA GARCIA"/>
    <s v="PARTICULAR"/>
    <n v="3550"/>
    <x v="0"/>
  </r>
  <r>
    <m/>
    <m/>
    <x v="0"/>
    <x v="16"/>
    <x v="2"/>
    <d v="2026-02-11T00:00:00"/>
    <x v="0"/>
    <s v="AGROSEGURO"/>
    <n v="2247.77"/>
    <n v="202.29929999999999"/>
    <n v="157.34389999999999"/>
    <n v="44.955399999999997"/>
    <m/>
    <m/>
    <m/>
    <m/>
    <m/>
    <m/>
    <m/>
    <s v="NP"/>
    <s v="AGRINALCAZAR"/>
    <s v="ALLIANZ"/>
    <m/>
    <m/>
    <s v="COBRADO"/>
    <m/>
    <m/>
    <m/>
    <m/>
    <x v="15"/>
    <s v="FELIPE BUENO MARÍN"/>
    <s v="PARTICULAR"/>
    <n v="30420"/>
    <x v="0"/>
  </r>
  <r>
    <m/>
    <m/>
    <x v="0"/>
    <x v="17"/>
    <x v="2"/>
    <d v="2026-02-11T00:00:00"/>
    <x v="0"/>
    <s v="AGROSEGURO"/>
    <n v="329.88"/>
    <n v="32.988"/>
    <n v="26.3904"/>
    <n v="6.5975999999999999"/>
    <m/>
    <m/>
    <m/>
    <m/>
    <m/>
    <m/>
    <m/>
    <s v="NP"/>
    <s v="AGRINALCAZAR"/>
    <s v="MAPFRE"/>
    <m/>
    <m/>
    <s v="COBRADO"/>
    <m/>
    <m/>
    <m/>
    <m/>
    <x v="16"/>
    <s v="VIRTUDES SAORÍN TORRANO"/>
    <s v="PARTICULAR"/>
    <n v="30550"/>
    <x v="0"/>
  </r>
  <r>
    <m/>
    <m/>
    <x v="0"/>
    <x v="18"/>
    <x v="8"/>
    <d v="2026-02-12T00:00:00"/>
    <x v="0"/>
    <s v="AGROSEGURO"/>
    <n v="4116.83"/>
    <n v="411.68299999999999"/>
    <n v="329.34640000000002"/>
    <n v="82.336600000000004"/>
    <m/>
    <m/>
    <m/>
    <m/>
    <m/>
    <m/>
    <m/>
    <s v="NP"/>
    <s v="AGRINALCAZAR"/>
    <s v="ALLIANZ"/>
    <m/>
    <m/>
    <s v="COBRADO"/>
    <m/>
    <m/>
    <m/>
    <m/>
    <x v="17"/>
    <s v="JOSE LUIS FERRER EGEA"/>
    <s v="PARTICULAR"/>
    <n v="30540"/>
    <x v="0"/>
  </r>
  <r>
    <m/>
    <m/>
    <x v="0"/>
    <x v="19"/>
    <x v="8"/>
    <d v="2026-02-12T00:00:00"/>
    <x v="0"/>
    <s v="AGROSEGURO"/>
    <n v="11694.64"/>
    <n v="1403.3568"/>
    <n v="1169.4639999999999"/>
    <n v="233.89279999999999"/>
    <m/>
    <m/>
    <m/>
    <m/>
    <m/>
    <m/>
    <m/>
    <s v="NP"/>
    <s v="AGRINALCAZAR"/>
    <s v="ALLIANZ"/>
    <m/>
    <m/>
    <s v="COBRADO"/>
    <m/>
    <m/>
    <m/>
    <m/>
    <x v="17"/>
    <s v="JOSE LUIS FERRER EGEA"/>
    <s v="PARTICULAR"/>
    <n v="30540"/>
    <x v="0"/>
  </r>
  <r>
    <m/>
    <m/>
    <x v="0"/>
    <x v="20"/>
    <x v="8"/>
    <d v="2026-02-12T00:00:00"/>
    <x v="0"/>
    <s v="AGROSEGURO"/>
    <n v="13643.87"/>
    <n v="1637.2644000000003"/>
    <n v="1364.3870000000002"/>
    <n v="272.87740000000002"/>
    <m/>
    <m/>
    <m/>
    <m/>
    <m/>
    <m/>
    <m/>
    <s v="NP"/>
    <s v="AGRINALCAZAR"/>
    <s v="ALLIANZ"/>
    <m/>
    <m/>
    <s v="COBRADO"/>
    <m/>
    <m/>
    <m/>
    <m/>
    <x v="18"/>
    <s v="PURIFICACIÓN FERRER EGEA"/>
    <s v="PARTICULAR"/>
    <n v="30540"/>
    <x v="0"/>
  </r>
  <r>
    <m/>
    <m/>
    <x v="0"/>
    <x v="21"/>
    <x v="7"/>
    <d v="2026-02-16T00:00:00"/>
    <x v="0"/>
    <s v="AGROSEGURO"/>
    <n v="1821.18"/>
    <n v="162.08502000000001"/>
    <n v="125.66142000000002"/>
    <n v="36.4236"/>
    <m/>
    <m/>
    <m/>
    <m/>
    <m/>
    <m/>
    <m/>
    <s v="NP"/>
    <s v="AGRINALCAZAR"/>
    <s v="MAPFRE"/>
    <m/>
    <m/>
    <s v="COBRADO"/>
    <m/>
    <m/>
    <m/>
    <m/>
    <x v="19"/>
    <s v="AMANCIO GUILLERMO SANCHEZ LÓPEZ"/>
    <s v="PARTICULAR"/>
    <n v="30011"/>
    <x v="0"/>
  </r>
  <r>
    <m/>
    <m/>
    <x v="0"/>
    <x v="22"/>
    <x v="7"/>
    <d v="2026-02-16T00:00:00"/>
    <x v="0"/>
    <s v="AGROSEGURO"/>
    <n v="9784.32"/>
    <n v="587.05919999999992"/>
    <n v="391.37279999999998"/>
    <n v="195.68639999999999"/>
    <m/>
    <m/>
    <m/>
    <m/>
    <m/>
    <m/>
    <m/>
    <s v="NP"/>
    <s v="AGRINALCAZAR"/>
    <s v="ALLIANZ"/>
    <m/>
    <m/>
    <s v="COBRADO"/>
    <m/>
    <m/>
    <m/>
    <m/>
    <x v="20"/>
    <s v="EX. CASA DE LOS ALMENDROS, S.L."/>
    <s v="EMPRESA"/>
    <n v="30530"/>
    <x v="0"/>
  </r>
  <r>
    <m/>
    <m/>
    <x v="0"/>
    <x v="23"/>
    <x v="7"/>
    <d v="2026-02-16T00:00:00"/>
    <x v="0"/>
    <s v="AGROSEGURO"/>
    <n v="49211.64"/>
    <n v="2460.5819999999999"/>
    <n v="1476.3491999999999"/>
    <n v="984.2328"/>
    <m/>
    <m/>
    <m/>
    <m/>
    <m/>
    <m/>
    <m/>
    <s v="NP"/>
    <s v="AGRINALCAZAR"/>
    <s v="ALLIANZ"/>
    <m/>
    <m/>
    <s v="COBRADO"/>
    <m/>
    <m/>
    <m/>
    <m/>
    <x v="20"/>
    <s v="EX. CASA DE LOS ALMENDROS, S.L."/>
    <s v="EMPRESA"/>
    <n v="30530"/>
    <x v="0"/>
  </r>
  <r>
    <m/>
    <m/>
    <x v="0"/>
    <x v="24"/>
    <x v="7"/>
    <d v="2026-02-16T00:00:00"/>
    <x v="0"/>
    <s v="AGROSEGURO"/>
    <n v="3436.83"/>
    <n v="343.68299999999999"/>
    <n v="274.94639999999998"/>
    <n v="68.736599999999996"/>
    <m/>
    <m/>
    <m/>
    <m/>
    <m/>
    <m/>
    <m/>
    <s v="NP"/>
    <s v="AGRINALCAZAR"/>
    <s v="ALLIANZ"/>
    <m/>
    <m/>
    <s v="COBRADO"/>
    <m/>
    <m/>
    <m/>
    <m/>
    <x v="21"/>
    <s v="JESUS GÓMEZ HERRERA"/>
    <s v="PARTICULAR"/>
    <n v="30550"/>
    <x v="0"/>
  </r>
  <r>
    <m/>
    <m/>
    <x v="0"/>
    <x v="25"/>
    <x v="9"/>
    <d v="2026-02-26T00:00:00"/>
    <x v="0"/>
    <s v="AGROSEGURO"/>
    <n v="6456.39"/>
    <n v="645.63900000000001"/>
    <n v="516.51120000000003"/>
    <n v="129.12780000000001"/>
    <m/>
    <m/>
    <m/>
    <m/>
    <m/>
    <m/>
    <m/>
    <s v="NP"/>
    <s v="AGRINALCAZAR"/>
    <s v="MAPFRE"/>
    <m/>
    <m/>
    <s v="COBRADO"/>
    <m/>
    <m/>
    <m/>
    <m/>
    <x v="22"/>
    <s v="MARIO YEPEZ GUILLAMON"/>
    <s v="PARTICULAR"/>
    <n v="30540"/>
    <x v="0"/>
  </r>
  <r>
    <m/>
    <m/>
    <x v="0"/>
    <x v="26"/>
    <x v="10"/>
    <d v="2026-02-17T00:00:00"/>
    <x v="0"/>
    <s v="AGROSEGURO"/>
    <n v="7793.45"/>
    <n v="779.34500000000003"/>
    <n v="623.476"/>
    <n v="155.869"/>
    <m/>
    <m/>
    <m/>
    <m/>
    <m/>
    <m/>
    <m/>
    <s v="NP"/>
    <s v="AGRINALCAZAR"/>
    <s v="ALLIANZ"/>
    <m/>
    <m/>
    <s v="COBRADO"/>
    <m/>
    <m/>
    <m/>
    <m/>
    <x v="23"/>
    <s v="EXPLOTACIONES AGRICOLAS LA MUELA, C.B."/>
    <s v="EMPRESA"/>
    <n v="30600"/>
    <x v="0"/>
  </r>
  <r>
    <m/>
    <m/>
    <x v="0"/>
    <x v="27"/>
    <x v="10"/>
    <d v="2026-02-17T00:00:00"/>
    <x v="0"/>
    <s v="AGROSEGURO"/>
    <n v="4995.16"/>
    <n v="499.51599999999996"/>
    <n v="399.61279999999999"/>
    <n v="99.903199999999998"/>
    <m/>
    <m/>
    <m/>
    <m/>
    <m/>
    <m/>
    <m/>
    <s v="NP"/>
    <s v="AGRINALCAZAR"/>
    <s v="ALLIANZ"/>
    <m/>
    <m/>
    <s v="COBRADO"/>
    <m/>
    <m/>
    <m/>
    <m/>
    <x v="23"/>
    <s v="EXPLOTACIONES AGRICOLAS LA MUELA, C.B."/>
    <s v="EMPRESA"/>
    <n v="30600"/>
    <x v="0"/>
  </r>
  <r>
    <m/>
    <m/>
    <x v="0"/>
    <x v="28"/>
    <x v="9"/>
    <d v="2026-02-26T00:00:00"/>
    <x v="0"/>
    <s v="AGROSEGURO"/>
    <n v="8473.3700000000008"/>
    <n v="847.3370000000001"/>
    <n v="677.8696000000001"/>
    <n v="169.46740000000003"/>
    <m/>
    <m/>
    <m/>
    <m/>
    <m/>
    <m/>
    <m/>
    <s v="NP"/>
    <s v="AGRINALCAZAR"/>
    <s v="MAPFRE"/>
    <m/>
    <m/>
    <s v="COBRADO"/>
    <m/>
    <m/>
    <m/>
    <m/>
    <x v="24"/>
    <s v="PURIFICACIÓN GUILLAMON PALAZÓN"/>
    <s v="PARTICULAR"/>
    <n v="30540"/>
    <x v="0"/>
  </r>
  <r>
    <m/>
    <m/>
    <x v="0"/>
    <x v="29"/>
    <x v="11"/>
    <d v="2026-02-25T00:00:00"/>
    <x v="0"/>
    <s v="AGROSEGURO"/>
    <n v="8836.7900000000009"/>
    <n v="901.35257999999999"/>
    <n v="724.61677999999995"/>
    <n v="176.73580000000001"/>
    <m/>
    <m/>
    <m/>
    <m/>
    <m/>
    <m/>
    <m/>
    <s v="NP"/>
    <s v="AGRINALCAZAR"/>
    <s v="MAPFRE"/>
    <m/>
    <m/>
    <s v="COBRADO"/>
    <m/>
    <m/>
    <m/>
    <m/>
    <x v="25"/>
    <s v="MªTRINIDAD MARÍN GONZALEZ"/>
    <s v="PARTICULAR"/>
    <n v="30550"/>
    <x v="0"/>
  </r>
  <r>
    <m/>
    <m/>
    <x v="0"/>
    <x v="30"/>
    <x v="11"/>
    <d v="2026-02-25T00:00:00"/>
    <x v="0"/>
    <s v="AGROSEGURO"/>
    <n v="10875.14"/>
    <n v="1109.2642799999999"/>
    <n v="891.76147999999989"/>
    <n v="217.50279999999998"/>
    <m/>
    <m/>
    <m/>
    <m/>
    <m/>
    <m/>
    <m/>
    <s v="NP"/>
    <s v="AGRINALCAZAR"/>
    <s v="MAPFRE"/>
    <m/>
    <m/>
    <s v="COBRADO"/>
    <m/>
    <m/>
    <m/>
    <m/>
    <x v="25"/>
    <s v="MªTRINIDAD MARÍN GONZALEZ"/>
    <s v="PARTICULAR"/>
    <n v="30550"/>
    <x v="0"/>
  </r>
  <r>
    <m/>
    <m/>
    <x v="0"/>
    <x v="31"/>
    <x v="10"/>
    <d v="2026-02-17T00:00:00"/>
    <x v="0"/>
    <s v="AGROSEGURO"/>
    <n v="1786.72"/>
    <n v="178.672"/>
    <n v="142.9376"/>
    <n v="35.734400000000001"/>
    <m/>
    <m/>
    <m/>
    <m/>
    <m/>
    <m/>
    <m/>
    <s v="NP"/>
    <s v="AGRINALCAZAR"/>
    <s v="ALLIANZ"/>
    <m/>
    <m/>
    <s v="COBRADO"/>
    <m/>
    <m/>
    <m/>
    <m/>
    <x v="26"/>
    <s v="Mª TRINIDAD MORTE MOLINA"/>
    <s v="PARTICULAR"/>
    <n v="30550"/>
    <x v="0"/>
  </r>
  <r>
    <m/>
    <m/>
    <x v="0"/>
    <x v="32"/>
    <x v="1"/>
    <d v="2026-02-06T00:00:00"/>
    <x v="0"/>
    <s v="AGROSEGURO"/>
    <n v="8693.17"/>
    <n v="869.31700000000001"/>
    <n v="695.45360000000005"/>
    <n v="173.86340000000001"/>
    <m/>
    <m/>
    <m/>
    <m/>
    <m/>
    <m/>
    <m/>
    <s v="NP"/>
    <s v="AGRINALCAZAR"/>
    <s v="ALLIANZ"/>
    <m/>
    <m/>
    <s v="COBRADO"/>
    <m/>
    <m/>
    <m/>
    <m/>
    <x v="27"/>
    <s v="JOSE LUIS TURPIN LUCAS"/>
    <s v="PARTICULAR"/>
    <n v="30550"/>
    <x v="0"/>
  </r>
  <r>
    <m/>
    <m/>
    <x v="0"/>
    <x v="33"/>
    <x v="1"/>
    <d v="2026-02-06T00:00:00"/>
    <x v="0"/>
    <s v="AGROSEGURO"/>
    <n v="23884.07"/>
    <n v="2866.0884000000001"/>
    <n v="2388.4070000000002"/>
    <n v="477.6814"/>
    <m/>
    <m/>
    <m/>
    <m/>
    <m/>
    <m/>
    <m/>
    <s v="NP"/>
    <s v="AGRINALCAZAR"/>
    <s v="ALLIANZ"/>
    <m/>
    <m/>
    <s v="COBRADO"/>
    <m/>
    <m/>
    <m/>
    <m/>
    <x v="27"/>
    <s v="JOSE LUIS TURPIN LUCAS"/>
    <s v="PARTICULAR"/>
    <n v="30550"/>
    <x v="0"/>
  </r>
  <r>
    <m/>
    <m/>
    <x v="0"/>
    <x v="34"/>
    <x v="12"/>
    <d v="2026-02-24T00:00:00"/>
    <x v="0"/>
    <s v="AGROSEGURO"/>
    <n v="12420.91"/>
    <n v="1490.5092000000002"/>
    <n v="1242.0910000000001"/>
    <n v="248.41820000000001"/>
    <m/>
    <m/>
    <m/>
    <m/>
    <m/>
    <m/>
    <m/>
    <s v="NP"/>
    <s v="AGRINALCAZAR"/>
    <s v="MAPFRE"/>
    <m/>
    <m/>
    <s v="COBRADO"/>
    <m/>
    <m/>
    <m/>
    <m/>
    <x v="28"/>
    <s v="AGRICOLA MARIN GONZALVEZ, C.B."/>
    <s v="EMPRESA"/>
    <n v="30559"/>
    <x v="0"/>
  </r>
  <r>
    <m/>
    <m/>
    <x v="0"/>
    <x v="35"/>
    <x v="13"/>
    <d v="2026-02-20T00:00:00"/>
    <x v="0"/>
    <s v="AGROSEGURO"/>
    <n v="10604.42"/>
    <n v="848.35360000000003"/>
    <n v="636.26520000000005"/>
    <n v="212.08840000000001"/>
    <m/>
    <m/>
    <m/>
    <m/>
    <m/>
    <m/>
    <m/>
    <s v="NP"/>
    <s v="AGRINALCAZAR"/>
    <s v="OCCIDENT"/>
    <m/>
    <m/>
    <s v="COBRADO"/>
    <m/>
    <m/>
    <m/>
    <m/>
    <x v="29"/>
    <s v="DEBORA CARRASCO NAVARRO"/>
    <s v="PARTICULAR"/>
    <n v="30550"/>
    <x v="0"/>
  </r>
  <r>
    <m/>
    <m/>
    <x v="0"/>
    <x v="36"/>
    <x v="13"/>
    <d v="2026-02-20T00:00:00"/>
    <x v="0"/>
    <s v="AGROSEGURO"/>
    <n v="22360.78"/>
    <n v="1788.8624"/>
    <n v="1341.6468"/>
    <n v="447.21559999999999"/>
    <m/>
    <m/>
    <m/>
    <m/>
    <m/>
    <m/>
    <m/>
    <s v="NP"/>
    <s v="AGRINALCAZAR"/>
    <s v="OCCIDENT"/>
    <m/>
    <m/>
    <s v="COBRADO"/>
    <m/>
    <m/>
    <m/>
    <m/>
    <x v="29"/>
    <s v="DEBORA CARRASCO NAVARRO"/>
    <s v="PARTICULAR"/>
    <n v="30550"/>
    <x v="0"/>
  </r>
  <r>
    <m/>
    <m/>
    <x v="0"/>
    <x v="37"/>
    <x v="13"/>
    <d v="2026-02-20T00:00:00"/>
    <x v="0"/>
    <s v="AGROSEGURO"/>
    <n v="1170.5899999999999"/>
    <n v="140.4708"/>
    <n v="117.059"/>
    <n v="23.411799999999999"/>
    <m/>
    <m/>
    <m/>
    <m/>
    <m/>
    <m/>
    <m/>
    <s v="NP"/>
    <s v="AGRINALCAZAR"/>
    <s v="OCCIDENT"/>
    <m/>
    <m/>
    <s v="COBRADO"/>
    <m/>
    <m/>
    <m/>
    <m/>
    <x v="30"/>
    <s v="JUAN ANTONIO VICENTE REVILLA"/>
    <s v="PARTICULAR"/>
    <n v="30530"/>
    <x v="0"/>
  </r>
  <r>
    <m/>
    <m/>
    <x v="0"/>
    <x v="38"/>
    <x v="11"/>
    <d v="2026-02-25T00:00:00"/>
    <x v="0"/>
    <s v="AGROSEGURO"/>
    <n v="1977.94"/>
    <n v="158.23520000000002"/>
    <n v="118.6764"/>
    <n v="39.558800000000005"/>
    <m/>
    <m/>
    <m/>
    <m/>
    <m/>
    <m/>
    <m/>
    <s v="NP"/>
    <s v="AGRINALCAZAR"/>
    <s v="OCCIDENT"/>
    <m/>
    <m/>
    <s v="COBRADO"/>
    <m/>
    <m/>
    <m/>
    <m/>
    <x v="31"/>
    <s v="CULTIVOS DEL NOROESTE, S.L."/>
    <s v="EMPRESA"/>
    <n v="30180"/>
    <x v="0"/>
  </r>
  <r>
    <m/>
    <m/>
    <x v="0"/>
    <x v="39"/>
    <x v="11"/>
    <d v="2026-02-25T00:00:00"/>
    <x v="0"/>
    <s v="AGROSEGURO"/>
    <n v="5713.81"/>
    <n v="457.10480000000001"/>
    <n v="342.82859999999999"/>
    <n v="114.27620000000002"/>
    <m/>
    <m/>
    <m/>
    <m/>
    <m/>
    <m/>
    <m/>
    <s v="NP"/>
    <s v="AGRINALCAZAR"/>
    <s v="OCCIDENT"/>
    <m/>
    <m/>
    <s v="COBRADO"/>
    <m/>
    <m/>
    <m/>
    <m/>
    <x v="31"/>
    <s v="CULTIVOS DEL NOROESTE, S.L."/>
    <s v="EMPRESA"/>
    <n v="30180"/>
    <x v="0"/>
  </r>
  <r>
    <m/>
    <m/>
    <x v="0"/>
    <x v="40"/>
    <x v="13"/>
    <d v="2026-02-20T00:00:00"/>
    <x v="0"/>
    <s v="AGROSEGURO"/>
    <n v="1705.28"/>
    <n v="204.6336"/>
    <n v="170.52799999999999"/>
    <n v="34.105600000000003"/>
    <m/>
    <m/>
    <m/>
    <m/>
    <m/>
    <m/>
    <m/>
    <s v="NP"/>
    <s v="AGRINALCAZAR"/>
    <s v="OCCIDENT"/>
    <m/>
    <m/>
    <s v="COBRADO"/>
    <m/>
    <m/>
    <m/>
    <m/>
    <x v="32"/>
    <s v="IMPORTACIONES COSTA CALIDA, S.L."/>
    <s v="EMPRESA"/>
    <n v="30140"/>
    <x v="0"/>
  </r>
  <r>
    <m/>
    <m/>
    <x v="0"/>
    <x v="41"/>
    <x v="6"/>
    <d v="2026-02-13T00:00:00"/>
    <x v="0"/>
    <s v="AGROSEGURO"/>
    <n v="4400"/>
    <n v="440"/>
    <n v="352"/>
    <n v="88"/>
    <m/>
    <m/>
    <m/>
    <m/>
    <m/>
    <m/>
    <m/>
    <s v="NP"/>
    <s v="AGRINALCAZAR"/>
    <s v="OCCIDENT"/>
    <m/>
    <m/>
    <s v="COBRADO"/>
    <m/>
    <m/>
    <m/>
    <m/>
    <x v="33"/>
    <s v="AROMATIC FACTORY S.L."/>
    <s v="EMPRESA"/>
    <n v="30739"/>
    <x v="0"/>
  </r>
  <r>
    <m/>
    <m/>
    <x v="0"/>
    <x v="42"/>
    <x v="7"/>
    <d v="2026-02-16T00:00:00"/>
    <x v="0"/>
    <s v="AGROSEGURO"/>
    <n v="145246.03"/>
    <n v="14524.602999999999"/>
    <n v="11619.6824"/>
    <n v="2904.9205999999999"/>
    <m/>
    <m/>
    <m/>
    <m/>
    <m/>
    <m/>
    <m/>
    <s v="NP"/>
    <s v="AGRINALCAZAR"/>
    <s v="MAPFRE"/>
    <m/>
    <m/>
    <s v="COBRADO"/>
    <m/>
    <m/>
    <m/>
    <m/>
    <x v="34"/>
    <s v="FRUTAS Y VERDURAS ANTONIO, S.L."/>
    <s v="EMPRESA"/>
    <n v="8860"/>
    <x v="0"/>
  </r>
  <r>
    <m/>
    <m/>
    <x v="0"/>
    <x v="1"/>
    <x v="1"/>
    <d v="2026-02-06T00:00:00"/>
    <x v="0"/>
    <s v="AGROSEGURO"/>
    <n v="2528.9"/>
    <n v="202.31200000000001"/>
    <n v="151.73400000000001"/>
    <n v="50.578000000000003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2"/>
    <x v="1"/>
    <d v="2026-02-06T00:00:00"/>
    <x v="0"/>
    <s v="AGROSEGURO"/>
    <n v="1449.51"/>
    <n v="115.96079999999999"/>
    <n v="86.97059999999999"/>
    <n v="28.990200000000002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43"/>
    <x v="8"/>
    <d v="2026-02-12T00:00:00"/>
    <x v="0"/>
    <s v="AGROSEGURO"/>
    <n v="2124.9"/>
    <n v="169.99200000000002"/>
    <n v="127.49400000000001"/>
    <n v="42.498000000000005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44"/>
    <x v="8"/>
    <d v="2026-02-12T00:00:00"/>
    <x v="0"/>
    <s v="AGROSEGURO"/>
    <n v="1302.8399999999999"/>
    <n v="104.22719999999998"/>
    <n v="78.170399999999987"/>
    <n v="26.056799999999999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45"/>
    <x v="14"/>
    <d v="2026-02-23T00:00:00"/>
    <x v="0"/>
    <s v="AGROSEGURO"/>
    <n v="2543.19"/>
    <n v="203.45519999999999"/>
    <n v="152.59139999999999"/>
    <n v="50.863800000000005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46"/>
    <x v="14"/>
    <d v="2026-02-23T00:00:00"/>
    <x v="0"/>
    <s v="AGROSEGURO"/>
    <n v="388.08"/>
    <n v="31.046399999999998"/>
    <n v="23.284800000000001"/>
    <n v="7.7615999999999996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47"/>
    <x v="9"/>
    <d v="2026-02-26T00:00:00"/>
    <x v="0"/>
    <s v="AGROSEGURO"/>
    <n v="759.66"/>
    <n v="60.772799999999997"/>
    <n v="45.579599999999999"/>
    <n v="15.193199999999999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48"/>
    <x v="9"/>
    <d v="2026-02-26T00:00:00"/>
    <x v="0"/>
    <s v="AGROSEGURO"/>
    <n v="6970.17"/>
    <n v="557.61360000000002"/>
    <n v="418.21020000000004"/>
    <n v="139.4034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49"/>
    <x v="9"/>
    <d v="2026-02-26T00:00:00"/>
    <x v="0"/>
    <s v="AGROSEGURO"/>
    <n v="1477.47"/>
    <n v="118.19760000000001"/>
    <n v="88.648200000000003"/>
    <n v="29.549400000000002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50"/>
    <x v="13"/>
    <d v="2026-02-20T00:00:00"/>
    <x v="0"/>
    <s v="AGROSEGURO"/>
    <n v="6972.34"/>
    <n v="557.78719999999998"/>
    <n v="418.34039999999999"/>
    <n v="139.4468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51"/>
    <x v="13"/>
    <d v="2026-02-20T00:00:00"/>
    <x v="0"/>
    <s v="AGROSEGURO"/>
    <n v="12299.68"/>
    <n v="983.97440000000006"/>
    <n v="737.98080000000004"/>
    <n v="245.99360000000001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52"/>
    <x v="3"/>
    <d v="2026-02-27T00:00:00"/>
    <x v="0"/>
    <s v="AGROSEGURO"/>
    <n v="43933.4"/>
    <n v="4393.34"/>
    <n v="3514.672"/>
    <n v="878.66800000000001"/>
    <m/>
    <m/>
    <m/>
    <m/>
    <m/>
    <m/>
    <m/>
    <s v="NP"/>
    <s v="AGRINALCAZAR"/>
    <s v="OCCIDENT"/>
    <m/>
    <m/>
    <s v="COBRADO"/>
    <m/>
    <m/>
    <m/>
    <m/>
    <x v="35"/>
    <s v="AGD FINCA LA TORRE, S.L."/>
    <s v="EMPRESA"/>
    <n v="30591"/>
    <x v="0"/>
  </r>
  <r>
    <m/>
    <m/>
    <x v="0"/>
    <x v="53"/>
    <x v="13"/>
    <d v="2026-02-20T00:00:00"/>
    <x v="0"/>
    <s v="AGROSEGURO"/>
    <n v="19187.89"/>
    <n v="2168.2315700000004"/>
    <n v="1976.3526700000002"/>
    <n v="191.87889999999999"/>
    <m/>
    <m/>
    <m/>
    <m/>
    <m/>
    <m/>
    <m/>
    <s v="NP"/>
    <s v="AGRINALCAZAR"/>
    <s v="MUSSAP"/>
    <s v="BANASEGUR"/>
    <m/>
    <s v="COBRADO"/>
    <m/>
    <m/>
    <m/>
    <m/>
    <x v="36"/>
    <s v="EUROSERVICIOS AGRICOLAS MEDITERRANEO SL"/>
    <s v="EMPRESA"/>
    <n v="30008"/>
    <x v="0"/>
  </r>
  <r>
    <m/>
    <m/>
    <x v="0"/>
    <x v="54"/>
    <x v="13"/>
    <d v="2026-02-20T00:00:00"/>
    <x v="0"/>
    <s v="AGROSEGURO"/>
    <n v="40792.44"/>
    <n v="4609.5457200000001"/>
    <n v="4201.6213200000002"/>
    <n v="407.92440000000005"/>
    <m/>
    <m/>
    <m/>
    <m/>
    <m/>
    <m/>
    <m/>
    <s v="NP"/>
    <s v="AGRINALCAZAR"/>
    <s v="MUSSAP"/>
    <s v="BANASEGUR"/>
    <m/>
    <s v="COBRADO"/>
    <m/>
    <m/>
    <m/>
    <m/>
    <x v="36"/>
    <s v="EUROSERVICIOS AGRICOLAS MEDITERRANEO SL"/>
    <s v="EMPRESA"/>
    <n v="30008"/>
    <x v="0"/>
  </r>
  <r>
    <m/>
    <m/>
    <x v="0"/>
    <x v="55"/>
    <x v="13"/>
    <d v="2026-02-20T00:00:00"/>
    <x v="0"/>
    <s v="AGROSEGURO"/>
    <n v="9362.74"/>
    <n v="1151.6170200000001"/>
    <n v="964.36222000000009"/>
    <n v="187.25479999999999"/>
    <m/>
    <m/>
    <m/>
    <m/>
    <m/>
    <m/>
    <m/>
    <s v="NP"/>
    <s v="AGRINALCAZAR"/>
    <s v="MUSSAP"/>
    <s v="BANASEGUR"/>
    <m/>
    <s v="COBRADO"/>
    <m/>
    <m/>
    <m/>
    <m/>
    <x v="37"/>
    <s v="LODAN FRUIT SIGLO XXI, S.L."/>
    <s v="EMPRESA"/>
    <n v="30008"/>
    <x v="0"/>
  </r>
  <r>
    <m/>
    <m/>
    <x v="0"/>
    <x v="56"/>
    <x v="9"/>
    <d v="2026-02-26T00:00:00"/>
    <x v="0"/>
    <s v="AGROSEGURO"/>
    <n v="53751.08"/>
    <n v="6611.3828400000011"/>
    <n v="5536.3612400000011"/>
    <n v="1075.0216"/>
    <m/>
    <m/>
    <m/>
    <m/>
    <m/>
    <m/>
    <m/>
    <s v="NP"/>
    <s v="AGRINALCAZAR"/>
    <s v="MUSSAP"/>
    <s v="BANASEGUR"/>
    <m/>
    <s v="COBRADO"/>
    <m/>
    <m/>
    <m/>
    <m/>
    <x v="38"/>
    <s v="EXPOGROUP REGION DE MURCIA,S .L"/>
    <s v="EMPRESA"/>
    <n v="30008"/>
    <x v="0"/>
  </r>
  <r>
    <m/>
    <m/>
    <x v="0"/>
    <x v="57"/>
    <x v="3"/>
    <d v="2026-02-27T00:00:00"/>
    <x v="0"/>
    <s v="AGROSEGURO"/>
    <n v="5589.73"/>
    <n v="558.97299999999996"/>
    <n v="447.17839999999995"/>
    <n v="111.79459999999999"/>
    <m/>
    <m/>
    <m/>
    <m/>
    <m/>
    <m/>
    <m/>
    <s v="NP"/>
    <s v="AGRINALCAZAR"/>
    <s v="OCCIDENT"/>
    <m/>
    <m/>
    <s v="COBRADO"/>
    <m/>
    <m/>
    <m/>
    <m/>
    <x v="39"/>
    <s v="MARILOZASOL, S.L."/>
    <s v="EMPRESA"/>
    <n v="30360"/>
    <x v="0"/>
  </r>
  <r>
    <m/>
    <m/>
    <x v="0"/>
    <x v="58"/>
    <x v="3"/>
    <d v="2026-02-27T00:00:00"/>
    <x v="0"/>
    <s v="AGROSEGURO"/>
    <n v="4005.55"/>
    <n v="400.55500000000001"/>
    <n v="320.44400000000002"/>
    <n v="80.111000000000004"/>
    <m/>
    <m/>
    <m/>
    <m/>
    <m/>
    <m/>
    <m/>
    <s v="NP"/>
    <s v="AGRINALCAZAR"/>
    <s v="OCCIDENT"/>
    <m/>
    <m/>
    <s v="COBRADO"/>
    <m/>
    <m/>
    <m/>
    <m/>
    <x v="40"/>
    <s v="RICOME PRODUCTIONS, S.L."/>
    <s v="EMPRESA"/>
    <n v="30360"/>
    <x v="0"/>
  </r>
  <r>
    <m/>
    <m/>
    <x v="0"/>
    <x v="47"/>
    <x v="9"/>
    <d v="2026-02-26T00:00:00"/>
    <x v="0"/>
    <s v="AGROSEGURO"/>
    <n v="759.66"/>
    <n v="60.772799999999997"/>
    <n v="45.579599999999999"/>
    <n v="15.193199999999999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48"/>
    <x v="9"/>
    <d v="2026-02-26T00:00:00"/>
    <x v="0"/>
    <s v="AGROSEGURO"/>
    <n v="6970.17"/>
    <n v="557.61360000000002"/>
    <n v="418.21020000000004"/>
    <n v="139.4034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49"/>
    <x v="9"/>
    <d v="2026-02-26T00:00:00"/>
    <x v="0"/>
    <s v="AGROSEGURO"/>
    <n v="1477.47"/>
    <n v="118.19760000000001"/>
    <n v="88.648200000000003"/>
    <n v="29.549400000000002"/>
    <m/>
    <m/>
    <m/>
    <m/>
    <m/>
    <m/>
    <m/>
    <s v="NP"/>
    <s v="AGRINALCAZAR"/>
    <s v="OCCIDENT"/>
    <m/>
    <m/>
    <s v="COBRADO"/>
    <m/>
    <m/>
    <m/>
    <m/>
    <x v="1"/>
    <s v="FLORETTE MURCIA S.L.U."/>
    <s v="EMPRESA"/>
    <n v="31320"/>
    <x v="0"/>
  </r>
  <r>
    <m/>
    <m/>
    <x v="0"/>
    <x v="59"/>
    <x v="11"/>
    <d v="2026-02-25T00:00:00"/>
    <x v="0"/>
    <s v="AGROSEGURO"/>
    <n v="2253.38"/>
    <n v="270.40560000000005"/>
    <n v="225.33800000000002"/>
    <n v="45.067600000000006"/>
    <m/>
    <m/>
    <m/>
    <m/>
    <m/>
    <m/>
    <m/>
    <s v="NP"/>
    <s v="AGRINALCAZAR"/>
    <s v="ALLIANZ"/>
    <m/>
    <m/>
    <s v="COBRADO"/>
    <m/>
    <m/>
    <m/>
    <m/>
    <x v="41"/>
    <s v="ANTONIO JUAN LUCAS GOMEZ"/>
    <s v="PARTICULAR"/>
    <n v="30530"/>
    <x v="0"/>
  </r>
  <r>
    <m/>
    <m/>
    <x v="0"/>
    <x v="60"/>
    <x v="12"/>
    <d v="2026-02-24T00:00:00"/>
    <x v="0"/>
    <s v="AGROSEGURO"/>
    <n v="42785.16"/>
    <n v="5989.9224000000004"/>
    <n v="5134.2192000000005"/>
    <n v="855.70320000000004"/>
    <m/>
    <m/>
    <m/>
    <m/>
    <m/>
    <m/>
    <m/>
    <s v="NP"/>
    <s v="AGRINALCAZAR"/>
    <s v="ALLIANZ"/>
    <m/>
    <m/>
    <s v="COBRADO"/>
    <m/>
    <m/>
    <m/>
    <m/>
    <x v="42"/>
    <s v="FINCAS BEKHATERA SL"/>
    <s v="EMPRESA"/>
    <n v="3460"/>
    <x v="0"/>
  </r>
  <r>
    <m/>
    <m/>
    <x v="0"/>
    <x v="61"/>
    <x v="12"/>
    <d v="2026-02-24T00:00:00"/>
    <x v="0"/>
    <s v="AGROSEGURO"/>
    <n v="26573"/>
    <n v="3720.2200000000003"/>
    <n v="3188.76"/>
    <n v="531.46"/>
    <m/>
    <m/>
    <m/>
    <m/>
    <m/>
    <m/>
    <m/>
    <s v="NP"/>
    <s v="AGRINALCAZAR"/>
    <s v="ALLIANZ"/>
    <m/>
    <m/>
    <s v="COBRADO"/>
    <m/>
    <m/>
    <m/>
    <m/>
    <x v="42"/>
    <s v="FINCAS BEKHATERA SL"/>
    <s v="EMPRESA"/>
    <n v="3460"/>
    <x v="0"/>
  </r>
  <r>
    <m/>
    <m/>
    <x v="0"/>
    <x v="62"/>
    <x v="3"/>
    <d v="2026-02-27T00:00:00"/>
    <x v="0"/>
    <s v="AGROSEGURO"/>
    <n v="10149.57"/>
    <n v="1116.4527"/>
    <n v="913.46130000000005"/>
    <n v="202.9914"/>
    <m/>
    <m/>
    <m/>
    <m/>
    <m/>
    <m/>
    <m/>
    <s v="NP"/>
    <s v="AGRINALCAZAR"/>
    <s v="ALLIANZ"/>
    <m/>
    <m/>
    <s v="COBRADO"/>
    <m/>
    <m/>
    <m/>
    <m/>
    <x v="43"/>
    <s v="ISABEL MARTINEZ RUIZ"/>
    <s v="PARTICULAR"/>
    <n v="30600"/>
    <x v="0"/>
  </r>
  <r>
    <m/>
    <m/>
    <x v="0"/>
    <x v="63"/>
    <x v="9"/>
    <d v="2026-02-26T00:00:00"/>
    <x v="0"/>
    <s v="AGROSEGURO"/>
    <n v="1405.06"/>
    <n v="196.70840000000001"/>
    <n v="168.60720000000001"/>
    <n v="28.101199999999999"/>
    <m/>
    <m/>
    <m/>
    <m/>
    <m/>
    <m/>
    <m/>
    <s v="NP"/>
    <s v="AGRINALCAZAR"/>
    <s v="ALLIANZ"/>
    <m/>
    <m/>
    <s v="COBRADO"/>
    <m/>
    <m/>
    <m/>
    <m/>
    <x v="44"/>
    <s v="JOSE MANUEL GUARDIOLA MARTINEZ"/>
    <s v="PARTICULAR"/>
    <n v="30530"/>
    <x v="0"/>
  </r>
  <r>
    <m/>
    <m/>
    <x v="0"/>
    <x v="64"/>
    <x v="15"/>
    <d v="2026-01-22T00:00:00"/>
    <x v="0"/>
    <s v="AGROSEGURO"/>
    <n v="13441.98"/>
    <n v="1344.1980000000001"/>
    <n v="1075.3584000000001"/>
    <n v="268.83960000000002"/>
    <m/>
    <m/>
    <m/>
    <m/>
    <m/>
    <m/>
    <m/>
    <s v="NP"/>
    <s v="AGRINALCAZAR"/>
    <s v="OCCIDENT"/>
    <m/>
    <m/>
    <s v="COBRADO"/>
    <m/>
    <m/>
    <m/>
    <m/>
    <x v="0"/>
    <s v="EXPLOTACIONES AGRICOLAS JUMAR, S.LL"/>
    <s v="EMPRESA"/>
    <n v="30360"/>
    <x v="1"/>
  </r>
  <r>
    <m/>
    <m/>
    <x v="0"/>
    <x v="65"/>
    <x v="16"/>
    <d v="2026-01-21T00:00:00"/>
    <x v="0"/>
    <s v="AGROSEGURO"/>
    <n v="13327.54"/>
    <n v="1332.7539999999999"/>
    <n v="1066.2031999999999"/>
    <n v="266.55079999999998"/>
    <m/>
    <m/>
    <m/>
    <m/>
    <m/>
    <m/>
    <m/>
    <s v="NP"/>
    <s v="AGRINALCAZAR"/>
    <s v="OCCIDENT"/>
    <m/>
    <m/>
    <s v="COBRADO"/>
    <m/>
    <m/>
    <m/>
    <m/>
    <x v="45"/>
    <s v="EXPLOTACIONES AGRICOLAS JUMAR, S.LL"/>
    <s v="EMPRESA"/>
    <n v="30360"/>
    <x v="1"/>
  </r>
  <r>
    <m/>
    <m/>
    <x v="0"/>
    <x v="66"/>
    <x v="17"/>
    <d v="2026-01-15T00:00:00"/>
    <x v="0"/>
    <s v="AGROSEGURO"/>
    <n v="1459.24"/>
    <n v="189.7012"/>
    <n v="145.92400000000001"/>
    <n v="43.777200000000001"/>
    <m/>
    <m/>
    <m/>
    <m/>
    <m/>
    <m/>
    <m/>
    <s v="NP"/>
    <s v="AGRINALCAZAR"/>
    <s v="MAPFRE"/>
    <m/>
    <m/>
    <s v="COBRADO"/>
    <m/>
    <m/>
    <m/>
    <m/>
    <x v="14"/>
    <s v="MARIA ISABEL ORTEGA GARCIA"/>
    <s v="PARTICULAR"/>
    <n v="30550"/>
    <x v="1"/>
  </r>
  <r>
    <m/>
    <m/>
    <x v="0"/>
    <x v="67"/>
    <x v="18"/>
    <d v="2026-01-02T00:00:00"/>
    <x v="0"/>
    <s v="AGROSEGURO"/>
    <n v="299.18"/>
    <n v="41.885200000000005"/>
    <n v="35.901600000000002"/>
    <n v="5.9836"/>
    <m/>
    <m/>
    <m/>
    <m/>
    <m/>
    <m/>
    <m/>
    <s v="NP"/>
    <s v="AGRINALCAZAR"/>
    <s v="OCCIDENT"/>
    <m/>
    <m/>
    <s v="COBRADO"/>
    <m/>
    <m/>
    <m/>
    <m/>
    <x v="33"/>
    <s v="AROMATIC FACTORY, S.L."/>
    <s v="EMPRESA"/>
    <n v="30739"/>
    <x v="1"/>
  </r>
  <r>
    <m/>
    <m/>
    <x v="0"/>
    <x v="68"/>
    <x v="19"/>
    <d v="2026-01-07T00:00:00"/>
    <x v="0"/>
    <s v="AGROSEGURO"/>
    <n v="869.3"/>
    <n v="60.850999999999999"/>
    <n v="43.465000000000003"/>
    <n v="17.385999999999999"/>
    <m/>
    <m/>
    <m/>
    <m/>
    <m/>
    <m/>
    <m/>
    <s v="NP"/>
    <s v="AGRINALCAZAR"/>
    <s v="ALLIANZ"/>
    <m/>
    <m/>
    <s v="COBRADO"/>
    <m/>
    <m/>
    <m/>
    <m/>
    <x v="46"/>
    <s v="ANGEL GOMEZ GONZALEZ"/>
    <s v="PARTICULAR"/>
    <n v="30550"/>
    <x v="1"/>
  </r>
  <r>
    <m/>
    <m/>
    <x v="0"/>
    <x v="69"/>
    <x v="19"/>
    <d v="2026-01-07T00:00:00"/>
    <x v="0"/>
    <s v="AGROSEGURO"/>
    <n v="33491.25"/>
    <n v="3684.0375000000004"/>
    <n v="2679.3"/>
    <n v="1004.7375"/>
    <m/>
    <m/>
    <m/>
    <m/>
    <m/>
    <m/>
    <m/>
    <s v="NP"/>
    <s v="AGRINALCAZAR"/>
    <s v="MAPFRE"/>
    <m/>
    <m/>
    <s v="COBRADO"/>
    <m/>
    <m/>
    <m/>
    <m/>
    <x v="47"/>
    <s v="JUAN AYALA CANDEL"/>
    <s v="PARTICULAR"/>
    <n v="30530"/>
    <x v="1"/>
  </r>
  <r>
    <m/>
    <m/>
    <x v="0"/>
    <x v="16"/>
    <x v="20"/>
    <d v="2026-01-08T00:00:00"/>
    <x v="0"/>
    <s v="AGROSEGURO"/>
    <n v="18718.560000000001"/>
    <n v="2246.2272000000003"/>
    <n v="1871.856"/>
    <n v="374.37120000000004"/>
    <m/>
    <m/>
    <m/>
    <m/>
    <m/>
    <m/>
    <m/>
    <s v="NP"/>
    <s v="AGRINALCAZAR"/>
    <s v="ALLIANZ"/>
    <m/>
    <m/>
    <s v="COBRADO"/>
    <m/>
    <m/>
    <m/>
    <m/>
    <x v="15"/>
    <s v="FELIPE BUENO MARIN"/>
    <s v="PARTICULAR"/>
    <n v="30420"/>
    <x v="1"/>
  </r>
  <r>
    <m/>
    <m/>
    <x v="0"/>
    <x v="70"/>
    <x v="20"/>
    <d v="2026-01-08T00:00:00"/>
    <x v="0"/>
    <s v="AGROSEGURO"/>
    <n v="2583.3000000000002"/>
    <n v="387.49500000000006"/>
    <n v="309.99600000000004"/>
    <n v="77.499000000000009"/>
    <m/>
    <m/>
    <m/>
    <m/>
    <m/>
    <m/>
    <m/>
    <s v="NP"/>
    <s v="AGRINALCAZAR"/>
    <s v="MAPFRE"/>
    <m/>
    <m/>
    <s v="COBRADO"/>
    <m/>
    <m/>
    <m/>
    <m/>
    <x v="48"/>
    <s v="JOSEFA FERNANDEZ ROS"/>
    <s v="PARTICULAR"/>
    <n v="30530"/>
    <x v="1"/>
  </r>
  <r>
    <m/>
    <m/>
    <x v="0"/>
    <x v="71"/>
    <x v="20"/>
    <d v="2026-01-08T00:00:00"/>
    <x v="0"/>
    <s v="AGROSEGURO"/>
    <n v="2710.03"/>
    <n v="346.88384000000008"/>
    <n v="265.58294000000006"/>
    <n v="81.300899999999999"/>
    <m/>
    <m/>
    <m/>
    <m/>
    <m/>
    <m/>
    <m/>
    <s v="NP"/>
    <s v="AGRINALCAZAR"/>
    <s v="MAPFRE"/>
    <m/>
    <m/>
    <s v="COBRADO"/>
    <m/>
    <m/>
    <m/>
    <m/>
    <x v="49"/>
    <s v="JOAQUIN MORA GONZALEZ"/>
    <s v="PARTICULAR"/>
    <n v="30550"/>
    <x v="1"/>
  </r>
  <r>
    <m/>
    <m/>
    <x v="0"/>
    <x v="72"/>
    <x v="21"/>
    <d v="2026-01-09T00:00:00"/>
    <x v="0"/>
    <s v="AGROSEGURO"/>
    <n v="9052.7800000000007"/>
    <n v="1086.3335999999999"/>
    <n v="814.75020000000006"/>
    <n v="271.58339999999998"/>
    <m/>
    <m/>
    <m/>
    <m/>
    <m/>
    <m/>
    <m/>
    <s v="NP"/>
    <s v="AGRINALCAZAR"/>
    <s v="MAPFRE"/>
    <m/>
    <m/>
    <s v="COBRADO"/>
    <m/>
    <m/>
    <m/>
    <m/>
    <x v="50"/>
    <s v="VILLALBA GUARDIOLA MANUEL"/>
    <s v="PARTICULAR"/>
    <n v="30530"/>
    <x v="1"/>
  </r>
  <r>
    <m/>
    <m/>
    <x v="0"/>
    <x v="73"/>
    <x v="21"/>
    <d v="2026-01-09T00:00:00"/>
    <x v="0"/>
    <s v="AGROSEGURO"/>
    <n v="1991.07"/>
    <n v="238.92840000000001"/>
    <n v="179.19630000000001"/>
    <n v="59.732099999999996"/>
    <m/>
    <m/>
    <m/>
    <m/>
    <m/>
    <m/>
    <m/>
    <s v="NP"/>
    <s v="AGRINALCAZAR"/>
    <s v="MAPFRE"/>
    <m/>
    <m/>
    <s v="COBRADO"/>
    <m/>
    <m/>
    <m/>
    <m/>
    <x v="51"/>
    <s v="MARIA JOSEFA ALMAGRO GARCIA"/>
    <s v="PARTICULAR"/>
    <n v="30530"/>
    <x v="1"/>
  </r>
  <r>
    <m/>
    <m/>
    <x v="0"/>
    <x v="74"/>
    <x v="21"/>
    <d v="2026-01-09T00:00:00"/>
    <x v="0"/>
    <s v="AGROSEGURO"/>
    <n v="1703.47"/>
    <n v="204.41639999999998"/>
    <n v="153.31229999999999"/>
    <n v="51.104099999999995"/>
    <m/>
    <m/>
    <m/>
    <m/>
    <m/>
    <m/>
    <m/>
    <s v="NP"/>
    <s v="AGRINALCAZAR"/>
    <s v="MAPFRE"/>
    <m/>
    <m/>
    <s v="COBRADO"/>
    <m/>
    <m/>
    <m/>
    <m/>
    <x v="52"/>
    <s v="JOAQUIN GARCIA SANCHEZ"/>
    <s v="PARTICULAR"/>
    <n v="30600"/>
    <x v="1"/>
  </r>
  <r>
    <m/>
    <m/>
    <x v="0"/>
    <x v="75"/>
    <x v="21"/>
    <d v="2026-01-09T00:00:00"/>
    <x v="0"/>
    <s v="AGROSEGURO"/>
    <n v="798.95"/>
    <n v="47.937000000000005"/>
    <n v="31.958000000000002"/>
    <n v="15.979000000000001"/>
    <m/>
    <m/>
    <m/>
    <m/>
    <m/>
    <m/>
    <m/>
    <s v="NP"/>
    <s v="AGRINALCAZAR"/>
    <s v="OCCIDENT"/>
    <m/>
    <m/>
    <s v="COBRADO"/>
    <m/>
    <m/>
    <m/>
    <m/>
    <x v="1"/>
    <s v="FLORETTE MURCIA, S.L.U."/>
    <s v="EMPRESA"/>
    <n v="31320"/>
    <x v="1"/>
  </r>
  <r>
    <m/>
    <m/>
    <x v="0"/>
    <x v="76"/>
    <x v="21"/>
    <d v="2026-01-09T00:00:00"/>
    <x v="0"/>
    <s v="AGROSEGURO"/>
    <n v="2962.67"/>
    <n v="177.7602"/>
    <n v="118.5068"/>
    <n v="59.253399999999999"/>
    <m/>
    <m/>
    <m/>
    <m/>
    <m/>
    <m/>
    <m/>
    <s v="NP"/>
    <s v="AGRINALCAZAR"/>
    <s v="OCCIDENT"/>
    <m/>
    <m/>
    <s v="COBRADO"/>
    <m/>
    <m/>
    <m/>
    <m/>
    <x v="1"/>
    <s v="FLORETTE MURCIA, S.L.U."/>
    <s v="EMPRESA"/>
    <n v="31320"/>
    <x v="1"/>
  </r>
  <r>
    <m/>
    <m/>
    <x v="0"/>
    <x v="77"/>
    <x v="21"/>
    <d v="2026-01-09T00:00:00"/>
    <x v="0"/>
    <s v="AGROSEGURO"/>
    <n v="2696.88"/>
    <n v="242.7192"/>
    <n v="161.81280000000001"/>
    <n v="80.906400000000005"/>
    <m/>
    <m/>
    <m/>
    <m/>
    <m/>
    <m/>
    <m/>
    <s v="NP"/>
    <s v="AGRINALCAZAR"/>
    <s v="MAPFRE"/>
    <m/>
    <m/>
    <s v="COBRADO"/>
    <m/>
    <m/>
    <m/>
    <m/>
    <x v="53"/>
    <s v="MARA CANDELARIA QUIJADA MONDEJAR"/>
    <s v="PARTICULAR"/>
    <n v="30559"/>
    <x v="1"/>
  </r>
  <r>
    <m/>
    <m/>
    <x v="0"/>
    <x v="78"/>
    <x v="21"/>
    <d v="2026-01-09T00:00:00"/>
    <x v="0"/>
    <s v="AGROSEGURO"/>
    <n v="3777.72"/>
    <n v="528.88080000000002"/>
    <n v="453.32639999999998"/>
    <n v="75.554400000000001"/>
    <m/>
    <m/>
    <m/>
    <m/>
    <m/>
    <m/>
    <m/>
    <s v="NP"/>
    <s v="AGRINALCAZAR"/>
    <s v="MAPFRE"/>
    <m/>
    <m/>
    <s v="COBRADO"/>
    <m/>
    <m/>
    <m/>
    <m/>
    <x v="54"/>
    <s v="JOSE ANTONIO NOGUERA PEREZ"/>
    <s v="PARTICULAR"/>
    <n v="30550"/>
    <x v="1"/>
  </r>
  <r>
    <m/>
    <m/>
    <x v="0"/>
    <x v="79"/>
    <x v="21"/>
    <d v="2026-01-09T00:00:00"/>
    <x v="0"/>
    <s v="AGROSEGURO"/>
    <n v="3414.08"/>
    <n v="477.97119999999995"/>
    <n v="409.68959999999998"/>
    <n v="68.281599999999997"/>
    <m/>
    <m/>
    <m/>
    <m/>
    <m/>
    <m/>
    <m/>
    <s v="NP"/>
    <s v="AGRINALCAZAR"/>
    <s v="MAPFRE"/>
    <m/>
    <m/>
    <s v="COBRADO"/>
    <m/>
    <m/>
    <m/>
    <m/>
    <x v="55"/>
    <s v="IKVAN MARIN LÓPEZ"/>
    <s v="PARTICULAR"/>
    <n v="30540"/>
    <x v="1"/>
  </r>
  <r>
    <m/>
    <m/>
    <x v="0"/>
    <x v="80"/>
    <x v="21"/>
    <d v="2026-01-09T00:00:00"/>
    <x v="0"/>
    <s v="AGROSEGURO"/>
    <n v="5997.04"/>
    <n v="839.58559999999989"/>
    <n v="719.64479999999992"/>
    <n v="119.9408"/>
    <m/>
    <m/>
    <m/>
    <m/>
    <m/>
    <m/>
    <m/>
    <s v="NP"/>
    <s v="AGRINALCAZAR"/>
    <s v="MAPFRE"/>
    <m/>
    <m/>
    <s v="COBRADO"/>
    <m/>
    <m/>
    <m/>
    <m/>
    <x v="56"/>
    <s v="BENITO RAJA RAJA"/>
    <s v="PARTICULAR"/>
    <n v="30870"/>
    <x v="1"/>
  </r>
  <r>
    <m/>
    <m/>
    <x v="0"/>
    <x v="81"/>
    <x v="21"/>
    <d v="2026-01-09T00:00:00"/>
    <x v="0"/>
    <s v="AGROSEGURO"/>
    <n v="4703.05"/>
    <n v="658.42700000000013"/>
    <n v="564.3660000000001"/>
    <n v="94.061000000000007"/>
    <m/>
    <m/>
    <m/>
    <m/>
    <m/>
    <m/>
    <m/>
    <s v="NP"/>
    <s v="AGRINALCAZAR"/>
    <s v="MAPFRE"/>
    <m/>
    <m/>
    <s v="COBRADO"/>
    <m/>
    <m/>
    <m/>
    <m/>
    <x v="57"/>
    <s v="JOSÉ ZAMORA LÓPEZ"/>
    <s v="PARTICULAR"/>
    <n v="30870"/>
    <x v="1"/>
  </r>
  <r>
    <m/>
    <m/>
    <x v="0"/>
    <x v="82"/>
    <x v="21"/>
    <d v="2026-01-09T00:00:00"/>
    <x v="0"/>
    <s v="AGROSEGURO"/>
    <n v="1818.8"/>
    <n v="345.57199999999995"/>
    <n v="309.19599999999997"/>
    <n v="36.375999999999998"/>
    <m/>
    <m/>
    <m/>
    <m/>
    <m/>
    <m/>
    <m/>
    <s v="NP"/>
    <s v="AGRINALCAZAR"/>
    <s v="ALLIANZ"/>
    <m/>
    <m/>
    <s v="COBRADO"/>
    <m/>
    <m/>
    <m/>
    <m/>
    <x v="58"/>
    <s v="Mª VICTORIA LOPEZ PALAZON"/>
    <s v="PARTICULAR"/>
    <n v="30600"/>
    <x v="1"/>
  </r>
  <r>
    <m/>
    <m/>
    <x v="0"/>
    <x v="83"/>
    <x v="22"/>
    <d v="2026-01-12T00:00:00"/>
    <x v="0"/>
    <s v="AGROSEGURO"/>
    <n v="2308.06"/>
    <n v="311.5881"/>
    <n v="242.34630000000001"/>
    <n v="69.241799999999998"/>
    <m/>
    <m/>
    <m/>
    <m/>
    <m/>
    <m/>
    <m/>
    <s v="NP"/>
    <s v="AGRINALCAZAR"/>
    <s v="MAPFRE"/>
    <m/>
    <m/>
    <s v="COBRADO"/>
    <m/>
    <m/>
    <m/>
    <m/>
    <x v="59"/>
    <s v="MARA ANGELES CANO GIL"/>
    <s v="PARTICULAR"/>
    <n v="30530"/>
    <x v="1"/>
  </r>
  <r>
    <m/>
    <m/>
    <x v="0"/>
    <x v="84"/>
    <x v="22"/>
    <d v="2026-01-12T00:00:00"/>
    <x v="0"/>
    <s v="AGROSEGURO"/>
    <n v="12229.69"/>
    <n v="1345.2659000000001"/>
    <n v="978.37520000000006"/>
    <n v="366.89069999999998"/>
    <m/>
    <m/>
    <m/>
    <m/>
    <m/>
    <m/>
    <m/>
    <s v="NP"/>
    <s v="AGRINALCAZAR"/>
    <s v="MAPFRE"/>
    <m/>
    <m/>
    <s v="COBRADO"/>
    <m/>
    <m/>
    <m/>
    <m/>
    <x v="60"/>
    <s v="JESUS VICTORIO YELO"/>
    <s v="PARTICULAR"/>
    <n v="30550"/>
    <x v="1"/>
  </r>
  <r>
    <m/>
    <m/>
    <x v="0"/>
    <x v="85"/>
    <x v="22"/>
    <d v="2026-01-12T00:00:00"/>
    <x v="0"/>
    <s v="AGROSEGURO"/>
    <n v="6415.17"/>
    <n v="1090.5789"/>
    <n v="898.12380000000007"/>
    <n v="192.45509999999999"/>
    <m/>
    <m/>
    <m/>
    <m/>
    <m/>
    <m/>
    <m/>
    <s v="NP"/>
    <s v="AGRINALCAZAR"/>
    <s v="MAPFRE"/>
    <m/>
    <m/>
    <s v="COBRADO"/>
    <m/>
    <m/>
    <m/>
    <m/>
    <x v="61"/>
    <s v="MARIA GLORIA YELO COBARRO"/>
    <s v="PARTICULAR"/>
    <n v="30550"/>
    <x v="1"/>
  </r>
  <r>
    <m/>
    <m/>
    <x v="0"/>
    <x v="86"/>
    <x v="22"/>
    <d v="2026-01-12T00:00:00"/>
    <x v="0"/>
    <s v="AGROSEGURO"/>
    <n v="19061.400000000001"/>
    <n v="3240.4380000000006"/>
    <n v="2668.5960000000005"/>
    <n v="571.84199999999998"/>
    <m/>
    <m/>
    <m/>
    <m/>
    <m/>
    <m/>
    <m/>
    <s v="NP"/>
    <s v="AGRINALCAZAR"/>
    <s v="MAPFRE"/>
    <m/>
    <m/>
    <s v="COBRADO"/>
    <m/>
    <m/>
    <m/>
    <m/>
    <x v="62"/>
    <s v="JOSE LUIS CARRASCO GALLEGO"/>
    <s v="PARTICULAR"/>
    <n v="30550"/>
    <x v="1"/>
  </r>
  <r>
    <m/>
    <m/>
    <x v="0"/>
    <x v="87"/>
    <x v="22"/>
    <d v="2026-01-12T00:00:00"/>
    <x v="0"/>
    <s v="AGROSEGURO"/>
    <n v="9782.77"/>
    <n v="1056.53916"/>
    <n v="763.05606"/>
    <n v="293.48309999999998"/>
    <m/>
    <m/>
    <m/>
    <m/>
    <m/>
    <m/>
    <m/>
    <s v="NP"/>
    <s v="AGRINALCAZAR"/>
    <s v="MAPFRE"/>
    <m/>
    <m/>
    <s v="COBRADO"/>
    <m/>
    <m/>
    <m/>
    <m/>
    <x v="63"/>
    <s v="FRANCISCO PALAZON MOLINA"/>
    <s v="PARTICULAR"/>
    <n v="30540"/>
    <x v="1"/>
  </r>
  <r>
    <m/>
    <m/>
    <x v="0"/>
    <x v="88"/>
    <x v="22"/>
    <d v="2026-01-12T00:00:00"/>
    <x v="0"/>
    <s v="AGROSEGURO"/>
    <n v="22254.82"/>
    <n v="2448.0302000000001"/>
    <n v="1780.3856000000001"/>
    <n v="667.64459999999997"/>
    <m/>
    <m/>
    <m/>
    <m/>
    <m/>
    <m/>
    <m/>
    <s v="NP"/>
    <s v="AGRINALCAZAR"/>
    <s v="MAPFRE"/>
    <m/>
    <m/>
    <s v="COBRADO"/>
    <m/>
    <m/>
    <m/>
    <m/>
    <x v="64"/>
    <s v="JOSE REYES TRIGUEROS TORRANO"/>
    <s v="PARTICULAR"/>
    <n v="30550"/>
    <x v="1"/>
  </r>
  <r>
    <m/>
    <m/>
    <x v="0"/>
    <x v="89"/>
    <x v="22"/>
    <d v="2026-01-12T00:00:00"/>
    <x v="0"/>
    <s v="AGROSEGURO"/>
    <n v="5408.64"/>
    <n v="594.95040000000006"/>
    <n v="432.69120000000004"/>
    <n v="162.25919999999999"/>
    <m/>
    <m/>
    <m/>
    <m/>
    <m/>
    <m/>
    <m/>
    <s v="NP"/>
    <s v="AGRINALCAZAR"/>
    <s v="MAPFRE"/>
    <m/>
    <m/>
    <s v="COBRADO"/>
    <m/>
    <m/>
    <m/>
    <m/>
    <x v="65"/>
    <s v="ALBERTO TRIGUEROS TORRANO"/>
    <s v="PARTICULAR"/>
    <n v="30550"/>
    <x v="1"/>
  </r>
  <r>
    <m/>
    <m/>
    <x v="0"/>
    <x v="90"/>
    <x v="22"/>
    <d v="2026-01-12T00:00:00"/>
    <x v="0"/>
    <s v="AGROSEGURO"/>
    <n v="4979.6099999999997"/>
    <n v="547.75709999999992"/>
    <n v="398.36879999999996"/>
    <n v="149.38829999999999"/>
    <m/>
    <m/>
    <m/>
    <m/>
    <m/>
    <m/>
    <m/>
    <s v="NP"/>
    <s v="AGRINALCAZAR"/>
    <s v="MAPFRE"/>
    <m/>
    <m/>
    <s v="COBRADO"/>
    <m/>
    <m/>
    <m/>
    <m/>
    <x v="66"/>
    <s v="MARIA MONSERRAT MOLINA SALMERON"/>
    <s v="PARTICULAR"/>
    <n v="30540"/>
    <x v="1"/>
  </r>
  <r>
    <m/>
    <m/>
    <x v="0"/>
    <x v="91"/>
    <x v="22"/>
    <d v="2026-01-12T00:00:00"/>
    <x v="0"/>
    <s v="AGROSEGURO"/>
    <n v="25.46"/>
    <n v="4.5828000000000007"/>
    <n v="3.8190000000000004"/>
    <n v="0.76380000000000003"/>
    <m/>
    <m/>
    <m/>
    <m/>
    <m/>
    <m/>
    <m/>
    <s v="NP"/>
    <s v="AGRINALCAZAR"/>
    <s v="MAPFRE"/>
    <m/>
    <m/>
    <s v="COBRADO"/>
    <m/>
    <m/>
    <m/>
    <m/>
    <x v="67"/>
    <s v="JOSE ANTONIO MOLINA ABELLAN"/>
    <s v="PARTICULAR"/>
    <n v="30540"/>
    <x v="1"/>
  </r>
  <r>
    <m/>
    <m/>
    <x v="0"/>
    <x v="92"/>
    <x v="23"/>
    <d v="2026-01-13T00:00:00"/>
    <x v="0"/>
    <s v="AGROSEGURO"/>
    <n v="11162.61"/>
    <n v="1227.8871000000001"/>
    <n v="893.00880000000006"/>
    <n v="334.87830000000002"/>
    <m/>
    <m/>
    <m/>
    <m/>
    <m/>
    <m/>
    <m/>
    <s v="NP"/>
    <s v="AGRINALCAZAR"/>
    <s v="MAPFRE"/>
    <m/>
    <m/>
    <s v="COBRADO"/>
    <m/>
    <m/>
    <m/>
    <m/>
    <x v="68"/>
    <s v="RAFAEL MONDEJAR BELDA"/>
    <s v="PARTICULAR"/>
    <n v="30559"/>
    <x v="1"/>
  </r>
  <r>
    <m/>
    <m/>
    <x v="0"/>
    <x v="93"/>
    <x v="22"/>
    <d v="2026-01-12T00:00:00"/>
    <x v="0"/>
    <s v="AGROSEGURO"/>
    <n v="12.39"/>
    <n v="2.2302000000000004"/>
    <n v="1.8585000000000003"/>
    <n v="0.37170000000000003"/>
    <m/>
    <m/>
    <m/>
    <m/>
    <m/>
    <m/>
    <m/>
    <s v="NP"/>
    <s v="AGRINALCAZAR"/>
    <s v="MAPFRE"/>
    <m/>
    <m/>
    <s v="COBRADO"/>
    <m/>
    <m/>
    <m/>
    <m/>
    <x v="69"/>
    <s v="JOSEFA VILLALBA RIOS"/>
    <s v="PARTICULAR"/>
    <n v="30530"/>
    <x v="1"/>
  </r>
  <r>
    <m/>
    <m/>
    <x v="0"/>
    <x v="94"/>
    <x v="22"/>
    <d v="2026-01-12T00:00:00"/>
    <x v="0"/>
    <s v="AGROSEGURO"/>
    <n v="862.13"/>
    <n v="94.834299999999999"/>
    <n v="68.970399999999998"/>
    <n v="25.863899999999997"/>
    <m/>
    <m/>
    <m/>
    <m/>
    <m/>
    <m/>
    <m/>
    <s v="NP"/>
    <s v="AGRINALCAZAR"/>
    <s v="MAPFRE"/>
    <m/>
    <m/>
    <s v="COBRADO"/>
    <m/>
    <m/>
    <m/>
    <m/>
    <x v="70"/>
    <s v="JESUS ABELLAN BERMUDEZ"/>
    <s v="PARTICULAR"/>
    <n v="30550"/>
    <x v="1"/>
  </r>
  <r>
    <m/>
    <m/>
    <x v="0"/>
    <x v="95"/>
    <x v="23"/>
    <d v="2026-01-13T00:00:00"/>
    <x v="0"/>
    <s v="AGROSEGURO"/>
    <n v="4229.78"/>
    <n v="549.87139999999999"/>
    <n v="422.97799999999995"/>
    <n v="126.89339999999999"/>
    <m/>
    <m/>
    <m/>
    <m/>
    <m/>
    <m/>
    <m/>
    <s v="NP"/>
    <s v="AGRINALCAZAR"/>
    <s v="MAPFRE"/>
    <m/>
    <m/>
    <s v="COBRADO"/>
    <m/>
    <m/>
    <m/>
    <m/>
    <x v="71"/>
    <s v="MARIA TRINIDAD SOLER FERNANDEZ"/>
    <s v="PARTICULAR"/>
    <n v="30559"/>
    <x v="1"/>
  </r>
  <r>
    <m/>
    <m/>
    <x v="0"/>
    <x v="96"/>
    <x v="23"/>
    <d v="2026-01-13T00:00:00"/>
    <x v="0"/>
    <s v="AGROSEGURO"/>
    <n v="1898.87"/>
    <n v="341.79659999999996"/>
    <n v="284.83049999999997"/>
    <n v="56.966099999999997"/>
    <m/>
    <m/>
    <m/>
    <m/>
    <m/>
    <m/>
    <m/>
    <s v="NP"/>
    <s v="AGRINALCAZAR"/>
    <s v="MAPFRE"/>
    <m/>
    <m/>
    <s v="COBRADO"/>
    <m/>
    <m/>
    <m/>
    <m/>
    <x v="72"/>
    <s v="DAVID MARIN MARIN"/>
    <s v="PARTICULAR"/>
    <n v="30530"/>
    <x v="1"/>
  </r>
  <r>
    <m/>
    <m/>
    <x v="0"/>
    <x v="97"/>
    <x v="23"/>
    <d v="2026-01-13T00:00:00"/>
    <x v="0"/>
    <s v="AGROSEGURO"/>
    <n v="9673.5499999999993"/>
    <n v="870.61950000000002"/>
    <n v="580.41300000000001"/>
    <n v="290.20649999999995"/>
    <m/>
    <m/>
    <m/>
    <m/>
    <m/>
    <m/>
    <m/>
    <s v="NP"/>
    <s v="AGRINALCAZAR"/>
    <s v="MAPFRE"/>
    <m/>
    <m/>
    <s v="COBRADO"/>
    <m/>
    <m/>
    <m/>
    <m/>
    <x v="73"/>
    <s v="RUIZ MOLINA HOYA, S.L."/>
    <s v="EMPRESA"/>
    <n v="30004"/>
    <x v="1"/>
  </r>
  <r>
    <m/>
    <m/>
    <x v="0"/>
    <x v="98"/>
    <x v="23"/>
    <d v="2026-01-13T00:00:00"/>
    <x v="0"/>
    <s v="AGROSEGURO"/>
    <n v="2775.28"/>
    <n v="333.03360000000004"/>
    <n v="277.52800000000002"/>
    <n v="55.505600000000008"/>
    <m/>
    <m/>
    <m/>
    <m/>
    <m/>
    <m/>
    <m/>
    <s v="NP"/>
    <s v="AGRINALCAZAR"/>
    <s v="MAPFRE"/>
    <m/>
    <m/>
    <s v="COBRADO"/>
    <m/>
    <m/>
    <m/>
    <m/>
    <x v="74"/>
    <s v=" JUANA VALERA MENDEZ"/>
    <s v="PARTICULAR"/>
    <n v="30870"/>
    <x v="1"/>
  </r>
  <r>
    <m/>
    <m/>
    <x v="0"/>
    <x v="99"/>
    <x v="23"/>
    <d v="2026-01-13T00:00:00"/>
    <x v="0"/>
    <s v="AGROSEGURO"/>
    <n v="565.35"/>
    <n v="101.76299999999999"/>
    <n v="84.802499999999995"/>
    <n v="16.9605"/>
    <m/>
    <m/>
    <m/>
    <m/>
    <m/>
    <m/>
    <m/>
    <s v="NP"/>
    <s v="AGRINALCAZAR"/>
    <s v="MAPFRE"/>
    <m/>
    <m/>
    <s v="COBRADO"/>
    <m/>
    <m/>
    <m/>
    <m/>
    <x v="75"/>
    <s v="JUAN JESUS MOLINA MOLINA"/>
    <s v="PARTICULAR"/>
    <n v="30600"/>
    <x v="1"/>
  </r>
  <r>
    <m/>
    <m/>
    <x v="0"/>
    <x v="100"/>
    <x v="23"/>
    <d v="2026-01-13T00:00:00"/>
    <x v="0"/>
    <s v="AGROSEGURO"/>
    <n v="27443.14"/>
    <n v="3018.7453999999998"/>
    <n v="2469.8825999999999"/>
    <n v="548.86279999999999"/>
    <m/>
    <m/>
    <m/>
    <m/>
    <m/>
    <m/>
    <m/>
    <s v="NP"/>
    <s v="AGRINALCAZAR"/>
    <s v="ALLIANZ"/>
    <m/>
    <m/>
    <s v="COBRADO"/>
    <m/>
    <m/>
    <m/>
    <m/>
    <x v="76"/>
    <s v="FRANCISCO ANDRES GARCIA LUNA"/>
    <s v="PARTICULAR"/>
    <n v="30600"/>
    <x v="1"/>
  </r>
  <r>
    <m/>
    <m/>
    <x v="0"/>
    <x v="101"/>
    <x v="24"/>
    <d v="2026-01-14T00:00:00"/>
    <x v="0"/>
    <s v="AGROSEGURO"/>
    <n v="29357.73"/>
    <n v="3229.3503000000001"/>
    <n v="2348.6183999999998"/>
    <n v="880.7319"/>
    <m/>
    <m/>
    <m/>
    <m/>
    <m/>
    <m/>
    <m/>
    <s v="NP"/>
    <s v="AGRINALCAZAR"/>
    <s v="MAPFRE"/>
    <m/>
    <m/>
    <s v="COBRADO"/>
    <m/>
    <m/>
    <m/>
    <m/>
    <x v="77"/>
    <s v="FUENTE JAVE AGRICOLA, S.L."/>
    <s v="EMPRESA"/>
    <n v="30540"/>
    <x v="1"/>
  </r>
  <r>
    <m/>
    <m/>
    <x v="0"/>
    <x v="102"/>
    <x v="24"/>
    <d v="2026-01-14T00:00:00"/>
    <x v="0"/>
    <s v="AGROSEGURO"/>
    <n v="38890.86"/>
    <n v="4666.9031999999997"/>
    <n v="3500.1774"/>
    <n v="1166.7257999999999"/>
    <m/>
    <m/>
    <m/>
    <m/>
    <m/>
    <m/>
    <m/>
    <s v="NP"/>
    <s v="AGRINALCAZAR"/>
    <s v="MAPFRE"/>
    <m/>
    <m/>
    <s v="COBRADO"/>
    <m/>
    <m/>
    <m/>
    <m/>
    <x v="78"/>
    <s v="EX AGRICOLAS LAS DUNAS, S.L."/>
    <s v="EMPRESA"/>
    <n v="30559"/>
    <x v="1"/>
  </r>
  <r>
    <m/>
    <m/>
    <x v="0"/>
    <x v="6"/>
    <x v="24"/>
    <d v="2026-01-14T00:00:00"/>
    <x v="0"/>
    <s v="AGROSEGURO"/>
    <n v="220635.06"/>
    <n v="26476.207200000001"/>
    <n v="22063.506000000001"/>
    <n v="4412.7012000000004"/>
    <m/>
    <m/>
    <m/>
    <m/>
    <m/>
    <m/>
    <m/>
    <s v="NP"/>
    <s v="AGRINALCAZAR"/>
    <s v="MAPFRE"/>
    <m/>
    <m/>
    <s v="COBRADO"/>
    <m/>
    <m/>
    <m/>
    <m/>
    <x v="79"/>
    <s v="HIJOS DE MATIAS VICENTE C.B."/>
    <s v="EMPRESA"/>
    <n v="30530"/>
    <x v="1"/>
  </r>
  <r>
    <m/>
    <m/>
    <x v="0"/>
    <x v="103"/>
    <x v="24"/>
    <d v="2026-01-14T00:00:00"/>
    <x v="0"/>
    <s v="AGROSEGURO"/>
    <n v="31712.959999999999"/>
    <n v="2854.1664000000001"/>
    <n v="1902.7776000000001"/>
    <n v="951.38879999999995"/>
    <m/>
    <m/>
    <m/>
    <m/>
    <m/>
    <m/>
    <m/>
    <s v="NP"/>
    <s v="AGRINALCAZAR"/>
    <s v="MAPFRE"/>
    <m/>
    <m/>
    <s v="COBRADO"/>
    <m/>
    <m/>
    <m/>
    <m/>
    <x v="80"/>
    <s v="EX AGRICOLAS VALENTINO, S.L"/>
    <s v="EMPRESA"/>
    <n v="30550"/>
    <x v="1"/>
  </r>
  <r>
    <m/>
    <m/>
    <x v="0"/>
    <x v="104"/>
    <x v="24"/>
    <d v="2026-01-14T00:00:00"/>
    <x v="0"/>
    <s v="AGROSEGURO"/>
    <n v="5203.95"/>
    <n v="728.55299999999988"/>
    <n v="624.47399999999993"/>
    <n v="104.07899999999999"/>
    <m/>
    <m/>
    <m/>
    <m/>
    <m/>
    <m/>
    <m/>
    <s v="NP"/>
    <s v="AGRINALCAZAR"/>
    <s v="ALLIANZ"/>
    <m/>
    <m/>
    <s v="COBRADO"/>
    <m/>
    <m/>
    <m/>
    <m/>
    <x v="81"/>
    <s v="JOSE ANTONIO GALINDO ORTEGA"/>
    <s v="PARTICULAR"/>
    <n v="30009"/>
    <x v="1"/>
  </r>
  <r>
    <m/>
    <m/>
    <x v="0"/>
    <x v="105"/>
    <x v="24"/>
    <d v="2026-01-14T00:00:00"/>
    <x v="0"/>
    <s v="AGROSEGURO"/>
    <n v="12343.86"/>
    <n v="1357.8246000000001"/>
    <n v="987.50880000000006"/>
    <n v="370.31580000000002"/>
    <m/>
    <m/>
    <m/>
    <m/>
    <m/>
    <m/>
    <m/>
    <s v="NP"/>
    <s v="AGRINALCAZAR"/>
    <s v="MAPFRE"/>
    <m/>
    <m/>
    <s v="COBRADO"/>
    <m/>
    <m/>
    <m/>
    <m/>
    <x v="82"/>
    <s v="JOSE PASCUAL PIÑERA MARIN"/>
    <s v="PARTICULAR"/>
    <n v="30530"/>
    <x v="1"/>
  </r>
  <r>
    <m/>
    <m/>
    <x v="0"/>
    <x v="106"/>
    <x v="24"/>
    <d v="2026-01-14T00:00:00"/>
    <x v="0"/>
    <s v="AGROSEGURO"/>
    <n v="13970.23"/>
    <n v="1816.1298999999999"/>
    <n v="1397.0229999999999"/>
    <n v="419.1069"/>
    <m/>
    <m/>
    <m/>
    <m/>
    <m/>
    <m/>
    <m/>
    <s v="NP"/>
    <s v="AGRINALCAZAR"/>
    <s v="MAPFRE"/>
    <m/>
    <m/>
    <s v="COBRADO"/>
    <m/>
    <m/>
    <m/>
    <m/>
    <x v="83"/>
    <s v="JOSE DAVID MOLINA CARRASCO"/>
    <s v="PARTICULAR"/>
    <n v="30550"/>
    <x v="1"/>
  </r>
  <r>
    <m/>
    <m/>
    <x v="0"/>
    <x v="107"/>
    <x v="17"/>
    <d v="2026-01-15T00:00:00"/>
    <x v="0"/>
    <s v="AGROSEGURO"/>
    <n v="2047.58"/>
    <n v="225.2338"/>
    <n v="163.8064"/>
    <n v="61.427399999999999"/>
    <m/>
    <m/>
    <m/>
    <m/>
    <m/>
    <m/>
    <m/>
    <s v="NP"/>
    <s v="AGRINALCAZAR"/>
    <s v="MAPFRE"/>
    <m/>
    <m/>
    <s v="COBRADO"/>
    <m/>
    <m/>
    <m/>
    <m/>
    <x v="84"/>
    <s v="JOAQUIN SALMERON PEREZ"/>
    <s v="PARTICULAR"/>
    <n v="30550"/>
    <x v="1"/>
  </r>
  <r>
    <m/>
    <m/>
    <x v="0"/>
    <x v="14"/>
    <x v="17"/>
    <d v="2026-01-15T00:00:00"/>
    <x v="0"/>
    <s v="AGROSEGURO"/>
    <n v="3747.89"/>
    <n v="412.26789999999994"/>
    <n v="299.83119999999997"/>
    <n v="112.43669999999999"/>
    <m/>
    <m/>
    <m/>
    <m/>
    <m/>
    <m/>
    <m/>
    <s v="NP"/>
    <s v="AGRINALCAZAR"/>
    <s v="MAPFRE"/>
    <m/>
    <m/>
    <s v="COBRADO"/>
    <m/>
    <m/>
    <m/>
    <m/>
    <x v="13"/>
    <s v="ISABEL GARCIA GARCIA"/>
    <s v="PARTICULAR"/>
    <n v="30550"/>
    <x v="1"/>
  </r>
  <r>
    <m/>
    <m/>
    <x v="0"/>
    <x v="108"/>
    <x v="17"/>
    <d v="2026-01-15T00:00:00"/>
    <x v="0"/>
    <s v="AGROSEGURO"/>
    <n v="2039.7"/>
    <n v="224.36700000000002"/>
    <n v="163.17600000000002"/>
    <n v="61.191000000000003"/>
    <m/>
    <m/>
    <m/>
    <m/>
    <m/>
    <m/>
    <m/>
    <s v="NP"/>
    <s v="AGRINALCAZAR"/>
    <s v="MAPFRE"/>
    <m/>
    <m/>
    <s v="COBRADO"/>
    <m/>
    <m/>
    <m/>
    <m/>
    <x v="85"/>
    <s v="MIGUEL ANGEL YEPES GUILLAMON"/>
    <s v="PARTICULAR"/>
    <n v="30540"/>
    <x v="1"/>
  </r>
  <r>
    <m/>
    <m/>
    <x v="0"/>
    <x v="109"/>
    <x v="17"/>
    <d v="2026-01-15T00:00:00"/>
    <x v="0"/>
    <s v="AGROSEGURO"/>
    <n v="40993.699999999997"/>
    <n v="4509.3069999999998"/>
    <n v="3279.4959999999996"/>
    <n v="1229.8109999999999"/>
    <m/>
    <m/>
    <m/>
    <m/>
    <m/>
    <m/>
    <m/>
    <s v="NP"/>
    <s v="AGRINALCAZAR"/>
    <s v="MAPFRE"/>
    <m/>
    <m/>
    <s v="COBRADO"/>
    <m/>
    <m/>
    <m/>
    <m/>
    <x v="86"/>
    <s v="MARIA SANDOVAL RUIZ"/>
    <s v="PARTICULAR"/>
    <n v="30530"/>
    <x v="1"/>
  </r>
  <r>
    <m/>
    <m/>
    <x v="0"/>
    <x v="110"/>
    <x v="17"/>
    <d v="2026-01-15T00:00:00"/>
    <x v="0"/>
    <s v="AGROSEGURO"/>
    <n v="8734.5"/>
    <n v="873.45"/>
    <n v="698.76"/>
    <n v="174.69"/>
    <m/>
    <m/>
    <m/>
    <m/>
    <m/>
    <m/>
    <m/>
    <s v="NP"/>
    <s v="AGRINALCAZAR"/>
    <s v="ALLIANZ"/>
    <m/>
    <m/>
    <s v="COBRADO"/>
    <m/>
    <m/>
    <m/>
    <m/>
    <x v="87"/>
    <s v="CRISTIAN SAORIN TORRES"/>
    <s v="PARTICULAR"/>
    <n v="30550"/>
    <x v="1"/>
  </r>
  <r>
    <m/>
    <m/>
    <x v="0"/>
    <x v="111"/>
    <x v="17"/>
    <d v="2026-01-15T00:00:00"/>
    <x v="0"/>
    <s v="AGROSEGURO"/>
    <n v="1038.47"/>
    <n v="62.308199999999999"/>
    <n v="41.538800000000002"/>
    <n v="20.769400000000001"/>
    <m/>
    <m/>
    <m/>
    <m/>
    <m/>
    <m/>
    <m/>
    <s v="NP"/>
    <s v="AGRINALCAZAR"/>
    <s v="OCCIDENT"/>
    <m/>
    <m/>
    <s v="COBRADO"/>
    <m/>
    <m/>
    <m/>
    <m/>
    <x v="1"/>
    <s v="FLORETTE MURCIA, S.L.U."/>
    <s v="EMPRESA"/>
    <n v="31320"/>
    <x v="1"/>
  </r>
  <r>
    <m/>
    <m/>
    <x v="0"/>
    <x v="112"/>
    <x v="17"/>
    <d v="2026-01-15T00:00:00"/>
    <x v="0"/>
    <s v="AGROSEGURO"/>
    <n v="1497.05"/>
    <n v="164.6755"/>
    <n v="119.764"/>
    <n v="44.911499999999997"/>
    <m/>
    <m/>
    <m/>
    <m/>
    <m/>
    <m/>
    <m/>
    <s v="NP"/>
    <s v="AGRINALCAZAR"/>
    <s v="MAPFRE"/>
    <m/>
    <m/>
    <s v="COBRADO"/>
    <m/>
    <m/>
    <m/>
    <m/>
    <x v="88"/>
    <s v="ISABEL PAGAN RAMIREZ"/>
    <s v="PARTICULAR"/>
    <n v="30550"/>
    <x v="1"/>
  </r>
  <r>
    <m/>
    <m/>
    <x v="0"/>
    <x v="113"/>
    <x v="17"/>
    <d v="2026-01-15T00:00:00"/>
    <x v="0"/>
    <s v="AGROSEGURO"/>
    <n v="1554.14"/>
    <n v="170.9554"/>
    <n v="124.33120000000001"/>
    <n v="46.624200000000002"/>
    <m/>
    <m/>
    <m/>
    <m/>
    <m/>
    <m/>
    <m/>
    <s v="NP"/>
    <s v="AGRINALCAZAR"/>
    <s v="MAPFRE"/>
    <m/>
    <m/>
    <s v="COBRADO"/>
    <m/>
    <m/>
    <m/>
    <m/>
    <x v="89"/>
    <s v="JUAN GONZALEZ PEREZ"/>
    <s v="PARTICULAR"/>
    <n v="30559"/>
    <x v="1"/>
  </r>
  <r>
    <m/>
    <m/>
    <x v="0"/>
    <x v="114"/>
    <x v="17"/>
    <d v="2026-01-15T00:00:00"/>
    <x v="0"/>
    <s v="AGROSEGURO"/>
    <n v="3422.54"/>
    <n v="383.32447999999999"/>
    <n v="280.64828"/>
    <n v="102.67619999999999"/>
    <m/>
    <m/>
    <m/>
    <m/>
    <m/>
    <m/>
    <m/>
    <s v="NP"/>
    <s v="AGRINALCAZAR"/>
    <s v="MAPFRE"/>
    <m/>
    <m/>
    <s v="COBRADO"/>
    <m/>
    <m/>
    <m/>
    <m/>
    <x v="90"/>
    <s v="MARIA MERCEDES GOMEZ CARRASCO"/>
    <s v="PARTICULAR"/>
    <n v="30550"/>
    <x v="1"/>
  </r>
  <r>
    <m/>
    <m/>
    <x v="0"/>
    <x v="115"/>
    <x v="17"/>
    <d v="2026-01-15T00:00:00"/>
    <x v="0"/>
    <s v="AGROSEGURO"/>
    <n v="4646.67"/>
    <n v="464.66700000000003"/>
    <n v="371.73360000000002"/>
    <n v="92.933400000000006"/>
    <m/>
    <m/>
    <m/>
    <m/>
    <m/>
    <m/>
    <m/>
    <s v="NP"/>
    <s v="AGRINALCAZAR"/>
    <s v="MAPFRE"/>
    <m/>
    <m/>
    <s v="COBRADO"/>
    <m/>
    <m/>
    <m/>
    <m/>
    <x v="91"/>
    <s v="JESUS POVEDA CASTAÑO"/>
    <s v="PARTICULAR"/>
    <n v="30550"/>
    <x v="1"/>
  </r>
  <r>
    <m/>
    <m/>
    <x v="0"/>
    <x v="116"/>
    <x v="17"/>
    <d v="2026-01-15T00:00:00"/>
    <x v="0"/>
    <s v="AGROSEGURO"/>
    <n v="16700.03"/>
    <n v="2004.0036"/>
    <n v="1670.0029999999999"/>
    <n v="334.00059999999996"/>
    <m/>
    <m/>
    <m/>
    <m/>
    <m/>
    <m/>
    <m/>
    <s v="NP"/>
    <s v="AGRINALCAZAR"/>
    <s v="ALLIANZ"/>
    <m/>
    <m/>
    <s v="COBRADO"/>
    <m/>
    <m/>
    <m/>
    <m/>
    <x v="92"/>
    <s v="AGUSTINA BASTIDA BALLESTER"/>
    <s v="PARTICULAR"/>
    <n v="30530"/>
    <x v="1"/>
  </r>
  <r>
    <m/>
    <m/>
    <x v="0"/>
    <x v="117"/>
    <x v="25"/>
    <d v="2026-01-16T00:00:00"/>
    <x v="0"/>
    <s v="AGROSEGURO"/>
    <n v="1601.39"/>
    <n v="160.13900000000001"/>
    <n v="128.1112"/>
    <n v="32.027799999999999"/>
    <m/>
    <m/>
    <m/>
    <m/>
    <m/>
    <m/>
    <m/>
    <s v="NP"/>
    <s v="AGRINALCAZAR"/>
    <s v="ALLIANZ"/>
    <m/>
    <m/>
    <s v="COBRADO"/>
    <m/>
    <m/>
    <m/>
    <m/>
    <x v="93"/>
    <s v="ENCARNACION CANO MELGAREJO"/>
    <s v="PARTICULAR"/>
    <n v="30559"/>
    <x v="1"/>
  </r>
  <r>
    <m/>
    <m/>
    <x v="0"/>
    <x v="118"/>
    <x v="25"/>
    <d v="2026-01-16T00:00:00"/>
    <x v="0"/>
    <s v="AGROSEGURO"/>
    <n v="2602.62"/>
    <n v="286.28819999999996"/>
    <n v="208.20959999999999"/>
    <n v="78.078599999999994"/>
    <m/>
    <m/>
    <m/>
    <m/>
    <m/>
    <m/>
    <m/>
    <s v="NP"/>
    <s v="AGRINALCAZAR"/>
    <s v="MAPFRE"/>
    <m/>
    <m/>
    <s v="COBRADO"/>
    <m/>
    <m/>
    <m/>
    <m/>
    <x v="94"/>
    <s v="ISABEL PAGAN RUIZ"/>
    <s v="PARTICULAR"/>
    <n v="30550"/>
    <x v="1"/>
  </r>
  <r>
    <m/>
    <m/>
    <x v="0"/>
    <x v="119"/>
    <x v="25"/>
    <d v="2026-01-16T00:00:00"/>
    <x v="0"/>
    <s v="AGROSEGURO"/>
    <n v="4071.75"/>
    <n v="447.89249999999998"/>
    <n v="325.74"/>
    <n v="122.15249999999999"/>
    <m/>
    <m/>
    <m/>
    <m/>
    <m/>
    <m/>
    <m/>
    <s v="NP"/>
    <s v="AGRINALCAZAR"/>
    <s v="MAPFRE"/>
    <m/>
    <m/>
    <s v="COBRADO"/>
    <m/>
    <m/>
    <m/>
    <m/>
    <x v="95"/>
    <s v="ANA MARIA TORRANO LOPEZ"/>
    <s v="PARTICULAR"/>
    <n v="30540"/>
    <x v="1"/>
  </r>
  <r>
    <m/>
    <m/>
    <x v="0"/>
    <x v="120"/>
    <x v="25"/>
    <d v="2026-01-16T00:00:00"/>
    <x v="0"/>
    <s v="AGROSEGURO"/>
    <n v="36711.69"/>
    <n v="3671.1690000000003"/>
    <n v="2936.9352000000003"/>
    <n v="734.23380000000009"/>
    <m/>
    <m/>
    <m/>
    <m/>
    <m/>
    <m/>
    <m/>
    <s v="NP"/>
    <s v="AGRINALCAZAR"/>
    <s v="ALLIANZ"/>
    <m/>
    <m/>
    <s v="COBRADO"/>
    <m/>
    <m/>
    <m/>
    <m/>
    <x v="96"/>
    <s v="FABIOLA AGRICOLA, S.L."/>
    <s v="EMPRESA"/>
    <n v="30550"/>
    <x v="1"/>
  </r>
  <r>
    <m/>
    <m/>
    <x v="0"/>
    <x v="121"/>
    <x v="25"/>
    <d v="2026-01-16T00:00:00"/>
    <x v="0"/>
    <s v="AGROSEGURO"/>
    <n v="6006.38"/>
    <n v="600.63800000000003"/>
    <n v="480.5104"/>
    <n v="120.1276"/>
    <m/>
    <m/>
    <m/>
    <m/>
    <m/>
    <m/>
    <m/>
    <s v="NP"/>
    <s v="AGRINALCAZAR"/>
    <s v="MAPFRE"/>
    <m/>
    <m/>
    <s v="COBRADO"/>
    <m/>
    <m/>
    <m/>
    <m/>
    <x v="97"/>
    <s v="JOSE Y JOAQUIN CANDEL BANEGAS C.B."/>
    <s v="EMPRESA"/>
    <n v="30550"/>
    <x v="1"/>
  </r>
  <r>
    <m/>
    <m/>
    <x v="0"/>
    <x v="122"/>
    <x v="25"/>
    <d v="2026-01-16T00:00:00"/>
    <x v="0"/>
    <s v="AGROSEGURO"/>
    <n v="21544.01"/>
    <n v="3877.9217999999996"/>
    <n v="3447.0415999999996"/>
    <n v="430.8802"/>
    <m/>
    <m/>
    <m/>
    <m/>
    <m/>
    <m/>
    <m/>
    <s v="NP"/>
    <s v="AGRINALCAZAR"/>
    <s v="ALLIANZ"/>
    <m/>
    <m/>
    <s v="COBRADO"/>
    <m/>
    <m/>
    <m/>
    <m/>
    <x v="98"/>
    <s v="BLANCA GROWERS SL"/>
    <s v="EMPRESA"/>
    <n v="30004"/>
    <x v="1"/>
  </r>
  <r>
    <m/>
    <m/>
    <x v="0"/>
    <x v="123"/>
    <x v="25"/>
    <d v="2026-01-16T00:00:00"/>
    <x v="0"/>
    <s v="AGROSEGURO"/>
    <n v="117611.95"/>
    <n v="16700.8969"/>
    <n v="14348.657899999998"/>
    <n v="2352.239"/>
    <m/>
    <m/>
    <m/>
    <m/>
    <m/>
    <m/>
    <m/>
    <s v="NP"/>
    <s v="AGRINALCAZAR"/>
    <s v="ALLIANZ"/>
    <m/>
    <m/>
    <s v="COBRADO"/>
    <m/>
    <m/>
    <m/>
    <m/>
    <x v="99"/>
    <s v="MURCIA GROWERS S.L."/>
    <s v="EMPRESA"/>
    <n v="30004"/>
    <x v="1"/>
  </r>
  <r>
    <m/>
    <m/>
    <x v="0"/>
    <x v="124"/>
    <x v="25"/>
    <d v="2026-01-16T00:00:00"/>
    <x v="0"/>
    <s v="AGROSEGURO"/>
    <n v="35049.86"/>
    <n v="3855.4845999999998"/>
    <n v="3154.4874"/>
    <n v="700.99720000000002"/>
    <m/>
    <m/>
    <m/>
    <m/>
    <m/>
    <m/>
    <m/>
    <s v="NP"/>
    <s v="AGRINALCAZAR"/>
    <s v="ALLIANZ"/>
    <m/>
    <m/>
    <s v="COBRADO"/>
    <m/>
    <m/>
    <m/>
    <m/>
    <x v="100"/>
    <s v="JOSE CANDEL BANEGAS"/>
    <s v="PARTICULAR"/>
    <n v="30550"/>
    <x v="1"/>
  </r>
  <r>
    <m/>
    <m/>
    <x v="0"/>
    <x v="125"/>
    <x v="25"/>
    <d v="2026-01-16T00:00:00"/>
    <x v="0"/>
    <s v="AGROSEGURO"/>
    <n v="7403.4"/>
    <n v="814.37399999999991"/>
    <n v="666.30599999999993"/>
    <n v="148.06799999999998"/>
    <m/>
    <m/>
    <m/>
    <m/>
    <m/>
    <m/>
    <m/>
    <s v="NP"/>
    <s v="AGRINALCAZAR"/>
    <s v="ALLIANZ"/>
    <m/>
    <m/>
    <s v="COBRADO"/>
    <m/>
    <m/>
    <m/>
    <m/>
    <x v="101"/>
    <s v="JOAQUIN CANDEL BANEGAS"/>
    <s v="PARTICULAR"/>
    <n v="30550"/>
    <x v="1"/>
  </r>
  <r>
    <m/>
    <m/>
    <x v="0"/>
    <x v="126"/>
    <x v="25"/>
    <d v="2026-01-16T00:00:00"/>
    <x v="0"/>
    <s v="AGROSEGURO"/>
    <n v="5950.49"/>
    <n v="1071.0881999999999"/>
    <n v="892.57349999999997"/>
    <n v="178.51469999999998"/>
    <m/>
    <m/>
    <m/>
    <m/>
    <m/>
    <m/>
    <m/>
    <s v="NP"/>
    <s v="AGRINALCAZAR"/>
    <s v="MAPFRE"/>
    <m/>
    <m/>
    <s v="COBRADO"/>
    <m/>
    <m/>
    <m/>
    <m/>
    <x v="102"/>
    <s v="ANTONIO FERNANADEZ GIMENEZ"/>
    <s v="PARTICULAR"/>
    <n v="30530"/>
    <x v="1"/>
  </r>
  <r>
    <m/>
    <m/>
    <x v="0"/>
    <x v="127"/>
    <x v="25"/>
    <d v="2026-01-16T00:00:00"/>
    <x v="0"/>
    <s v="AGROSEGURO"/>
    <n v="6216.2"/>
    <n v="683.78199999999993"/>
    <n v="497.29599999999999"/>
    <n v="186.48599999999999"/>
    <m/>
    <m/>
    <m/>
    <m/>
    <m/>
    <m/>
    <m/>
    <s v="NP"/>
    <s v="AGRINALCAZAR"/>
    <s v="MAPFRE"/>
    <m/>
    <m/>
    <s v="COBRADO"/>
    <m/>
    <m/>
    <m/>
    <m/>
    <x v="103"/>
    <s v="ANTONIO FERNANDEZ MARTINEZ"/>
    <s v="PARTICULAR"/>
    <n v="30530"/>
    <x v="1"/>
  </r>
  <r>
    <m/>
    <m/>
    <x v="0"/>
    <x v="128"/>
    <x v="25"/>
    <d v="2026-01-16T00:00:00"/>
    <x v="0"/>
    <s v="AGROSEGURO"/>
    <n v="9537.36"/>
    <n v="1049.1096000000002"/>
    <n v="762.98880000000008"/>
    <n v="286.12080000000003"/>
    <m/>
    <m/>
    <m/>
    <m/>
    <m/>
    <m/>
    <m/>
    <s v="NP"/>
    <s v="AGRINALCAZAR"/>
    <s v="MAPFRE"/>
    <m/>
    <m/>
    <s v="COBRADO"/>
    <m/>
    <m/>
    <m/>
    <m/>
    <x v="104"/>
    <s v="GEMA ROS LUCAS"/>
    <s v="PARTICULAR"/>
    <n v="30559"/>
    <x v="1"/>
  </r>
  <r>
    <m/>
    <m/>
    <x v="0"/>
    <x v="129"/>
    <x v="25"/>
    <d v="2026-01-16T00:00:00"/>
    <x v="0"/>
    <s v="AGROSEGURO"/>
    <n v="7019.51"/>
    <n v="1052.9265"/>
    <n v="842.34119999999996"/>
    <n v="210.58529999999999"/>
    <m/>
    <m/>
    <m/>
    <m/>
    <m/>
    <m/>
    <m/>
    <s v="NP"/>
    <s v="AGRINALCAZAR"/>
    <s v="MAPFRE"/>
    <m/>
    <m/>
    <s v="COBRADO"/>
    <m/>
    <m/>
    <m/>
    <m/>
    <x v="105"/>
    <s v="DOMINGO BALDUINO VAZQUEZ TORNERO"/>
    <s v="PARTICULAR"/>
    <n v="30550"/>
    <x v="1"/>
  </r>
  <r>
    <m/>
    <m/>
    <x v="0"/>
    <x v="130"/>
    <x v="25"/>
    <d v="2026-01-16T00:00:00"/>
    <x v="0"/>
    <s v="AGROSEGURO"/>
    <n v="29283.24"/>
    <n v="3221.1564000000003"/>
    <n v="2635.4916000000003"/>
    <n v="585.66480000000001"/>
    <m/>
    <m/>
    <m/>
    <m/>
    <m/>
    <m/>
    <m/>
    <s v="NP"/>
    <s v="AGRINALCAZAR"/>
    <s v="ALLIANZ"/>
    <m/>
    <m/>
    <s v="COBRADO"/>
    <m/>
    <m/>
    <m/>
    <m/>
    <x v="106"/>
    <s v="MARIA LUISA PEREZ MUIÑO"/>
    <s v="PARTICULAR"/>
    <n v="30400"/>
    <x v="1"/>
  </r>
  <r>
    <m/>
    <m/>
    <x v="0"/>
    <x v="131"/>
    <x v="25"/>
    <d v="2026-01-16T00:00:00"/>
    <x v="0"/>
    <s v="AGROSEGURO"/>
    <n v="23572.52"/>
    <n v="3064.4276"/>
    <n v="2357.252"/>
    <n v="707.17560000000003"/>
    <m/>
    <m/>
    <m/>
    <m/>
    <m/>
    <m/>
    <m/>
    <s v="NP"/>
    <s v="AGRINALCAZAR"/>
    <s v="MAPFRE"/>
    <m/>
    <m/>
    <s v="COBRADO"/>
    <m/>
    <m/>
    <m/>
    <m/>
    <x v="107"/>
    <s v="INNOVACIONES AGRONOMICAS, S.L."/>
    <s v="EMPRESA"/>
    <n v="30530"/>
    <x v="1"/>
  </r>
  <r>
    <m/>
    <m/>
    <x v="0"/>
    <x v="132"/>
    <x v="26"/>
    <d v="2026-01-19T00:00:00"/>
    <x v="0"/>
    <s v="AGROSEGURO"/>
    <n v="1612.25"/>
    <n v="177.3475"/>
    <n v="128.97999999999999"/>
    <n v="48.3675"/>
    <m/>
    <m/>
    <m/>
    <m/>
    <m/>
    <m/>
    <m/>
    <s v="NP"/>
    <s v="AGRINALCAZAR"/>
    <s v="MAPFRE"/>
    <m/>
    <m/>
    <s v="COBRADO"/>
    <m/>
    <m/>
    <m/>
    <m/>
    <x v="108"/>
    <s v="ANTONIO JOSE BANEGAS ESPAÑA"/>
    <s v="PARTICULAR"/>
    <n v="30550"/>
    <x v="1"/>
  </r>
  <r>
    <m/>
    <m/>
    <x v="0"/>
    <x v="133"/>
    <x v="26"/>
    <d v="2026-01-19T00:00:00"/>
    <x v="0"/>
    <s v="AGROSEGURO"/>
    <n v="2979.83"/>
    <n v="297.983"/>
    <n v="238.38639999999998"/>
    <n v="59.596600000000002"/>
    <m/>
    <m/>
    <m/>
    <m/>
    <m/>
    <m/>
    <m/>
    <s v="NP"/>
    <s v="AGRINALCAZAR"/>
    <s v="ALLIANZ"/>
    <m/>
    <m/>
    <s v="COBRADO"/>
    <m/>
    <m/>
    <m/>
    <m/>
    <x v="109"/>
    <s v="ANTONIO LOPEZ GARCIA"/>
    <s v="PARTICULAR"/>
    <n v="30550"/>
    <x v="1"/>
  </r>
  <r>
    <m/>
    <m/>
    <x v="0"/>
    <x v="134"/>
    <x v="26"/>
    <d v="2026-01-19T00:00:00"/>
    <x v="0"/>
    <s v="AGROSEGURO"/>
    <n v="34907.519999999997"/>
    <n v="3490.752"/>
    <n v="2792.6016"/>
    <n v="698.15039999999999"/>
    <m/>
    <m/>
    <m/>
    <m/>
    <m/>
    <m/>
    <m/>
    <s v="NP"/>
    <s v="AGRINALCAZAR"/>
    <s v="MAPFRE"/>
    <m/>
    <m/>
    <s v="COBRADO"/>
    <m/>
    <m/>
    <m/>
    <m/>
    <x v="110"/>
    <s v="JUAN BERMEJO ORTIZ"/>
    <s v="PARTICULAR"/>
    <n v="30530"/>
    <x v="1"/>
  </r>
  <r>
    <m/>
    <m/>
    <x v="0"/>
    <x v="135"/>
    <x v="26"/>
    <d v="2026-01-19T00:00:00"/>
    <x v="0"/>
    <s v="AGROSEGURO"/>
    <n v="16966.23"/>
    <n v="2035.9475999999997"/>
    <n v="1696.6229999999998"/>
    <n v="339.32459999999998"/>
    <m/>
    <m/>
    <m/>
    <m/>
    <m/>
    <m/>
    <m/>
    <s v="NP"/>
    <s v="AGRINALCAZAR"/>
    <s v="MAPFRE"/>
    <m/>
    <m/>
    <s v="COBRADO"/>
    <m/>
    <m/>
    <m/>
    <m/>
    <x v="111"/>
    <s v="ANTONIA ORTIZ MOLINA"/>
    <s v="PARTICULAR"/>
    <n v="30530"/>
    <x v="1"/>
  </r>
  <r>
    <m/>
    <m/>
    <x v="0"/>
    <x v="136"/>
    <x v="26"/>
    <d v="2026-01-19T00:00:00"/>
    <x v="0"/>
    <s v="AGROSEGURO"/>
    <n v="27124.11"/>
    <n v="2983.6520999999998"/>
    <n v="2441.1698999999999"/>
    <n v="542.48220000000003"/>
    <m/>
    <m/>
    <m/>
    <m/>
    <m/>
    <m/>
    <m/>
    <s v="NP"/>
    <s v="AGRINALCAZAR"/>
    <s v="ALLIANZ"/>
    <m/>
    <m/>
    <s v="COBRADO"/>
    <m/>
    <m/>
    <m/>
    <m/>
    <x v="112"/>
    <s v="ANTONIO COBARRO SANCHEZ"/>
    <s v="PARTICULAR"/>
    <n v="30530"/>
    <x v="1"/>
  </r>
  <r>
    <m/>
    <m/>
    <x v="0"/>
    <x v="137"/>
    <x v="26"/>
    <d v="2026-01-19T00:00:00"/>
    <x v="0"/>
    <s v="AGROSEGURO"/>
    <n v="649.4"/>
    <n v="84.421999999999997"/>
    <n v="71.433999999999997"/>
    <n v="12.988"/>
    <m/>
    <m/>
    <m/>
    <m/>
    <m/>
    <m/>
    <m/>
    <s v="NP"/>
    <s v="AGRINALCAZAR"/>
    <s v="ALLIANZ"/>
    <m/>
    <m/>
    <s v="COBRADO"/>
    <m/>
    <m/>
    <m/>
    <m/>
    <x v="113"/>
    <s v="Mª MONTSERRAT AROCA MORALES"/>
    <s v="PARTICULAR"/>
    <n v="30530"/>
    <x v="1"/>
  </r>
  <r>
    <m/>
    <m/>
    <x v="0"/>
    <x v="138"/>
    <x v="26"/>
    <d v="2026-01-19T00:00:00"/>
    <x v="0"/>
    <s v="AGROSEGURO"/>
    <n v="9562.25"/>
    <n v="1051.8475000000001"/>
    <n v="764.98"/>
    <n v="286.86750000000001"/>
    <m/>
    <m/>
    <m/>
    <m/>
    <m/>
    <m/>
    <m/>
    <s v="NP"/>
    <s v="AGRINALCAZAR"/>
    <s v="MAPFRE"/>
    <m/>
    <m/>
    <s v="COBRADO"/>
    <m/>
    <m/>
    <m/>
    <m/>
    <x v="114"/>
    <s v="NURIA CASTAÑO MORALES"/>
    <s v="PARTICULAR"/>
    <n v="30530"/>
    <x v="1"/>
  </r>
  <r>
    <m/>
    <m/>
    <x v="0"/>
    <x v="139"/>
    <x v="26"/>
    <d v="2026-01-19T00:00:00"/>
    <x v="0"/>
    <s v="AGROSEGURO"/>
    <n v="2368.91"/>
    <n v="307.95830000000001"/>
    <n v="236.89099999999999"/>
    <n v="71.067299999999989"/>
    <m/>
    <m/>
    <m/>
    <m/>
    <m/>
    <m/>
    <m/>
    <s v="NP"/>
    <s v="AGRINALCAZAR"/>
    <s v="MAPFRE"/>
    <m/>
    <m/>
    <s v="COBRADO"/>
    <m/>
    <m/>
    <m/>
    <m/>
    <x v="115"/>
    <s v="FRANCISCO JESUS CARRILLO LOZANO"/>
    <s v="PARTICULAR"/>
    <n v="30509"/>
    <x v="1"/>
  </r>
  <r>
    <m/>
    <m/>
    <x v="0"/>
    <x v="140"/>
    <x v="26"/>
    <d v="2026-01-19T00:00:00"/>
    <x v="0"/>
    <s v="AGROSEGURO"/>
    <n v="3923.14"/>
    <n v="313.85120000000001"/>
    <n v="235.38839999999999"/>
    <n v="78.462800000000001"/>
    <m/>
    <m/>
    <m/>
    <m/>
    <m/>
    <m/>
    <m/>
    <s v="NP"/>
    <s v="AGRINALCAZAR"/>
    <s v="OCCIDENT"/>
    <m/>
    <m/>
    <s v="COBRADO"/>
    <m/>
    <m/>
    <m/>
    <m/>
    <x v="116"/>
    <s v="CONSUELO CONTRERAS BELDA"/>
    <s v="PARTICULAR"/>
    <n v="30600"/>
    <x v="1"/>
  </r>
  <r>
    <m/>
    <m/>
    <x v="0"/>
    <x v="141"/>
    <x v="26"/>
    <d v="2026-01-19T00:00:00"/>
    <x v="0"/>
    <s v="AGROSEGURO"/>
    <n v="1330.16"/>
    <n v="146.3176"/>
    <n v="106.4128"/>
    <n v="39.904800000000002"/>
    <m/>
    <m/>
    <m/>
    <m/>
    <m/>
    <m/>
    <m/>
    <s v="NP"/>
    <s v="AGRINALCAZAR"/>
    <s v="MAPFRE"/>
    <m/>
    <m/>
    <s v="COBRADO"/>
    <m/>
    <m/>
    <m/>
    <m/>
    <x v="117"/>
    <s v="TRINIDAD CANDEL GOMEZ"/>
    <s v="PARTICULAR"/>
    <n v="30550"/>
    <x v="1"/>
  </r>
  <r>
    <m/>
    <m/>
    <x v="0"/>
    <x v="142"/>
    <x v="26"/>
    <d v="2026-01-19T00:00:00"/>
    <x v="0"/>
    <s v="AGROSEGURO"/>
    <n v="140908.57"/>
    <n v="11272.685600000001"/>
    <n v="8454.5141999999996"/>
    <n v="2818.1714000000002"/>
    <m/>
    <m/>
    <m/>
    <m/>
    <m/>
    <m/>
    <m/>
    <s v="NP"/>
    <s v="AGRINALCAZAR"/>
    <s v="ALLIANZ"/>
    <m/>
    <m/>
    <s v="COBRADO"/>
    <m/>
    <m/>
    <m/>
    <m/>
    <x v="118"/>
    <s v="FRUTAS SANCHEZ Y MARTINEZ S.L."/>
    <s v="EMPRESA"/>
    <n v="30420"/>
    <x v="1"/>
  </r>
  <r>
    <m/>
    <m/>
    <x v="0"/>
    <x v="143"/>
    <x v="26"/>
    <d v="2026-01-19T00:00:00"/>
    <x v="0"/>
    <s v="AGROSEGURO"/>
    <n v="86465.44"/>
    <n v="9511.1984000000011"/>
    <n v="6917.2352000000001"/>
    <n v="2593.9632000000001"/>
    <m/>
    <m/>
    <m/>
    <m/>
    <m/>
    <m/>
    <m/>
    <s v="NP"/>
    <s v="AGRINALCAZAR"/>
    <s v="MAPFRE"/>
    <m/>
    <m/>
    <s v="COBRADO"/>
    <m/>
    <m/>
    <m/>
    <m/>
    <x v="119"/>
    <s v="EL MAESTRICO, S.L."/>
    <s v="EMPRESA"/>
    <n v="30191"/>
    <x v="1"/>
  </r>
  <r>
    <m/>
    <m/>
    <x v="0"/>
    <x v="144"/>
    <x v="26"/>
    <d v="2026-01-19T00:00:00"/>
    <x v="0"/>
    <s v="AGROSEGURO"/>
    <n v="29087.4"/>
    <n v="2908.7400000000002"/>
    <n v="2326.9920000000002"/>
    <n v="581.74800000000005"/>
    <m/>
    <m/>
    <m/>
    <m/>
    <m/>
    <m/>
    <m/>
    <s v="NP"/>
    <s v="AGRINALCAZAR"/>
    <s v="ALLIANZ"/>
    <m/>
    <m/>
    <s v="COBRADO"/>
    <m/>
    <m/>
    <m/>
    <m/>
    <x v="120"/>
    <s v="SAT Nº9858 EL RULETE"/>
    <s v="EMPRESA"/>
    <n v="30550"/>
    <x v="1"/>
  </r>
  <r>
    <m/>
    <m/>
    <x v="0"/>
    <x v="145"/>
    <x v="26"/>
    <d v="2026-01-19T00:00:00"/>
    <x v="0"/>
    <s v="AGROSEGURO"/>
    <n v="22365.4"/>
    <n v="2907.5020000000004"/>
    <n v="2460.1940000000004"/>
    <n v="447.30800000000005"/>
    <m/>
    <m/>
    <m/>
    <m/>
    <m/>
    <m/>
    <m/>
    <s v="NP"/>
    <s v="AGRINALCAZAR"/>
    <s v="MAPFRE"/>
    <m/>
    <m/>
    <s v="COBRADO"/>
    <m/>
    <m/>
    <m/>
    <m/>
    <x v="121"/>
    <s v="EVA ISABEL ABALOS LUJAN"/>
    <s v="PARTICULAR"/>
    <n v="16350"/>
    <x v="1"/>
  </r>
  <r>
    <m/>
    <m/>
    <x v="0"/>
    <x v="146"/>
    <x v="26"/>
    <d v="2026-01-19T00:00:00"/>
    <x v="0"/>
    <s v="AGROSEGURO"/>
    <n v="105695.63"/>
    <n v="8455.6504000000004"/>
    <n v="6341.7377999999999"/>
    <n v="2113.9126000000001"/>
    <m/>
    <m/>
    <m/>
    <m/>
    <m/>
    <m/>
    <m/>
    <s v="NP"/>
    <s v="AGRINALCAZAR"/>
    <s v="ALLIANZ"/>
    <m/>
    <m/>
    <s v="COBRADO"/>
    <m/>
    <m/>
    <m/>
    <m/>
    <x v="122"/>
    <s v="AGRIPRIM, S.L."/>
    <s v="EMPRESA"/>
    <n v="30550"/>
    <x v="1"/>
  </r>
  <r>
    <m/>
    <m/>
    <x v="0"/>
    <x v="147"/>
    <x v="26"/>
    <d v="2026-01-19T00:00:00"/>
    <x v="0"/>
    <s v="AGROSEGURO"/>
    <n v="3517.01"/>
    <n v="316.53089999999997"/>
    <n v="211.0206"/>
    <n v="105.5103"/>
    <m/>
    <m/>
    <m/>
    <m/>
    <m/>
    <m/>
    <m/>
    <s v="NP"/>
    <s v="AGRINALCAZAR"/>
    <s v="MAPFRE"/>
    <m/>
    <m/>
    <s v="COBRADO"/>
    <m/>
    <m/>
    <m/>
    <m/>
    <x v="123"/>
    <s v="FRANCISCO PEREZ GIMENEZ"/>
    <s v="PARTICULAR"/>
    <n v="30530"/>
    <x v="1"/>
  </r>
  <r>
    <m/>
    <m/>
    <x v="0"/>
    <x v="148"/>
    <x v="26"/>
    <d v="2026-01-19T00:00:00"/>
    <x v="0"/>
    <s v="AGROSEGURO"/>
    <n v="114229.67"/>
    <n v="12736.608205"/>
    <n v="10452.014805000001"/>
    <n v="2284.5934000000002"/>
    <m/>
    <m/>
    <m/>
    <m/>
    <m/>
    <m/>
    <m/>
    <s v="NP"/>
    <s v="AGRINALCAZAR"/>
    <s v="ALLIANZ"/>
    <m/>
    <m/>
    <s v="COBRADO"/>
    <m/>
    <m/>
    <m/>
    <m/>
    <x v="124"/>
    <s v="AGRICOLA HNOS.LUCIA Y JOSE C.B."/>
    <s v="EMPRESA"/>
    <n v="30540"/>
    <x v="1"/>
  </r>
  <r>
    <m/>
    <m/>
    <x v="0"/>
    <x v="149"/>
    <x v="26"/>
    <d v="2026-01-19T00:00:00"/>
    <x v="0"/>
    <s v="AGROSEGURO"/>
    <n v="4241.3100000000004"/>
    <n v="466.54410000000007"/>
    <n v="339.30480000000006"/>
    <n v="127.23930000000001"/>
    <m/>
    <m/>
    <m/>
    <m/>
    <m/>
    <m/>
    <m/>
    <s v="NP"/>
    <s v="AGRINALCAZAR"/>
    <s v="MAPFRE"/>
    <m/>
    <m/>
    <s v="COBRADO"/>
    <m/>
    <m/>
    <m/>
    <m/>
    <x v="125"/>
    <s v="PEDRO JOSE MIRALLES MARTINEZ"/>
    <s v="PARTICULAR"/>
    <n v="30559"/>
    <x v="1"/>
  </r>
  <r>
    <m/>
    <m/>
    <x v="0"/>
    <x v="150"/>
    <x v="26"/>
    <d v="2026-01-19T00:00:00"/>
    <x v="0"/>
    <s v="AGROSEGURO"/>
    <n v="3709.96"/>
    <n v="408.09559999999999"/>
    <n v="296.79680000000002"/>
    <n v="111.2988"/>
    <m/>
    <m/>
    <m/>
    <m/>
    <m/>
    <m/>
    <m/>
    <s v="NP"/>
    <s v="AGRINALCAZAR"/>
    <s v="MAPFRE"/>
    <m/>
    <m/>
    <s v="COBRADO"/>
    <m/>
    <m/>
    <m/>
    <m/>
    <x v="126"/>
    <s v="MANUEL MIÑANO GUTIERREZ"/>
    <s v="PARTICULAR"/>
    <n v="30530"/>
    <x v="1"/>
  </r>
  <r>
    <m/>
    <m/>
    <x v="0"/>
    <x v="151"/>
    <x v="26"/>
    <d v="2026-01-19T00:00:00"/>
    <x v="0"/>
    <s v="AGROSEGURO"/>
    <n v="7355.54"/>
    <n v="809.10940000000005"/>
    <n v="588.44320000000005"/>
    <n v="220.6662"/>
    <m/>
    <m/>
    <m/>
    <m/>
    <m/>
    <m/>
    <m/>
    <s v="NP"/>
    <s v="AGRINALCAZAR"/>
    <s v="MAPFRE"/>
    <m/>
    <m/>
    <s v="COBRADO"/>
    <m/>
    <m/>
    <m/>
    <m/>
    <x v="127"/>
    <s v="JUAN ANGEL MARTINEZ ORTEGA"/>
    <s v="PARTICULAR"/>
    <n v="30540"/>
    <x v="1"/>
  </r>
  <r>
    <m/>
    <m/>
    <x v="0"/>
    <x v="152"/>
    <x v="26"/>
    <d v="2026-01-19T00:00:00"/>
    <x v="0"/>
    <s v="AGROSEGURO"/>
    <n v="6480.11"/>
    <n v="712.81209999999987"/>
    <n v="518.40879999999993"/>
    <n v="194.40329999999997"/>
    <m/>
    <m/>
    <m/>
    <m/>
    <m/>
    <m/>
    <m/>
    <s v="NP"/>
    <s v="AGRINALCAZAR"/>
    <s v="MAPFRE"/>
    <m/>
    <m/>
    <s v="COBRADO"/>
    <m/>
    <m/>
    <m/>
    <m/>
    <x v="128"/>
    <s v="RAQUEL FATIMA ABELLAN MARTINEZ"/>
    <s v="PARTICULAR"/>
    <n v="30550"/>
    <x v="1"/>
  </r>
  <r>
    <m/>
    <m/>
    <x v="0"/>
    <x v="153"/>
    <x v="26"/>
    <d v="2026-01-19T00:00:00"/>
    <x v="0"/>
    <s v="AGROSEGURO"/>
    <n v="58908.84"/>
    <n v="6479.9723999999997"/>
    <n v="5301.7955999999995"/>
    <n v="1178.1768"/>
    <m/>
    <m/>
    <m/>
    <m/>
    <m/>
    <m/>
    <m/>
    <s v="NP"/>
    <s v="AGRINALCAZAR"/>
    <s v="MAPFRE"/>
    <m/>
    <m/>
    <s v="COBRADO"/>
    <m/>
    <m/>
    <m/>
    <m/>
    <x v="129"/>
    <s v="OSAGON INVERSIONES S.L."/>
    <s v="EMPRESA"/>
    <n v="30530"/>
    <x v="1"/>
  </r>
  <r>
    <m/>
    <m/>
    <x v="0"/>
    <x v="154"/>
    <x v="26"/>
    <d v="2026-01-19T00:00:00"/>
    <x v="0"/>
    <s v="AGROSEGURO"/>
    <n v="1362.1"/>
    <n v="149.83099999999999"/>
    <n v="108.96799999999999"/>
    <n v="40.862999999999992"/>
    <m/>
    <m/>
    <m/>
    <m/>
    <m/>
    <m/>
    <m/>
    <s v="NP"/>
    <s v="AGRINALCAZAR"/>
    <s v="MAPFRE"/>
    <m/>
    <m/>
    <s v="COBRADO"/>
    <m/>
    <m/>
    <m/>
    <m/>
    <x v="130"/>
    <s v="OSCAR JESUS ABELLAN MARTINEZ"/>
    <s v="PARTICULAR"/>
    <n v="30550"/>
    <x v="1"/>
  </r>
  <r>
    <m/>
    <m/>
    <x v="0"/>
    <x v="155"/>
    <x v="26"/>
    <d v="2026-01-19T00:00:00"/>
    <x v="0"/>
    <s v="AGROSEGURO"/>
    <n v="3232.96"/>
    <n v="355.62559999999996"/>
    <n v="258.63679999999999"/>
    <n v="96.988799999999998"/>
    <m/>
    <m/>
    <m/>
    <m/>
    <m/>
    <m/>
    <m/>
    <s v="NP"/>
    <s v="AGRINALCAZAR"/>
    <s v="MAPFRE"/>
    <m/>
    <m/>
    <s v="COBRADO"/>
    <m/>
    <m/>
    <m/>
    <m/>
    <x v="131"/>
    <s v="GERMAN BRUNO ABELLAN MARTINEZ"/>
    <s v="PARTICULAR"/>
    <n v="30550"/>
    <x v="1"/>
  </r>
  <r>
    <m/>
    <m/>
    <x v="0"/>
    <x v="156"/>
    <x v="26"/>
    <d v="2026-01-19T00:00:00"/>
    <x v="0"/>
    <s v="AGROSEGURO"/>
    <n v="17036.43"/>
    <n v="1899.5619449999999"/>
    <n v="1558.833345"/>
    <n v="340.72860000000003"/>
    <m/>
    <m/>
    <m/>
    <m/>
    <m/>
    <m/>
    <m/>
    <s v="NP"/>
    <s v="AGRINALCAZAR"/>
    <s v="ALLIANZ"/>
    <m/>
    <m/>
    <s v="COBRADO"/>
    <m/>
    <m/>
    <m/>
    <m/>
    <x v="132"/>
    <s v="AUGUSTA TRADICIONAL, S.L."/>
    <s v="EMPRESA"/>
    <n v="30560"/>
    <x v="1"/>
  </r>
  <r>
    <m/>
    <m/>
    <x v="0"/>
    <x v="157"/>
    <x v="26"/>
    <d v="2026-01-19T00:00:00"/>
    <x v="0"/>
    <s v="AGROSEGURO"/>
    <n v="28517.65"/>
    <n v="3179.7179750000005"/>
    <n v="2609.3649750000004"/>
    <n v="570.35300000000007"/>
    <m/>
    <m/>
    <m/>
    <m/>
    <m/>
    <m/>
    <m/>
    <s v="NP"/>
    <s v="AGRINALCAZAR"/>
    <s v="ALLIANZ"/>
    <m/>
    <m/>
    <s v="COBRADO"/>
    <m/>
    <m/>
    <m/>
    <m/>
    <x v="133"/>
    <s v="AGROANYBIEM C.B."/>
    <s v="EMPRESA"/>
    <n v="30550"/>
    <x v="1"/>
  </r>
  <r>
    <m/>
    <m/>
    <x v="0"/>
    <x v="158"/>
    <x v="26"/>
    <d v="2026-01-19T00:00:00"/>
    <x v="0"/>
    <s v="AGROSEGURO"/>
    <n v="7462.48"/>
    <n v="671.6232"/>
    <n v="447.74879999999996"/>
    <n v="223.87439999999998"/>
    <m/>
    <m/>
    <m/>
    <m/>
    <m/>
    <m/>
    <m/>
    <s v="NP"/>
    <s v="AGRINALCAZAR"/>
    <s v="MAPFRE"/>
    <m/>
    <m/>
    <s v="COBRADO"/>
    <m/>
    <m/>
    <m/>
    <m/>
    <x v="134"/>
    <s v="OMAR JESUS GOMEZ MOLINA"/>
    <s v="PARTICULAR"/>
    <n v="30540"/>
    <x v="1"/>
  </r>
  <r>
    <m/>
    <m/>
    <x v="0"/>
    <x v="159"/>
    <x v="26"/>
    <d v="2026-01-19T00:00:00"/>
    <x v="0"/>
    <s v="AGROSEGURO"/>
    <n v="47745.29"/>
    <n v="4774.5290000000005"/>
    <n v="3819.6232"/>
    <n v="954.9058"/>
    <m/>
    <m/>
    <m/>
    <m/>
    <m/>
    <m/>
    <m/>
    <s v="NP"/>
    <s v="AGRINALCAZAR"/>
    <s v="ALLIANZ"/>
    <m/>
    <m/>
    <s v="COBRADO"/>
    <m/>
    <m/>
    <m/>
    <m/>
    <x v="135"/>
    <s v="SAT VERGEL BLANCA Nº 7996"/>
    <s v="EMPRESA"/>
    <n v="30550"/>
    <x v="1"/>
  </r>
  <r>
    <m/>
    <m/>
    <x v="0"/>
    <x v="160"/>
    <x v="26"/>
    <d v="2026-01-19T00:00:00"/>
    <x v="0"/>
    <s v="AGROSEGURO"/>
    <n v="42864.59"/>
    <n v="4286.4589999999998"/>
    <n v="3429.1671999999999"/>
    <n v="857.29179999999997"/>
    <m/>
    <m/>
    <m/>
    <m/>
    <m/>
    <m/>
    <m/>
    <s v="NP"/>
    <s v="AGRINALCAZAR"/>
    <s v="ALLIANZ"/>
    <m/>
    <m/>
    <s v="COBRADO"/>
    <m/>
    <m/>
    <m/>
    <m/>
    <x v="136"/>
    <s v="ANDRES BASTIDA MOLINA"/>
    <s v="PARTICULAR"/>
    <n v="30550"/>
    <x v="1"/>
  </r>
  <r>
    <m/>
    <m/>
    <x v="0"/>
    <x v="161"/>
    <x v="26"/>
    <d v="2026-01-19T00:00:00"/>
    <x v="0"/>
    <s v="AGROSEGURO"/>
    <n v="2698.65"/>
    <n v="323.83800000000002"/>
    <n v="242.87850000000003"/>
    <n v="80.959500000000006"/>
    <m/>
    <m/>
    <m/>
    <m/>
    <m/>
    <m/>
    <m/>
    <s v="NP"/>
    <s v="AGRINALCAZAR"/>
    <s v="MAPFRE"/>
    <m/>
    <m/>
    <s v="COBRADO"/>
    <m/>
    <m/>
    <m/>
    <m/>
    <x v="137"/>
    <s v="CRISTINA LUCAS RUBIO"/>
    <s v="PARTICULAR"/>
    <n v="30530"/>
    <x v="1"/>
  </r>
  <r>
    <m/>
    <m/>
    <x v="0"/>
    <x v="162"/>
    <x v="27"/>
    <d v="2026-01-20T00:00:00"/>
    <x v="0"/>
    <s v="AGROSEGURO"/>
    <n v="29272.98"/>
    <n v="2634.5682000000002"/>
    <n v="2049.1086"/>
    <n v="585.45960000000002"/>
    <m/>
    <m/>
    <m/>
    <m/>
    <m/>
    <m/>
    <m/>
    <s v="NP"/>
    <s v="AGRINALCAZAR"/>
    <s v="ALLIANZ"/>
    <m/>
    <m/>
    <s v="COBRADO"/>
    <m/>
    <m/>
    <m/>
    <m/>
    <x v="138"/>
    <s v="OLIVARICAS XXI S.L."/>
    <s v="EMPRESA"/>
    <n v="28043"/>
    <x v="1"/>
  </r>
  <r>
    <m/>
    <m/>
    <x v="0"/>
    <x v="163"/>
    <x v="27"/>
    <d v="2026-01-20T00:00:00"/>
    <x v="0"/>
    <s v="AGROSEGURO"/>
    <n v="3667.07"/>
    <n v="440.04840000000002"/>
    <n v="330.03630000000004"/>
    <n v="110.0121"/>
    <m/>
    <m/>
    <m/>
    <m/>
    <m/>
    <m/>
    <m/>
    <s v="NP"/>
    <s v="AGRINALCAZAR"/>
    <s v="MAPFRE"/>
    <m/>
    <m/>
    <s v="COBRADO"/>
    <m/>
    <m/>
    <m/>
    <m/>
    <x v="139"/>
    <s v="ANA MARIA CARRILLO BELMONTE"/>
    <s v="PARTICULAR"/>
    <n v="30559"/>
    <x v="1"/>
  </r>
  <r>
    <m/>
    <m/>
    <x v="0"/>
    <x v="164"/>
    <x v="27"/>
    <d v="2026-01-20T00:00:00"/>
    <x v="0"/>
    <s v="AGROSEGURO"/>
    <n v="2550.27"/>
    <n v="255.02700000000002"/>
    <n v="204.02160000000001"/>
    <n v="51.005400000000002"/>
    <m/>
    <m/>
    <m/>
    <m/>
    <m/>
    <m/>
    <m/>
    <s v="NP"/>
    <s v="AGRINALCAZAR"/>
    <s v="MAPFRE"/>
    <m/>
    <m/>
    <s v="COBRADO"/>
    <m/>
    <m/>
    <m/>
    <m/>
    <x v="140"/>
    <s v="JOAQUIN GUILLEN GOMEZ"/>
    <s v="PARTICULAR"/>
    <n v="30609"/>
    <x v="1"/>
  </r>
  <r>
    <m/>
    <m/>
    <x v="0"/>
    <x v="165"/>
    <x v="27"/>
    <d v="2026-01-20T00:00:00"/>
    <x v="0"/>
    <s v="AGROSEGURO"/>
    <n v="1897.24"/>
    <n v="227.6688"/>
    <n v="170.7516"/>
    <n v="56.917200000000001"/>
    <m/>
    <m/>
    <m/>
    <m/>
    <m/>
    <m/>
    <m/>
    <s v="NP"/>
    <s v="AGRINALCAZAR"/>
    <s v="MAPFRE"/>
    <m/>
    <m/>
    <s v="COBRADO"/>
    <m/>
    <m/>
    <m/>
    <m/>
    <x v="141"/>
    <s v="JOSE MARIA MORA LOZANO"/>
    <s v="PARTICULAR"/>
    <n v="30559"/>
    <x v="1"/>
  </r>
  <r>
    <m/>
    <m/>
    <x v="0"/>
    <x v="166"/>
    <x v="27"/>
    <d v="2026-01-20T00:00:00"/>
    <x v="0"/>
    <s v="AGROSEGURO"/>
    <n v="16008.48"/>
    <n v="1600.848"/>
    <n v="1280.6784"/>
    <n v="320.1696"/>
    <m/>
    <m/>
    <m/>
    <m/>
    <m/>
    <m/>
    <m/>
    <s v="NP"/>
    <s v="AGRINALCAZAR"/>
    <s v="MAPFRE"/>
    <m/>
    <m/>
    <s v="COBRADO"/>
    <m/>
    <m/>
    <m/>
    <m/>
    <x v="142"/>
    <s v="FRANCISCO DÍAZ LOZANO"/>
    <s v="PARTICULAR"/>
    <n v="30500"/>
    <x v="1"/>
  </r>
  <r>
    <m/>
    <m/>
    <x v="0"/>
    <x v="167"/>
    <x v="27"/>
    <d v="2026-01-20T00:00:00"/>
    <x v="0"/>
    <s v="AGROSEGURO"/>
    <n v="769589.92"/>
    <n v="138526.1856"/>
    <n v="115438.488"/>
    <n v="23087.6976"/>
    <m/>
    <m/>
    <m/>
    <n v="130830.2956"/>
    <m/>
    <m/>
    <m/>
    <s v="NP"/>
    <s v="AGRINALCAZAR"/>
    <s v="MAPFRE"/>
    <m/>
    <m/>
    <s v="COBRADO"/>
    <m/>
    <m/>
    <m/>
    <m/>
    <x v="143"/>
    <s v="AGRICULTURA DOLORES"/>
    <s v="EMPRESA"/>
    <n v="30840"/>
    <x v="1"/>
  </r>
  <r>
    <m/>
    <m/>
    <x v="0"/>
    <x v="168"/>
    <x v="27"/>
    <d v="2026-01-20T00:00:00"/>
    <x v="0"/>
    <s v="AGROSEGURO"/>
    <n v="287104.96000000002"/>
    <n v="66034.140800000008"/>
    <n v="57420.992000000006"/>
    <n v="8613.1488000000008"/>
    <m/>
    <m/>
    <m/>
    <n v="63163.090800000005"/>
    <m/>
    <m/>
    <m/>
    <s v="NP"/>
    <s v="AGRINALCAZAR"/>
    <s v="MAPFRE"/>
    <m/>
    <m/>
    <s v="COBRADO"/>
    <m/>
    <m/>
    <m/>
    <m/>
    <x v="144"/>
    <s v="AGROFRUITS LEVANTE"/>
    <s v="EMPRESA"/>
    <n v="30840"/>
    <x v="1"/>
  </r>
  <r>
    <m/>
    <m/>
    <x v="0"/>
    <x v="169"/>
    <x v="27"/>
    <d v="2026-01-20T00:00:00"/>
    <x v="0"/>
    <s v="AGROSEGURO"/>
    <n v="1494124.27"/>
    <n v="44823.7281"/>
    <n v="0"/>
    <n v="44823.7281"/>
    <m/>
    <m/>
    <m/>
    <n v="29882.488100000002"/>
    <m/>
    <m/>
    <m/>
    <s v="NP"/>
    <s v="AGRINALCAZAR"/>
    <s v="MAPFRE"/>
    <m/>
    <m/>
    <s v="COBRADO"/>
    <m/>
    <m/>
    <m/>
    <m/>
    <x v="145"/>
    <s v="AGRICOLA CIRVA "/>
    <s v="EMPRESA"/>
    <n v="30840"/>
    <x v="1"/>
  </r>
  <r>
    <m/>
    <m/>
    <x v="0"/>
    <x v="170"/>
    <x v="27"/>
    <d v="2026-01-20T00:00:00"/>
    <x v="0"/>
    <s v="AGROSEGURO"/>
    <n v="19654.61"/>
    <n v="2358.5532000000003"/>
    <n v="1965.461"/>
    <n v="393.09220000000005"/>
    <m/>
    <m/>
    <m/>
    <m/>
    <m/>
    <m/>
    <m/>
    <s v="NP"/>
    <s v="AGRINALCAZAR"/>
    <s v="ALLIANZ"/>
    <m/>
    <m/>
    <s v="COBRADO"/>
    <m/>
    <m/>
    <m/>
    <m/>
    <x v="146"/>
    <s v="ALONSO DIAZ PIÑERO"/>
    <s v="PARTICULAR"/>
    <n v="30627"/>
    <x v="1"/>
  </r>
  <r>
    <m/>
    <m/>
    <x v="0"/>
    <x v="171"/>
    <x v="27"/>
    <d v="2026-01-20T00:00:00"/>
    <x v="0"/>
    <s v="AGROSEGURO"/>
    <n v="97031.51"/>
    <n v="2910.9452999999999"/>
    <n v="0"/>
    <n v="2910.9452999999999"/>
    <m/>
    <m/>
    <m/>
    <n v="1940.6352999999999"/>
    <m/>
    <m/>
    <m/>
    <s v="NP"/>
    <s v="AGRINALCAZAR"/>
    <s v="MAPFRE"/>
    <m/>
    <m/>
    <s v="COBRADO"/>
    <m/>
    <m/>
    <m/>
    <m/>
    <x v="147"/>
    <s v="AG GRAPES"/>
    <s v="EMPRESA"/>
    <n v="30840"/>
    <x v="1"/>
  </r>
  <r>
    <m/>
    <m/>
    <x v="0"/>
    <x v="172"/>
    <x v="27"/>
    <d v="2026-01-20T00:00:00"/>
    <x v="0"/>
    <s v="AGROSEGURO"/>
    <n v="341197.96"/>
    <n v="75063.551200000002"/>
    <n v="64827.612400000005"/>
    <n v="10235.9388"/>
    <m/>
    <m/>
    <m/>
    <n v="71651.581200000001"/>
    <m/>
    <m/>
    <m/>
    <s v="NP"/>
    <s v="AGRINALCAZAR"/>
    <s v="MAPFRE"/>
    <m/>
    <m/>
    <s v="COBRADO"/>
    <m/>
    <m/>
    <m/>
    <m/>
    <x v="144"/>
    <s v="AGROFUITS LEVANTE"/>
    <s v="EMPRESA"/>
    <n v="30840"/>
    <x v="1"/>
  </r>
  <r>
    <m/>
    <m/>
    <x v="0"/>
    <x v="173"/>
    <x v="27"/>
    <d v="2026-01-20T00:00:00"/>
    <x v="0"/>
    <s v="AGROSEGURO"/>
    <n v="31482.23"/>
    <n v="3463.0452999999998"/>
    <n v="2518.5783999999999"/>
    <n v="944.4668999999999"/>
    <m/>
    <m/>
    <m/>
    <n v="3148.2252999999996"/>
    <m/>
    <m/>
    <m/>
    <s v="NP"/>
    <s v="AGRINALCAZAR"/>
    <s v="MAPFRE"/>
    <m/>
    <m/>
    <s v="COBRADO"/>
    <m/>
    <m/>
    <m/>
    <m/>
    <x v="148"/>
    <s v="AGROCIRUELO"/>
    <s v="EMPRESA"/>
    <n v="30840"/>
    <x v="1"/>
  </r>
  <r>
    <m/>
    <m/>
    <x v="0"/>
    <x v="174"/>
    <x v="15"/>
    <d v="2026-01-22T00:00:00"/>
    <x v="0"/>
    <s v="AGROSEGURO"/>
    <n v="5321.27"/>
    <n v="585.33969999999999"/>
    <n v="425.70160000000004"/>
    <n v="159.63810000000001"/>
    <m/>
    <m/>
    <m/>
    <m/>
    <m/>
    <m/>
    <m/>
    <s v="NP"/>
    <s v="AGRINALCAZAR"/>
    <s v="MAPFRE"/>
    <m/>
    <m/>
    <s v="COBRADO"/>
    <m/>
    <m/>
    <m/>
    <m/>
    <x v="149"/>
    <s v="ELISA MARTINEZ TORRES"/>
    <s v="PARTICULAR"/>
    <n v="30550"/>
    <x v="1"/>
  </r>
  <r>
    <m/>
    <m/>
    <x v="0"/>
    <x v="175"/>
    <x v="15"/>
    <d v="2026-01-22T00:00:00"/>
    <x v="0"/>
    <s v="AGROSEGURO"/>
    <n v="9046.2900000000009"/>
    <n v="633.24030000000005"/>
    <n v="361.85160000000002"/>
    <n v="271.38870000000003"/>
    <m/>
    <m/>
    <m/>
    <m/>
    <m/>
    <m/>
    <m/>
    <s v="NP"/>
    <s v="AGRINALCAZAR"/>
    <s v="MAPFRE"/>
    <m/>
    <m/>
    <s v="COBRADO"/>
    <m/>
    <m/>
    <m/>
    <m/>
    <x v="150"/>
    <s v="CARMEN BRACOT CARRASCO"/>
    <s v="PARTICULAR"/>
    <n v="31180"/>
    <x v="1"/>
  </r>
  <r>
    <m/>
    <m/>
    <x v="0"/>
    <x v="176"/>
    <x v="15"/>
    <d v="2026-01-22T00:00:00"/>
    <x v="0"/>
    <s v="AGROSEGURO"/>
    <n v="8386.11"/>
    <n v="587.0277000000001"/>
    <n v="419.30550000000005"/>
    <n v="167.72220000000002"/>
    <m/>
    <m/>
    <m/>
    <m/>
    <m/>
    <m/>
    <m/>
    <s v="NP"/>
    <s v="AGRINALCAZAR"/>
    <s v="ALLIANZ"/>
    <m/>
    <m/>
    <s v="COBRADO"/>
    <m/>
    <m/>
    <m/>
    <m/>
    <x v="151"/>
    <s v="ANTONIO TURPIN LUCAS"/>
    <s v="PARTICULAR"/>
    <n v="30550"/>
    <x v="1"/>
  </r>
  <r>
    <m/>
    <m/>
    <x v="0"/>
    <x v="177"/>
    <x v="15"/>
    <d v="2026-01-22T00:00:00"/>
    <x v="0"/>
    <s v="AGROSEGURO"/>
    <n v="39246.47"/>
    <n v="3139.7175999999999"/>
    <n v="2354.7882"/>
    <n v="784.92939999999999"/>
    <m/>
    <m/>
    <m/>
    <m/>
    <m/>
    <m/>
    <m/>
    <s v="NP"/>
    <s v="AGRINALCAZAR"/>
    <s v="ALLIANZ"/>
    <m/>
    <m/>
    <s v="COBRADO"/>
    <m/>
    <m/>
    <m/>
    <m/>
    <x v="152"/>
    <s v="OSCAR MARTINEZ, S.L."/>
    <s v="EMPRESA"/>
    <n v="30550"/>
    <x v="1"/>
  </r>
  <r>
    <m/>
    <m/>
    <x v="0"/>
    <x v="178"/>
    <x v="15"/>
    <d v="2026-01-22T00:00:00"/>
    <x v="0"/>
    <s v="AGROSEGURO"/>
    <n v="60628.32"/>
    <n v="7275.3983999999991"/>
    <n v="6062.8319999999994"/>
    <n v="1212.5663999999999"/>
    <m/>
    <m/>
    <m/>
    <m/>
    <m/>
    <m/>
    <m/>
    <s v="NP"/>
    <s v="AGRINALCAZAR"/>
    <s v="MAPFRE"/>
    <m/>
    <m/>
    <s v="COBRADO"/>
    <m/>
    <m/>
    <m/>
    <m/>
    <x v="153"/>
    <s v="FRANCISCO LOPEZ HITA"/>
    <s v="PARTICULAR"/>
    <n v="30550"/>
    <x v="1"/>
  </r>
  <r>
    <m/>
    <m/>
    <x v="0"/>
    <x v="179"/>
    <x v="15"/>
    <d v="2026-01-22T00:00:00"/>
    <x v="0"/>
    <s v="AGROSEGURO"/>
    <n v="48204.32"/>
    <n v="4820.4319999999998"/>
    <n v="3856.3456000000001"/>
    <n v="964.08640000000003"/>
    <m/>
    <m/>
    <m/>
    <m/>
    <m/>
    <m/>
    <m/>
    <s v="NP"/>
    <s v="AGRINALCAZAR"/>
    <s v="MAPFRE"/>
    <m/>
    <m/>
    <s v="COBRADO"/>
    <m/>
    <m/>
    <m/>
    <m/>
    <x v="154"/>
    <s v="SAT 8518 LOS MELGOS"/>
    <s v="EMPRESA"/>
    <n v="30559"/>
    <x v="1"/>
  </r>
  <r>
    <m/>
    <m/>
    <x v="0"/>
    <x v="180"/>
    <x v="15"/>
    <d v="2026-01-22T00:00:00"/>
    <x v="0"/>
    <s v="AGROSEGURO"/>
    <n v="23380.69"/>
    <n v="2338.069"/>
    <n v="1870.4551999999999"/>
    <n v="467.61379999999997"/>
    <m/>
    <m/>
    <m/>
    <m/>
    <m/>
    <m/>
    <m/>
    <s v="NP"/>
    <s v="AGRINALCAZAR"/>
    <s v="MAPFRE"/>
    <m/>
    <m/>
    <s v="COBRADO"/>
    <m/>
    <m/>
    <m/>
    <m/>
    <x v="155"/>
    <s v="JOSE LOPEZ HITA"/>
    <s v="PARTICULAR"/>
    <n v="30550"/>
    <x v="1"/>
  </r>
  <r>
    <m/>
    <m/>
    <x v="0"/>
    <x v="181"/>
    <x v="15"/>
    <d v="2026-01-22T00:00:00"/>
    <x v="0"/>
    <s v="AGROSEGURO"/>
    <n v="33394.769999999997"/>
    <n v="3339.4769999999994"/>
    <n v="2671.5815999999995"/>
    <n v="667.8954"/>
    <m/>
    <m/>
    <m/>
    <m/>
    <m/>
    <m/>
    <m/>
    <s v="NP"/>
    <s v="AGRINALCAZAR"/>
    <s v="MAPFRE"/>
    <m/>
    <m/>
    <s v="COBRADO"/>
    <m/>
    <m/>
    <m/>
    <m/>
    <x v="156"/>
    <s v="SANTIAGO LOPEZ HITA"/>
    <s v="PARTICULAR"/>
    <n v="30550"/>
    <x v="1"/>
  </r>
  <r>
    <m/>
    <m/>
    <x v="0"/>
    <x v="182"/>
    <x v="15"/>
    <d v="2026-01-22T00:00:00"/>
    <x v="0"/>
    <s v="AGROSEGURO"/>
    <n v="53763.05"/>
    <n v="8602.0880000000016"/>
    <n v="7526.8270000000011"/>
    <n v="1075.261"/>
    <m/>
    <m/>
    <m/>
    <m/>
    <m/>
    <m/>
    <m/>
    <s v="NP"/>
    <s v="AGRINALCAZAR"/>
    <s v="MAPFRE"/>
    <m/>
    <m/>
    <s v="COBRADO"/>
    <m/>
    <m/>
    <m/>
    <m/>
    <x v="157"/>
    <s v="CATALINA LÓPEZ HITA"/>
    <s v="PARTICULAR"/>
    <n v="30550"/>
    <x v="1"/>
  </r>
  <r>
    <m/>
    <m/>
    <x v="0"/>
    <x v="183"/>
    <x v="15"/>
    <d v="2026-01-22T00:00:00"/>
    <x v="0"/>
    <s v="AGROSEGURO"/>
    <n v="9713.36"/>
    <n v="1554.1376"/>
    <n v="1359.8704"/>
    <n v="194.2672"/>
    <m/>
    <m/>
    <m/>
    <m/>
    <m/>
    <m/>
    <m/>
    <s v="NP"/>
    <s v="AGRINALCAZAR"/>
    <s v="MAPFRE"/>
    <m/>
    <m/>
    <s v="COBRADO"/>
    <m/>
    <m/>
    <m/>
    <m/>
    <x v="158"/>
    <s v="INVERSIONES Y CONST. PARRALERO E HIJOS S.L."/>
    <s v="EMPRESA"/>
    <n v="30550"/>
    <x v="1"/>
  </r>
  <r>
    <m/>
    <m/>
    <x v="0"/>
    <x v="184"/>
    <x v="15"/>
    <d v="2026-01-22T00:00:00"/>
    <x v="0"/>
    <s v="AGROSEGURO"/>
    <n v="12205.62"/>
    <n v="1220.5620000000001"/>
    <n v="976.44960000000003"/>
    <n v="244.11240000000001"/>
    <m/>
    <m/>
    <m/>
    <m/>
    <m/>
    <m/>
    <m/>
    <s v="NP"/>
    <s v="AGRINALCAZAR"/>
    <s v="MAPFRE"/>
    <m/>
    <m/>
    <s v="COBRADO"/>
    <m/>
    <m/>
    <m/>
    <m/>
    <x v="159"/>
    <s v="JOSE ANTONIO MEDRANO MORTE"/>
    <s v="PARTICULAR"/>
    <n v="30550"/>
    <x v="1"/>
  </r>
  <r>
    <m/>
    <m/>
    <x v="0"/>
    <x v="185"/>
    <x v="15"/>
    <d v="2026-01-22T00:00:00"/>
    <x v="0"/>
    <s v="AGROSEGURO"/>
    <n v="22151.33"/>
    <n v="2768.9162500000002"/>
    <n v="2325.8896500000001"/>
    <n v="443.02660000000003"/>
    <m/>
    <m/>
    <m/>
    <m/>
    <m/>
    <m/>
    <m/>
    <s v="NP"/>
    <s v="AGRINALCAZAR"/>
    <s v="MAPFRE"/>
    <m/>
    <m/>
    <s v="COBRADO"/>
    <m/>
    <m/>
    <m/>
    <m/>
    <x v="160"/>
    <s v="PROFRUMUR S.L."/>
    <s v="EMPRESA"/>
    <n v="30550"/>
    <x v="1"/>
  </r>
  <r>
    <m/>
    <m/>
    <x v="0"/>
    <x v="186"/>
    <x v="15"/>
    <d v="2026-01-22T00:00:00"/>
    <x v="0"/>
    <s v="AGROSEGURO"/>
    <n v="2950.41"/>
    <n v="295.041"/>
    <n v="236.03279999999998"/>
    <n v="59.008199999999995"/>
    <m/>
    <m/>
    <m/>
    <m/>
    <m/>
    <m/>
    <m/>
    <s v="NP"/>
    <s v="AGRINALCAZAR"/>
    <s v="MAPFRE"/>
    <m/>
    <m/>
    <s v="COBRADO"/>
    <m/>
    <m/>
    <m/>
    <m/>
    <x v="161"/>
    <s v="ALICIA MARIANA FRUTOS FRANCO"/>
    <s v="PARTICULAR"/>
    <n v="30110"/>
    <x v="1"/>
  </r>
  <r>
    <m/>
    <m/>
    <x v="0"/>
    <x v="187"/>
    <x v="15"/>
    <d v="2026-01-22T00:00:00"/>
    <x v="0"/>
    <s v="AGROSEGURO"/>
    <n v="46016"/>
    <n v="5061.76"/>
    <n v="3681.28"/>
    <n v="1380.48"/>
    <m/>
    <m/>
    <m/>
    <m/>
    <m/>
    <m/>
    <m/>
    <s v="NP"/>
    <s v="AGRINALCAZAR"/>
    <s v="MAPFRE"/>
    <m/>
    <m/>
    <s v="COBRADO"/>
    <m/>
    <m/>
    <m/>
    <m/>
    <x v="162"/>
    <s v="ALMOND AGRI"/>
    <s v="EMPRESA"/>
    <n v="30170"/>
    <x v="1"/>
  </r>
  <r>
    <m/>
    <m/>
    <x v="0"/>
    <x v="188"/>
    <x v="15"/>
    <d v="2026-01-22T00:00:00"/>
    <x v="0"/>
    <s v="AGROSEGURO"/>
    <n v="43663.32"/>
    <n v="5239.5983999999999"/>
    <n v="3929.6988000000001"/>
    <n v="1309.8996"/>
    <m/>
    <m/>
    <m/>
    <m/>
    <m/>
    <m/>
    <m/>
    <s v="NP"/>
    <s v="AGRINALCAZAR"/>
    <s v="ALLIANZ"/>
    <m/>
    <m/>
    <s v="COBRADO"/>
    <m/>
    <m/>
    <m/>
    <m/>
    <x v="163"/>
    <s v="AGRICOLA TURPIN MARIN, CB"/>
    <s v="EMPRESA"/>
    <n v="30550"/>
    <x v="1"/>
  </r>
  <r>
    <m/>
    <m/>
    <x v="0"/>
    <x v="189"/>
    <x v="28"/>
    <d v="2026-01-23T00:00:00"/>
    <x v="0"/>
    <s v="AGROSEGURO"/>
    <n v="6881.37"/>
    <n v="756.95069999999998"/>
    <n v="550.50959999999998"/>
    <n v="206.44109999999998"/>
    <m/>
    <m/>
    <m/>
    <m/>
    <m/>
    <m/>
    <m/>
    <s v="NP"/>
    <s v="AGRINALCAZAR"/>
    <s v="MAPFRE"/>
    <m/>
    <m/>
    <s v="COBRADO"/>
    <m/>
    <m/>
    <m/>
    <m/>
    <x v="164"/>
    <s v="RASSA URBONAVICIUTE"/>
    <s v="PARTICULAR"/>
    <n v="30877"/>
    <x v="1"/>
  </r>
  <r>
    <m/>
    <m/>
    <x v="0"/>
    <x v="190"/>
    <x v="28"/>
    <d v="2026-01-23T00:00:00"/>
    <x v="0"/>
    <s v="AGROSEGURO"/>
    <n v="9003.65"/>
    <n v="990.40149999999994"/>
    <n v="720.29199999999992"/>
    <n v="270.10949999999997"/>
    <m/>
    <m/>
    <m/>
    <m/>
    <m/>
    <m/>
    <m/>
    <s v="NP"/>
    <s v="AGRINALCAZAR"/>
    <s v="MAPFRE"/>
    <m/>
    <m/>
    <s v="COBRADO"/>
    <m/>
    <m/>
    <m/>
    <m/>
    <x v="165"/>
    <s v="RAFAEL MELGAREJO VILLEGAS"/>
    <s v="PARTICULAR"/>
    <n v="30550"/>
    <x v="1"/>
  </r>
  <r>
    <m/>
    <m/>
    <x v="0"/>
    <x v="191"/>
    <x v="28"/>
    <d v="2026-01-23T00:00:00"/>
    <x v="0"/>
    <s v="AGROSEGURO"/>
    <n v="18305.64"/>
    <n v="2013.6203999999998"/>
    <n v="1464.4512"/>
    <n v="549.16919999999993"/>
    <m/>
    <m/>
    <m/>
    <m/>
    <m/>
    <m/>
    <m/>
    <s v="NP"/>
    <s v="AGRINALCAZAR"/>
    <s v="MAPFRE"/>
    <m/>
    <m/>
    <s v="COBRADO"/>
    <m/>
    <m/>
    <m/>
    <m/>
    <x v="166"/>
    <s v="LA HERMOSA CB"/>
    <s v="EMPRESA"/>
    <n v="30550"/>
    <x v="1"/>
  </r>
  <r>
    <m/>
    <m/>
    <x v="0"/>
    <x v="192"/>
    <x v="28"/>
    <d v="2026-01-23T00:00:00"/>
    <x v="0"/>
    <s v="AGROSEGURO"/>
    <n v="9281.7099999999991"/>
    <n v="1020.9880999999999"/>
    <n v="742.53679999999997"/>
    <n v="278.45129999999995"/>
    <m/>
    <m/>
    <m/>
    <m/>
    <m/>
    <m/>
    <m/>
    <s v="NP"/>
    <s v="AGRINALCAZAR"/>
    <s v="MAPFRE"/>
    <m/>
    <m/>
    <s v="COBRADO"/>
    <m/>
    <m/>
    <m/>
    <m/>
    <x v="167"/>
    <s v="JAVIER MOLINA ARAGONÉS"/>
    <s v="PARTICULAR"/>
    <n v="30550"/>
    <x v="1"/>
  </r>
  <r>
    <m/>
    <m/>
    <x v="0"/>
    <x v="193"/>
    <x v="28"/>
    <d v="2026-01-23T00:00:00"/>
    <x v="0"/>
    <s v="AGROSEGURO"/>
    <n v="511.23"/>
    <n v="30.6738"/>
    <n v="20.449200000000001"/>
    <n v="10.224600000000001"/>
    <m/>
    <m/>
    <m/>
    <m/>
    <m/>
    <m/>
    <m/>
    <s v="NP"/>
    <s v="AGRINALCAZAR"/>
    <s v="OCCIDENT"/>
    <m/>
    <m/>
    <s v="COBRADO"/>
    <m/>
    <m/>
    <m/>
    <m/>
    <x v="1"/>
    <s v="FLORETTE MURCIA, S.L.U."/>
    <s v="EMPRESA"/>
    <n v="31320"/>
    <x v="1"/>
  </r>
  <r>
    <m/>
    <m/>
    <x v="0"/>
    <x v="194"/>
    <x v="28"/>
    <d v="2026-01-23T00:00:00"/>
    <x v="0"/>
    <s v="AGROSEGURO"/>
    <n v="3628.99"/>
    <n v="217.73939999999999"/>
    <n v="145.15959999999998"/>
    <n v="72.579799999999992"/>
    <m/>
    <m/>
    <m/>
    <m/>
    <m/>
    <m/>
    <m/>
    <s v="NP"/>
    <s v="AGRINALCAZAR"/>
    <s v="OCCIDENT"/>
    <m/>
    <m/>
    <s v="COBRADO"/>
    <m/>
    <m/>
    <m/>
    <m/>
    <x v="1"/>
    <s v="FLORETTE MURCIA, S.L.U."/>
    <s v="EMPRESA"/>
    <n v="31320"/>
    <x v="1"/>
  </r>
  <r>
    <m/>
    <m/>
    <x v="0"/>
    <x v="195"/>
    <x v="28"/>
    <d v="2026-01-23T00:00:00"/>
    <x v="0"/>
    <s v="AGROSEGURO"/>
    <n v="7517.07"/>
    <n v="1127.5605"/>
    <n v="902.04840000000002"/>
    <n v="225.51209999999998"/>
    <m/>
    <m/>
    <m/>
    <m/>
    <m/>
    <m/>
    <m/>
    <s v="NP"/>
    <s v="AGRINALCAZAR"/>
    <s v="MAPFRE"/>
    <m/>
    <m/>
    <s v="COBRADO"/>
    <m/>
    <m/>
    <m/>
    <m/>
    <x v="168"/>
    <s v="NURIA SANCHEZ FERNANDEZ"/>
    <s v="PARTICULAR"/>
    <n v="30550"/>
    <x v="1"/>
  </r>
  <r>
    <m/>
    <m/>
    <x v="0"/>
    <x v="196"/>
    <x v="29"/>
    <d v="2026-01-26T00:00:00"/>
    <x v="0"/>
    <s v="AGROSEGURO"/>
    <n v="14576.02"/>
    <n v="1457.6019999999999"/>
    <n v="1166.0816"/>
    <n v="291.5204"/>
    <m/>
    <m/>
    <m/>
    <m/>
    <m/>
    <m/>
    <m/>
    <s v="NP"/>
    <s v="AGRINALCAZAR"/>
    <s v="OCCIDENT"/>
    <m/>
    <m/>
    <s v="COBRADO"/>
    <m/>
    <m/>
    <m/>
    <m/>
    <x v="0"/>
    <s v="EXP. AGRICOLAS JUMAR, S.L."/>
    <s v="EMPRESA"/>
    <n v="30360"/>
    <x v="1"/>
  </r>
  <r>
    <m/>
    <m/>
    <x v="0"/>
    <x v="197"/>
    <x v="29"/>
    <d v="2026-01-26T00:00:00"/>
    <x v="0"/>
    <s v="AGROSEGURO"/>
    <n v="44400.79"/>
    <n v="4884.0869000000002"/>
    <n v="3552.0632000000001"/>
    <n v="1332.0237"/>
    <m/>
    <m/>
    <m/>
    <m/>
    <m/>
    <m/>
    <m/>
    <s v="NP"/>
    <s v="AGRINALCAZAR"/>
    <s v="MAPFRE"/>
    <m/>
    <m/>
    <s v="COBRADO"/>
    <m/>
    <m/>
    <m/>
    <m/>
    <x v="169"/>
    <s v="ALFOSEA HERMANOS"/>
    <s v="EMPRESA"/>
    <n v="3350"/>
    <x v="1"/>
  </r>
  <r>
    <m/>
    <m/>
    <x v="0"/>
    <x v="198"/>
    <x v="29"/>
    <d v="2026-01-26T00:00:00"/>
    <x v="0"/>
    <s v="AGROSEGURO"/>
    <n v="6567.81"/>
    <n v="722.45910000000003"/>
    <n v="525.4248"/>
    <n v="197.0343"/>
    <m/>
    <m/>
    <m/>
    <m/>
    <m/>
    <m/>
    <m/>
    <s v="NP"/>
    <s v="AGRINALCAZAR"/>
    <s v="MAPFRE"/>
    <m/>
    <m/>
    <s v="COBRADO"/>
    <m/>
    <m/>
    <m/>
    <m/>
    <x v="170"/>
    <s v="ANDREA MARTINEZ YELO"/>
    <s v="PARTICULAR"/>
    <n v="30550"/>
    <x v="1"/>
  </r>
  <r>
    <m/>
    <m/>
    <x v="0"/>
    <x v="199"/>
    <x v="30"/>
    <d v="2026-01-30T00:00:00"/>
    <x v="0"/>
    <s v="AGROSEGURO"/>
    <n v="3316.96"/>
    <n v="199.01760000000002"/>
    <n v="132.67840000000001"/>
    <n v="66.339200000000005"/>
    <m/>
    <m/>
    <m/>
    <m/>
    <m/>
    <m/>
    <m/>
    <s v="NP"/>
    <s v="AGRINALCAZAR"/>
    <s v="OCCIDENT"/>
    <m/>
    <m/>
    <s v="COBRADO"/>
    <m/>
    <m/>
    <m/>
    <m/>
    <x v="1"/>
    <s v="FLORETTE MURCIA, S.L.U."/>
    <s v="EMPRESA"/>
    <n v="31320"/>
    <x v="1"/>
  </r>
  <r>
    <m/>
    <m/>
    <x v="0"/>
    <x v="200"/>
    <x v="30"/>
    <d v="2026-01-30T00:00:00"/>
    <x v="0"/>
    <s v="AGROSEGURO"/>
    <n v="3959.95"/>
    <n v="237.59699999999998"/>
    <n v="158.398"/>
    <n v="79.198999999999998"/>
    <m/>
    <m/>
    <m/>
    <m/>
    <m/>
    <m/>
    <m/>
    <s v="NP"/>
    <s v="AGRINALCAZAR"/>
    <s v="OCCIDENT"/>
    <m/>
    <m/>
    <s v="COBRADO"/>
    <m/>
    <m/>
    <m/>
    <m/>
    <x v="1"/>
    <s v="FLORETTE MURCIA, S.L.U."/>
    <s v="EMPRESA"/>
    <n v="31320"/>
    <x v="1"/>
  </r>
  <r>
    <m/>
    <m/>
    <x v="0"/>
    <x v="55"/>
    <x v="15"/>
    <d v="2026-01-22T00:00:00"/>
    <x v="0"/>
    <s v="AGROSEGURO"/>
    <n v="119328.99"/>
    <n v="13842.162839999999"/>
    <n v="12648.872939999999"/>
    <n v="1193.2899"/>
    <m/>
    <m/>
    <m/>
    <m/>
    <m/>
    <m/>
    <m/>
    <s v="NP"/>
    <s v="AGRINALCAZAR"/>
    <s v="MUSSAP"/>
    <m/>
    <m/>
    <s v="COBRADO"/>
    <m/>
    <m/>
    <m/>
    <m/>
    <x v="37"/>
    <s v="LODAN FRUIT SIGLO XXI, S.L."/>
    <s v="EMPRESA"/>
    <n v="30008"/>
    <x v="1"/>
  </r>
  <r>
    <m/>
    <m/>
    <x v="0"/>
    <x v="56"/>
    <x v="15"/>
    <d v="2026-01-22T00:00:00"/>
    <x v="0"/>
    <s v="AGROSEGURO"/>
    <n v="117078.09"/>
    <n v="13229.82417"/>
    <n v="12059.04327"/>
    <n v="1170.7809"/>
    <m/>
    <m/>
    <m/>
    <m/>
    <m/>
    <m/>
    <m/>
    <s v="NP"/>
    <s v="AGRINALCAZAR"/>
    <s v="MUSSAP"/>
    <m/>
    <m/>
    <s v="COBRADO"/>
    <m/>
    <m/>
    <m/>
    <m/>
    <x v="38"/>
    <s v="EXPOGROUP REGION DE MURCIA,S .L"/>
    <s v="EMPRESA"/>
    <n v="30008"/>
    <x v="1"/>
  </r>
  <r>
    <m/>
    <m/>
    <x v="0"/>
    <x v="201"/>
    <x v="31"/>
    <d v="2026-01-28T00:00:00"/>
    <x v="0"/>
    <s v="AGROSEGURO"/>
    <n v="65164.72"/>
    <n v="8797.2371999999996"/>
    <n v="8145.59"/>
    <n v="651.6472"/>
    <m/>
    <m/>
    <m/>
    <m/>
    <m/>
    <m/>
    <m/>
    <s v="NP"/>
    <s v="AGRINALCAZAR"/>
    <s v="MUSSAP"/>
    <m/>
    <m/>
    <s v="COBRADO"/>
    <m/>
    <m/>
    <m/>
    <m/>
    <x v="171"/>
    <s v="AGROFRUIT SELECCIÓN, S.L."/>
    <s v="EMPRESA"/>
    <n v="30550"/>
    <x v="1"/>
  </r>
  <r>
    <m/>
    <m/>
    <x v="0"/>
    <x v="202"/>
    <x v="31"/>
    <d v="2026-01-28T00:00:00"/>
    <x v="0"/>
    <s v="AGROSEGURO"/>
    <n v="33676.839999999997"/>
    <n v="4125.4128999999994"/>
    <n v="3788.6444999999994"/>
    <n v="336.76839999999999"/>
    <m/>
    <m/>
    <m/>
    <m/>
    <m/>
    <m/>
    <m/>
    <s v="NP"/>
    <s v="AGRINALCAZAR"/>
    <s v="MUSSAP"/>
    <m/>
    <m/>
    <s v="COBRADO"/>
    <m/>
    <m/>
    <m/>
    <m/>
    <x v="172"/>
    <s v="AGROFUTURE FRUIT, S.L."/>
    <s v="EMPRESA"/>
    <n v="30550"/>
    <x v="1"/>
  </r>
  <r>
    <m/>
    <m/>
    <x v="0"/>
    <x v="203"/>
    <x v="24"/>
    <d v="2026-01-14T00:00:00"/>
    <x v="0"/>
    <s v="AGROSEGURO"/>
    <n v="7684.96"/>
    <n v="845.34559999999999"/>
    <n v="614.79679999999996"/>
    <n v="230.5488"/>
    <m/>
    <m/>
    <m/>
    <m/>
    <m/>
    <m/>
    <m/>
    <s v="NP"/>
    <s v="AGRINALCAZAR"/>
    <s v="MAPFRE"/>
    <m/>
    <m/>
    <s v="COBRADO"/>
    <m/>
    <m/>
    <m/>
    <m/>
    <x v="173"/>
    <s v="JUAN FRANCISCO CONTRERAS SALMERON"/>
    <s v="PARTICULAR"/>
    <n v="30562"/>
    <x v="1"/>
  </r>
  <r>
    <m/>
    <m/>
    <x v="0"/>
    <x v="203"/>
    <x v="24"/>
    <d v="2026-01-14T00:00:00"/>
    <x v="0"/>
    <s v="AGROSEGURO"/>
    <n v="7684.96"/>
    <n v="845.34559999999999"/>
    <n v="614.79679999999996"/>
    <n v="230.5488"/>
    <m/>
    <m/>
    <m/>
    <m/>
    <m/>
    <m/>
    <m/>
    <s v="NP"/>
    <s v="AGRINALCAZAR"/>
    <s v="MAPFRE"/>
    <m/>
    <m/>
    <s v="COBRADO"/>
    <m/>
    <m/>
    <m/>
    <m/>
    <x v="173"/>
    <s v="JUAN FRANCISCO CONTRERAS SOLANA"/>
    <s v="PARTICULAR"/>
    <n v="30562"/>
    <x v="1"/>
  </r>
  <r>
    <m/>
    <m/>
    <x v="0"/>
    <x v="204"/>
    <x v="29"/>
    <d v="2026-01-26T00:00:00"/>
    <x v="0"/>
    <s v="AGROSEGURO"/>
    <n v="81587.45"/>
    <n v="9994.4626250000001"/>
    <n v="9178.5881250000002"/>
    <n v="815.87450000000001"/>
    <m/>
    <m/>
    <m/>
    <m/>
    <m/>
    <m/>
    <m/>
    <s v="NP"/>
    <s v="AGRINALCAZAR"/>
    <s v="MUSSAP"/>
    <m/>
    <m/>
    <s v="COBRADO"/>
    <m/>
    <m/>
    <m/>
    <m/>
    <x v="174"/>
    <s v="CARBONELL Y MARMOL SL"/>
    <s v="EMPRESA"/>
    <n v="30550"/>
    <x v="1"/>
  </r>
  <r>
    <m/>
    <m/>
    <x v="0"/>
    <x v="204"/>
    <x v="32"/>
    <d v="2026-01-27T00:00:00"/>
    <x v="0"/>
    <s v="AGROSEGURO"/>
    <n v="81587.45"/>
    <n v="9994.4626250000001"/>
    <n v="9178.5881250000002"/>
    <n v="815.87450000000001"/>
    <m/>
    <m/>
    <m/>
    <m/>
    <m/>
    <m/>
    <m/>
    <s v="NP"/>
    <s v="AGRINALCAZAR"/>
    <s v="MUSSAP"/>
    <m/>
    <m/>
    <s v="COBRADO"/>
    <m/>
    <m/>
    <m/>
    <m/>
    <x v="174"/>
    <s v="CARBONELL Y MARMOL,S L."/>
    <s v="EMPRESA"/>
    <n v="30550"/>
    <x v="1"/>
  </r>
  <r>
    <m/>
    <m/>
    <x v="0"/>
    <x v="205"/>
    <x v="33"/>
    <m/>
    <x v="1"/>
    <m/>
    <m/>
    <m/>
    <m/>
    <m/>
    <m/>
    <m/>
    <m/>
    <m/>
    <m/>
    <m/>
    <m/>
    <m/>
    <m/>
    <m/>
    <m/>
    <m/>
    <m/>
    <m/>
    <m/>
    <m/>
    <m/>
    <x v="175"/>
    <m/>
    <m/>
    <m/>
    <x v="2"/>
  </r>
  <r>
    <m/>
    <m/>
    <x v="0"/>
    <x v="205"/>
    <x v="33"/>
    <m/>
    <x v="1"/>
    <m/>
    <m/>
    <m/>
    <m/>
    <m/>
    <m/>
    <m/>
    <m/>
    <m/>
    <m/>
    <m/>
    <m/>
    <m/>
    <m/>
    <m/>
    <m/>
    <m/>
    <m/>
    <m/>
    <m/>
    <m/>
    <m/>
    <x v="175"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92533-748F-47F9-A2FD-2464724F5C6D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E7" firstHeaderRow="0" firstDataRow="1" firstDataCol="1"/>
  <pivotFields count="36">
    <pivotField showAll="0"/>
    <pivotField showAll="0"/>
    <pivotField showAll="0"/>
    <pivotField showAll="0"/>
    <pivotField showAll="0">
      <items count="200">
        <item m="1" x="183"/>
        <item m="1" x="182"/>
        <item m="1" x="173"/>
        <item m="1" x="186"/>
        <item m="1" x="176"/>
        <item m="1" x="185"/>
        <item m="1" x="179"/>
        <item m="1" x="181"/>
        <item m="1" x="184"/>
        <item m="1" x="180"/>
        <item m="1" x="177"/>
        <item m="1" x="138"/>
        <item m="1" x="187"/>
        <item m="1" x="178"/>
        <item m="1" x="175"/>
        <item m="1" x="105"/>
        <item m="1" x="188"/>
        <item m="1" x="189"/>
        <item m="1" x="196"/>
        <item m="1" x="195"/>
        <item m="1" x="194"/>
        <item m="1" x="197"/>
        <item m="1" x="174"/>
        <item m="1" x="198"/>
        <item m="1" x="193"/>
        <item m="1" x="191"/>
        <item m="1" x="126"/>
        <item m="1" x="192"/>
        <item m="1" x="190"/>
        <item m="1" x="46"/>
        <item m="1" x="35"/>
        <item m="1" x="40"/>
        <item m="1" x="41"/>
        <item m="1" x="42"/>
        <item m="1" x="36"/>
        <item m="1" x="45"/>
        <item m="1" x="43"/>
        <item m="1" x="37"/>
        <item m="1" x="34"/>
        <item m="1" x="47"/>
        <item m="1" x="48"/>
        <item m="1" x="44"/>
        <item m="1" x="49"/>
        <item m="1" x="39"/>
        <item m="1" x="51"/>
        <item m="1" x="52"/>
        <item m="1" x="50"/>
        <item m="1" x="38"/>
        <item m="1" x="53"/>
        <item m="1" x="54"/>
        <item m="1" x="55"/>
        <item m="1" x="64"/>
        <item m="1" x="69"/>
        <item m="1" x="68"/>
        <item m="1" x="59"/>
        <item m="1" x="58"/>
        <item m="1" x="56"/>
        <item m="1" x="65"/>
        <item m="1" x="63"/>
        <item m="1" x="61"/>
        <item m="1" x="60"/>
        <item m="1" x="67"/>
        <item m="1" x="73"/>
        <item m="1" x="66"/>
        <item m="1" x="72"/>
        <item m="1" x="71"/>
        <item m="1" x="70"/>
        <item m="1" x="57"/>
        <item m="1" x="62"/>
        <item m="1" x="90"/>
        <item m="1" x="74"/>
        <item m="1" x="75"/>
        <item m="1" x="76"/>
        <item m="1" x="77"/>
        <item m="1" x="78"/>
        <item m="1" x="85"/>
        <item m="1" x="79"/>
        <item m="1" x="84"/>
        <item m="1" x="80"/>
        <item m="1" x="86"/>
        <item m="1" x="92"/>
        <item m="1" x="91"/>
        <item m="1" x="81"/>
        <item m="1" x="82"/>
        <item m="1" x="87"/>
        <item m="1" x="83"/>
        <item m="1" x="93"/>
        <item m="1" x="88"/>
        <item m="1" x="89"/>
        <item m="1" x="115"/>
        <item m="1" x="110"/>
        <item m="1" x="94"/>
        <item m="1" x="116"/>
        <item m="1" x="114"/>
        <item m="1" x="112"/>
        <item m="1" x="109"/>
        <item m="1" x="111"/>
        <item m="1" x="108"/>
        <item m="1" x="113"/>
        <item m="1" x="107"/>
        <item m="1" x="95"/>
        <item m="1" x="106"/>
        <item m="1" x="120"/>
        <item m="1" x="119"/>
        <item m="1" x="121"/>
        <item m="1" x="96"/>
        <item m="1" x="97"/>
        <item m="1" x="117"/>
        <item m="1" x="122"/>
        <item m="1" x="118"/>
        <item m="1" x="98"/>
        <item m="1" x="99"/>
        <item x="33"/>
        <item m="1" x="123"/>
        <item m="1" x="100"/>
        <item m="1" x="101"/>
        <item m="1" x="103"/>
        <item m="1" x="124"/>
        <item m="1" x="125"/>
        <item m="1" x="102"/>
        <item m="1" x="104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9"/>
        <item m="1" x="137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x="23"/>
        <item x="22"/>
        <item x="24"/>
        <item x="17"/>
        <item x="26"/>
        <item x="25"/>
        <item x="21"/>
        <item x="18"/>
        <item x="19"/>
        <item x="20"/>
        <item x="27"/>
        <item x="15"/>
        <item x="28"/>
        <item x="29"/>
        <item x="30"/>
        <item x="31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"/>
        <item x="0"/>
        <item m="1" x="3"/>
        <item m="1" x="4"/>
        <item m="1" x="5"/>
        <item m="1" x="6"/>
        <item m="1" x="7"/>
        <item m="1" x="8"/>
        <item m="1" x="9"/>
        <item h="1" x="2"/>
        <item m="1" x="10"/>
        <item m="1" x="11"/>
        <item m="1" x="12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3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Prima neta" fld="8" baseField="0" baseItem="0"/>
    <dataField name="Suma de Comisión prima neta" fld="10" baseField="0" baseItem="0"/>
    <dataField name="Suma de Comisión complementaria" fld="11" baseField="0" baseItem="0"/>
    <dataField name="Suma de Comisión colaborador 1" fld="15" baseField="34" baseItem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4AF7D-49DB-479B-B52E-6B198CAA1356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2:M14" firstHeaderRow="0" firstDataRow="1" firstDataCol="1" rowPageCount="1" colPageCount="1"/>
  <pivotFields count="36">
    <pivotField showAll="0"/>
    <pivotField showAll="0"/>
    <pivotField showAll="0"/>
    <pivotField showAll="0"/>
    <pivotField showAll="0">
      <items count="200">
        <item m="1" x="183"/>
        <item m="1" x="182"/>
        <item m="1" x="173"/>
        <item m="1" x="186"/>
        <item m="1" x="176"/>
        <item m="1" x="185"/>
        <item m="1" x="179"/>
        <item m="1" x="181"/>
        <item m="1" x="184"/>
        <item m="1" x="180"/>
        <item m="1" x="177"/>
        <item m="1" x="138"/>
        <item m="1" x="187"/>
        <item m="1" x="178"/>
        <item m="1" x="175"/>
        <item m="1" x="105"/>
        <item m="1" x="188"/>
        <item m="1" x="189"/>
        <item m="1" x="196"/>
        <item m="1" x="195"/>
        <item m="1" x="194"/>
        <item m="1" x="197"/>
        <item m="1" x="174"/>
        <item m="1" x="198"/>
        <item m="1" x="193"/>
        <item m="1" x="191"/>
        <item m="1" x="126"/>
        <item m="1" x="192"/>
        <item m="1" x="190"/>
        <item m="1" x="46"/>
        <item m="1" x="35"/>
        <item m="1" x="40"/>
        <item m="1" x="41"/>
        <item m="1" x="42"/>
        <item m="1" x="36"/>
        <item m="1" x="45"/>
        <item m="1" x="43"/>
        <item m="1" x="37"/>
        <item m="1" x="34"/>
        <item m="1" x="47"/>
        <item m="1" x="48"/>
        <item m="1" x="44"/>
        <item m="1" x="49"/>
        <item m="1" x="39"/>
        <item m="1" x="51"/>
        <item m="1" x="52"/>
        <item m="1" x="50"/>
        <item m="1" x="38"/>
        <item m="1" x="53"/>
        <item m="1" x="54"/>
        <item m="1" x="55"/>
        <item m="1" x="64"/>
        <item m="1" x="69"/>
        <item m="1" x="68"/>
        <item m="1" x="59"/>
        <item m="1" x="58"/>
        <item m="1" x="56"/>
        <item m="1" x="65"/>
        <item m="1" x="63"/>
        <item m="1" x="61"/>
        <item m="1" x="60"/>
        <item m="1" x="67"/>
        <item m="1" x="73"/>
        <item m="1" x="66"/>
        <item m="1" x="72"/>
        <item m="1" x="71"/>
        <item m="1" x="70"/>
        <item m="1" x="57"/>
        <item m="1" x="62"/>
        <item m="1" x="90"/>
        <item m="1" x="74"/>
        <item m="1" x="75"/>
        <item m="1" x="76"/>
        <item m="1" x="77"/>
        <item m="1" x="78"/>
        <item m="1" x="85"/>
        <item m="1" x="79"/>
        <item m="1" x="84"/>
        <item m="1" x="80"/>
        <item m="1" x="86"/>
        <item m="1" x="92"/>
        <item m="1" x="91"/>
        <item m="1" x="81"/>
        <item m="1" x="82"/>
        <item m="1" x="87"/>
        <item m="1" x="83"/>
        <item m="1" x="93"/>
        <item m="1" x="88"/>
        <item m="1" x="89"/>
        <item m="1" x="115"/>
        <item m="1" x="110"/>
        <item m="1" x="94"/>
        <item m="1" x="116"/>
        <item m="1" x="114"/>
        <item m="1" x="112"/>
        <item m="1" x="109"/>
        <item m="1" x="111"/>
        <item m="1" x="108"/>
        <item m="1" x="113"/>
        <item m="1" x="107"/>
        <item m="1" x="95"/>
        <item m="1" x="106"/>
        <item m="1" x="120"/>
        <item m="1" x="119"/>
        <item m="1" x="121"/>
        <item m="1" x="96"/>
        <item m="1" x="97"/>
        <item m="1" x="117"/>
        <item m="1" x="122"/>
        <item m="1" x="118"/>
        <item m="1" x="98"/>
        <item m="1" x="99"/>
        <item x="33"/>
        <item m="1" x="123"/>
        <item m="1" x="100"/>
        <item m="1" x="101"/>
        <item m="1" x="103"/>
        <item m="1" x="124"/>
        <item m="1" x="125"/>
        <item m="1" x="102"/>
        <item m="1" x="104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9"/>
        <item m="1" x="137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x="23"/>
        <item x="22"/>
        <item x="24"/>
        <item x="17"/>
        <item x="26"/>
        <item x="25"/>
        <item x="21"/>
        <item x="18"/>
        <item x="19"/>
        <item x="20"/>
        <item x="27"/>
        <item x="15"/>
        <item x="28"/>
        <item x="29"/>
        <item x="30"/>
        <item x="31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t="default"/>
      </items>
    </pivotField>
    <pivotField showAll="0"/>
    <pivotField axis="axisRow" showAll="0">
      <items count="3">
        <item x="0"/>
        <item h="1" x="1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">
        <item x="1"/>
        <item h="1" x="0"/>
        <item h="1" m="1" x="3"/>
        <item h="1" m="1" x="4"/>
        <item h="1" m="1" x="5"/>
        <item h="1" m="1" x="6"/>
        <item h="1" m="1" x="7"/>
        <item h="1" m="1" x="8"/>
        <item h="1" m="1" x="9"/>
        <item h="1" x="2"/>
        <item h="1" m="1" x="10"/>
        <item h="1" m="1" x="11"/>
        <item m="1" x="12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x="13"/>
        <item t="default"/>
      </items>
    </pivotField>
  </pivotFields>
  <rowFields count="1">
    <field x="6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3" hier="-1"/>
  </pageFields>
  <dataFields count="4">
    <dataField name="Suma de Prima neta" fld="8" baseField="0" baseItem="0"/>
    <dataField name="Suma de Comisión prima neta" fld="10" baseField="0" baseItem="0"/>
    <dataField name="Suma de Comisión complementaria" fld="11" baseField="0" baseItem="0"/>
    <dataField name="Suma de Comisión colaborador 1" fld="15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0F91D-2DA2-4F3A-BEB4-BCED6F7E7695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A179" firstHeaderRow="1" firstDataRow="1" firstDataCol="1"/>
  <pivotFields count="36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>
      <items count="200">
        <item m="1" x="139"/>
        <item m="1" x="183"/>
        <item m="1" x="182"/>
        <item m="1" x="173"/>
        <item m="1" x="186"/>
        <item m="1" x="176"/>
        <item m="1" x="185"/>
        <item m="1" x="179"/>
        <item m="1" x="181"/>
        <item m="1" x="184"/>
        <item m="1" x="180"/>
        <item m="1" x="177"/>
        <item m="1" x="138"/>
        <item m="1" x="187"/>
        <item m="1" x="178"/>
        <item m="1" x="175"/>
        <item m="1" x="105"/>
        <item m="1" x="188"/>
        <item m="1" x="189"/>
        <item m="1" x="196"/>
        <item m="1" x="195"/>
        <item m="1" x="194"/>
        <item m="1" x="197"/>
        <item m="1" x="174"/>
        <item m="1" x="198"/>
        <item m="1" x="193"/>
        <item m="1" x="191"/>
        <item m="1" x="126"/>
        <item m="1" x="192"/>
        <item m="1" x="190"/>
        <item m="1" x="46"/>
        <item m="1" x="35"/>
        <item m="1" x="40"/>
        <item m="1" x="41"/>
        <item m="1" x="42"/>
        <item m="1" x="36"/>
        <item m="1" x="45"/>
        <item m="1" x="43"/>
        <item m="1" x="37"/>
        <item m="1" x="34"/>
        <item m="1" x="47"/>
        <item m="1" x="48"/>
        <item m="1" x="44"/>
        <item m="1" x="49"/>
        <item m="1" x="39"/>
        <item m="1" x="51"/>
        <item m="1" x="52"/>
        <item m="1" x="50"/>
        <item m="1" x="38"/>
        <item m="1" x="53"/>
        <item m="1" x="54"/>
        <item m="1" x="55"/>
        <item m="1" x="64"/>
        <item m="1" x="69"/>
        <item m="1" x="68"/>
        <item m="1" x="59"/>
        <item m="1" x="58"/>
        <item m="1" x="56"/>
        <item m="1" x="65"/>
        <item m="1" x="63"/>
        <item m="1" x="61"/>
        <item m="1" x="60"/>
        <item m="1" x="67"/>
        <item m="1" x="73"/>
        <item m="1" x="66"/>
        <item m="1" x="72"/>
        <item m="1" x="71"/>
        <item m="1" x="70"/>
        <item m="1" x="57"/>
        <item m="1" x="62"/>
        <item m="1" x="90"/>
        <item m="1" x="74"/>
        <item m="1" x="75"/>
        <item m="1" x="76"/>
        <item m="1" x="77"/>
        <item m="1" x="78"/>
        <item m="1" x="85"/>
        <item m="1" x="79"/>
        <item m="1" x="84"/>
        <item m="1" x="80"/>
        <item m="1" x="86"/>
        <item m="1" x="92"/>
        <item m="1" x="91"/>
        <item m="1" x="81"/>
        <item m="1" x="82"/>
        <item m="1" x="87"/>
        <item m="1" x="83"/>
        <item m="1" x="93"/>
        <item m="1" x="88"/>
        <item m="1" x="89"/>
        <item m="1" x="115"/>
        <item m="1" x="110"/>
        <item m="1" x="94"/>
        <item m="1" x="116"/>
        <item m="1" x="114"/>
        <item m="1" x="112"/>
        <item m="1" x="109"/>
        <item m="1" x="111"/>
        <item m="1" x="108"/>
        <item m="1" x="113"/>
        <item m="1" x="107"/>
        <item m="1" x="95"/>
        <item m="1" x="106"/>
        <item m="1" x="120"/>
        <item m="1" x="119"/>
        <item m="1" x="121"/>
        <item m="1" x="96"/>
        <item m="1" x="97"/>
        <item m="1" x="117"/>
        <item m="1" x="122"/>
        <item m="1" x="118"/>
        <item m="1" x="98"/>
        <item m="1" x="99"/>
        <item m="1" x="125"/>
        <item m="1" x="100"/>
        <item m="1" x="101"/>
        <item m="1" x="102"/>
        <item m="1" x="103"/>
        <item m="1" x="123"/>
        <item m="1" x="104"/>
        <item m="1" x="124"/>
        <item m="1" x="137"/>
        <item m="1" x="134"/>
        <item m="1" x="133"/>
        <item m="1" x="128"/>
        <item m="1" x="129"/>
        <item m="1" x="127"/>
        <item m="1" x="135"/>
        <item m="1" x="132"/>
        <item m="1" x="130"/>
        <item m="1" x="131"/>
        <item m="1" x="136"/>
        <item m="1" x="150"/>
        <item m="1" x="149"/>
        <item m="1" x="148"/>
        <item m="1" x="147"/>
        <item m="1" x="146"/>
        <item m="1" x="145"/>
        <item m="1" x="144"/>
        <item m="1" x="143"/>
        <item m="1" x="142"/>
        <item m="1" x="141"/>
        <item m="1" x="140"/>
        <item m="1" x="154"/>
        <item m="1" x="155"/>
        <item m="1" x="152"/>
        <item m="1" x="153"/>
        <item m="1" x="151"/>
        <item m="1" x="156"/>
        <item m="1" x="157"/>
        <item m="1" x="158"/>
        <item m="1" x="159"/>
        <item m="1" x="160"/>
        <item m="1" x="162"/>
        <item m="1" x="167"/>
        <item m="1" x="161"/>
        <item m="1" x="163"/>
        <item m="1" x="169"/>
        <item m="1" x="164"/>
        <item m="1" x="168"/>
        <item m="1" x="172"/>
        <item m="1" x="171"/>
        <item m="1" x="170"/>
        <item m="1" x="165"/>
        <item m="1" x="166"/>
        <item x="18"/>
        <item x="19"/>
        <item x="20"/>
        <item x="21"/>
        <item x="22"/>
        <item x="23"/>
        <item x="24"/>
        <item x="17"/>
        <item x="25"/>
        <item x="26"/>
        <item x="27"/>
        <item x="16"/>
        <item x="15"/>
        <item x="28"/>
        <item x="29"/>
        <item x="32"/>
        <item x="31"/>
        <item x="30"/>
        <item x="0"/>
        <item x="1"/>
        <item x="2"/>
        <item x="8"/>
        <item x="6"/>
        <item x="7"/>
        <item x="10"/>
        <item x="5"/>
        <item x="4"/>
        <item x="13"/>
        <item x="14"/>
        <item x="12"/>
        <item x="11"/>
        <item x="9"/>
        <item x="3"/>
        <item x="33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77">
        <item x="140"/>
        <item x="109"/>
        <item x="149"/>
        <item x="13"/>
        <item x="151"/>
        <item x="89"/>
        <item x="92"/>
        <item x="74"/>
        <item x="56"/>
        <item x="57"/>
        <item x="47"/>
        <item x="50"/>
        <item x="68"/>
        <item x="61"/>
        <item x="123"/>
        <item x="51"/>
        <item x="94"/>
        <item x="141"/>
        <item x="142"/>
        <item x="131"/>
        <item x="14"/>
        <item x="90"/>
        <item x="128"/>
        <item x="106"/>
        <item x="155"/>
        <item x="157"/>
        <item x="153"/>
        <item x="156"/>
        <item x="66"/>
        <item x="127"/>
        <item x="52"/>
        <item x="114"/>
        <item x="75"/>
        <item x="85"/>
        <item x="76"/>
        <item x="125"/>
        <item x="134"/>
        <item x="72"/>
        <item x="54"/>
        <item x="136"/>
        <item x="83"/>
        <item x="65"/>
        <item x="173"/>
        <item x="159"/>
        <item x="116"/>
        <item x="103"/>
        <item x="165"/>
        <item x="64"/>
        <item x="86"/>
        <item x="170"/>
        <item x="115"/>
        <item x="100"/>
        <item x="121"/>
        <item x="168"/>
        <item x="146"/>
        <item x="111"/>
        <item x="117"/>
        <item x="91"/>
        <item x="49"/>
        <item x="63"/>
        <item x="113"/>
        <item x="88"/>
        <item x="58"/>
        <item x="46"/>
        <item x="150"/>
        <item x="48"/>
        <item x="15"/>
        <item x="62"/>
        <item x="71"/>
        <item x="81"/>
        <item x="105"/>
        <item x="126"/>
        <item x="130"/>
        <item x="84"/>
        <item x="60"/>
        <item x="70"/>
        <item x="59"/>
        <item x="139"/>
        <item x="101"/>
        <item x="161"/>
        <item x="67"/>
        <item x="108"/>
        <item x="93"/>
        <item x="110"/>
        <item x="167"/>
        <item x="82"/>
        <item x="112"/>
        <item x="137"/>
        <item x="87"/>
        <item x="69"/>
        <item x="102"/>
        <item x="95"/>
        <item x="104"/>
        <item x="55"/>
        <item x="53"/>
        <item x="38"/>
        <item x="96"/>
        <item x="169"/>
        <item x="118"/>
        <item x="152"/>
        <item x="99"/>
        <item x="37"/>
        <item x="1"/>
        <item x="80"/>
        <item x="0"/>
        <item x="143"/>
        <item x="147"/>
        <item x="119"/>
        <item x="73"/>
        <item x="171"/>
        <item x="122"/>
        <item x="148"/>
        <item x="145"/>
        <item x="158"/>
        <item x="174"/>
        <item x="98"/>
        <item x="78"/>
        <item x="160"/>
        <item x="144"/>
        <item x="162"/>
        <item x="129"/>
        <item x="77"/>
        <item x="172"/>
        <item x="33"/>
        <item x="107"/>
        <item x="138"/>
        <item x="132"/>
        <item x="124"/>
        <item x="133"/>
        <item x="166"/>
        <item x="163"/>
        <item x="97"/>
        <item x="79"/>
        <item x="135"/>
        <item x="154"/>
        <item x="120"/>
        <item x="164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9"/>
        <item x="40"/>
        <item x="41"/>
        <item x="42"/>
        <item x="43"/>
        <item x="44"/>
        <item x="45"/>
        <item x="17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9"/>
  </rowFields>
  <rowItems count="1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2F44D-2C1A-4881-880A-F4111E411CE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E209" firstHeaderRow="0" firstDataRow="1" firstDataCol="1"/>
  <pivotFields count="36"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axis="axisRow" compact="0" outline="0" showAll="0">
      <items count="207">
        <item x="10"/>
        <item x="11"/>
        <item x="66"/>
        <item x="5"/>
        <item x="37"/>
        <item x="67"/>
        <item x="68"/>
        <item x="69"/>
        <item x="16"/>
        <item x="70"/>
        <item x="71"/>
        <item x="72"/>
        <item x="73"/>
        <item x="74"/>
        <item x="75"/>
        <item x="76"/>
        <item x="77"/>
        <item x="64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6"/>
        <item x="103"/>
        <item x="203"/>
        <item x="104"/>
        <item x="105"/>
        <item x="106"/>
        <item x="107"/>
        <item x="14"/>
        <item x="15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65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0"/>
        <item x="2"/>
        <item x="1"/>
        <item x="3"/>
        <item x="17"/>
        <item x="18"/>
        <item x="19"/>
        <item x="20"/>
        <item x="43"/>
        <item x="44"/>
        <item x="41"/>
        <item x="13"/>
        <item x="21"/>
        <item x="24"/>
        <item x="23"/>
        <item x="22"/>
        <item x="42"/>
        <item x="27"/>
        <item x="26"/>
        <item x="31"/>
        <item x="12"/>
        <item x="7"/>
        <item x="8"/>
        <item x="9"/>
        <item x="40"/>
        <item x="50"/>
        <item x="36"/>
        <item x="35"/>
        <item x="51"/>
        <item x="45"/>
        <item x="46"/>
        <item x="34"/>
        <item x="32"/>
        <item x="33"/>
        <item x="60"/>
        <item x="61"/>
        <item x="59"/>
        <item x="29"/>
        <item x="30"/>
        <item x="39"/>
        <item x="38"/>
        <item x="57"/>
        <item x="58"/>
        <item x="28"/>
        <item x="25"/>
        <item x="47"/>
        <item x="48"/>
        <item x="49"/>
        <item x="63"/>
        <item x="62"/>
        <item x="52"/>
        <item x="4"/>
        <item x="55"/>
        <item x="56"/>
        <item x="204"/>
        <item x="201"/>
        <item x="202"/>
        <item x="53"/>
        <item x="54"/>
        <item x="205"/>
        <item t="default"/>
      </items>
    </pivotField>
    <pivotField compact="0" numFmtId="14" outline="0" showAll="0">
      <items count="200">
        <item m="1" x="139"/>
        <item m="1" x="183"/>
        <item m="1" x="182"/>
        <item m="1" x="173"/>
        <item m="1" x="186"/>
        <item m="1" x="176"/>
        <item m="1" x="185"/>
        <item m="1" x="179"/>
        <item m="1" x="181"/>
        <item m="1" x="184"/>
        <item m="1" x="180"/>
        <item m="1" x="177"/>
        <item m="1" x="138"/>
        <item m="1" x="187"/>
        <item m="1" x="178"/>
        <item m="1" x="175"/>
        <item m="1" x="105"/>
        <item m="1" x="188"/>
        <item m="1" x="189"/>
        <item m="1" x="196"/>
        <item m="1" x="195"/>
        <item m="1" x="194"/>
        <item m="1" x="197"/>
        <item m="1" x="174"/>
        <item m="1" x="198"/>
        <item m="1" x="193"/>
        <item m="1" x="191"/>
        <item m="1" x="126"/>
        <item m="1" x="192"/>
        <item m="1" x="190"/>
        <item m="1" x="46"/>
        <item m="1" x="35"/>
        <item m="1" x="40"/>
        <item m="1" x="41"/>
        <item m="1" x="42"/>
        <item m="1" x="36"/>
        <item m="1" x="45"/>
        <item m="1" x="43"/>
        <item m="1" x="37"/>
        <item m="1" x="34"/>
        <item m="1" x="47"/>
        <item m="1" x="48"/>
        <item m="1" x="44"/>
        <item m="1" x="49"/>
        <item m="1" x="39"/>
        <item m="1" x="51"/>
        <item m="1" x="52"/>
        <item m="1" x="50"/>
        <item m="1" x="38"/>
        <item m="1" x="53"/>
        <item m="1" x="54"/>
        <item m="1" x="55"/>
        <item m="1" x="64"/>
        <item m="1" x="69"/>
        <item m="1" x="68"/>
        <item m="1" x="59"/>
        <item m="1" x="58"/>
        <item m="1" x="56"/>
        <item m="1" x="65"/>
        <item m="1" x="63"/>
        <item m="1" x="61"/>
        <item m="1" x="60"/>
        <item m="1" x="67"/>
        <item m="1" x="73"/>
        <item m="1" x="66"/>
        <item m="1" x="72"/>
        <item m="1" x="71"/>
        <item m="1" x="70"/>
        <item m="1" x="57"/>
        <item m="1" x="62"/>
        <item m="1" x="90"/>
        <item m="1" x="74"/>
        <item m="1" x="75"/>
        <item m="1" x="76"/>
        <item m="1" x="77"/>
        <item m="1" x="78"/>
        <item m="1" x="85"/>
        <item m="1" x="79"/>
        <item m="1" x="84"/>
        <item m="1" x="80"/>
        <item m="1" x="86"/>
        <item m="1" x="92"/>
        <item m="1" x="91"/>
        <item m="1" x="81"/>
        <item m="1" x="82"/>
        <item m="1" x="87"/>
        <item m="1" x="83"/>
        <item m="1" x="93"/>
        <item m="1" x="88"/>
        <item m="1" x="89"/>
        <item m="1" x="115"/>
        <item m="1" x="110"/>
        <item m="1" x="94"/>
        <item m="1" x="116"/>
        <item m="1" x="114"/>
        <item m="1" x="112"/>
        <item m="1" x="109"/>
        <item m="1" x="111"/>
        <item m="1" x="108"/>
        <item m="1" x="113"/>
        <item m="1" x="107"/>
        <item m="1" x="95"/>
        <item m="1" x="106"/>
        <item m="1" x="120"/>
        <item m="1" x="119"/>
        <item m="1" x="121"/>
        <item m="1" x="96"/>
        <item m="1" x="97"/>
        <item m="1" x="117"/>
        <item m="1" x="122"/>
        <item m="1" x="118"/>
        <item m="1" x="98"/>
        <item m="1" x="99"/>
        <item m="1" x="125"/>
        <item m="1" x="100"/>
        <item m="1" x="101"/>
        <item m="1" x="102"/>
        <item m="1" x="103"/>
        <item m="1" x="123"/>
        <item m="1" x="104"/>
        <item m="1" x="124"/>
        <item m="1" x="137"/>
        <item m="1" x="134"/>
        <item m="1" x="133"/>
        <item m="1" x="128"/>
        <item m="1" x="129"/>
        <item m="1" x="127"/>
        <item m="1" x="135"/>
        <item m="1" x="132"/>
        <item m="1" x="130"/>
        <item m="1" x="131"/>
        <item m="1" x="136"/>
        <item m="1" x="150"/>
        <item m="1" x="149"/>
        <item m="1" x="148"/>
        <item m="1" x="147"/>
        <item m="1" x="146"/>
        <item m="1" x="145"/>
        <item m="1" x="144"/>
        <item m="1" x="143"/>
        <item m="1" x="142"/>
        <item m="1" x="141"/>
        <item m="1" x="140"/>
        <item m="1" x="154"/>
        <item m="1" x="155"/>
        <item m="1" x="152"/>
        <item m="1" x="153"/>
        <item m="1" x="151"/>
        <item m="1" x="156"/>
        <item m="1" x="157"/>
        <item m="1" x="158"/>
        <item m="1" x="159"/>
        <item m="1" x="160"/>
        <item m="1" x="162"/>
        <item m="1" x="167"/>
        <item m="1" x="161"/>
        <item m="1" x="163"/>
        <item m="1" x="169"/>
        <item m="1" x="164"/>
        <item m="1" x="168"/>
        <item m="1" x="172"/>
        <item m="1" x="171"/>
        <item m="1" x="170"/>
        <item m="1" x="165"/>
        <item m="1" x="166"/>
        <item x="18"/>
        <item x="19"/>
        <item x="20"/>
        <item x="21"/>
        <item x="22"/>
        <item x="23"/>
        <item x="24"/>
        <item x="17"/>
        <item x="25"/>
        <item x="26"/>
        <item x="27"/>
        <item x="16"/>
        <item x="15"/>
        <item x="28"/>
        <item x="29"/>
        <item x="32"/>
        <item x="31"/>
        <item x="30"/>
        <item x="0"/>
        <item x="1"/>
        <item x="2"/>
        <item x="8"/>
        <item x="6"/>
        <item x="7"/>
        <item x="10"/>
        <item x="5"/>
        <item x="4"/>
        <item x="13"/>
        <item x="14"/>
        <item x="12"/>
        <item x="11"/>
        <item x="9"/>
        <item x="3"/>
        <item x="33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77">
        <item x="140"/>
        <item x="109"/>
        <item x="149"/>
        <item x="13"/>
        <item x="151"/>
        <item x="89"/>
        <item x="92"/>
        <item x="74"/>
        <item x="56"/>
        <item x="57"/>
        <item x="47"/>
        <item x="50"/>
        <item x="68"/>
        <item x="61"/>
        <item x="123"/>
        <item x="51"/>
        <item x="94"/>
        <item x="141"/>
        <item x="142"/>
        <item x="131"/>
        <item x="14"/>
        <item x="90"/>
        <item x="128"/>
        <item x="106"/>
        <item x="155"/>
        <item x="157"/>
        <item x="153"/>
        <item x="156"/>
        <item x="66"/>
        <item x="127"/>
        <item x="52"/>
        <item x="114"/>
        <item x="75"/>
        <item x="85"/>
        <item x="76"/>
        <item x="125"/>
        <item x="134"/>
        <item x="72"/>
        <item x="54"/>
        <item x="136"/>
        <item x="83"/>
        <item x="65"/>
        <item x="173"/>
        <item x="159"/>
        <item x="116"/>
        <item x="103"/>
        <item x="165"/>
        <item x="64"/>
        <item x="86"/>
        <item x="170"/>
        <item x="115"/>
        <item x="100"/>
        <item x="121"/>
        <item x="168"/>
        <item x="146"/>
        <item x="111"/>
        <item x="117"/>
        <item x="91"/>
        <item x="49"/>
        <item x="63"/>
        <item x="113"/>
        <item x="88"/>
        <item x="58"/>
        <item x="46"/>
        <item x="150"/>
        <item x="48"/>
        <item x="15"/>
        <item x="62"/>
        <item x="71"/>
        <item x="81"/>
        <item x="105"/>
        <item x="126"/>
        <item x="130"/>
        <item x="84"/>
        <item x="60"/>
        <item x="70"/>
        <item x="59"/>
        <item x="139"/>
        <item x="101"/>
        <item x="161"/>
        <item x="67"/>
        <item x="108"/>
        <item x="93"/>
        <item x="110"/>
        <item x="167"/>
        <item x="82"/>
        <item x="112"/>
        <item x="137"/>
        <item x="87"/>
        <item x="69"/>
        <item x="102"/>
        <item x="95"/>
        <item x="104"/>
        <item x="55"/>
        <item x="53"/>
        <item x="38"/>
        <item x="96"/>
        <item x="169"/>
        <item x="118"/>
        <item x="152"/>
        <item x="99"/>
        <item x="37"/>
        <item x="1"/>
        <item x="80"/>
        <item x="0"/>
        <item x="143"/>
        <item x="147"/>
        <item x="119"/>
        <item x="73"/>
        <item x="171"/>
        <item x="122"/>
        <item x="148"/>
        <item x="145"/>
        <item x="158"/>
        <item x="174"/>
        <item x="98"/>
        <item x="78"/>
        <item x="160"/>
        <item x="144"/>
        <item x="162"/>
        <item x="129"/>
        <item x="77"/>
        <item x="172"/>
        <item x="33"/>
        <item x="107"/>
        <item x="138"/>
        <item x="132"/>
        <item x="124"/>
        <item x="133"/>
        <item x="166"/>
        <item x="163"/>
        <item x="97"/>
        <item x="79"/>
        <item x="135"/>
        <item x="154"/>
        <item x="120"/>
        <item x="164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9"/>
        <item x="40"/>
        <item x="41"/>
        <item x="42"/>
        <item x="43"/>
        <item x="44"/>
        <item x="45"/>
        <item x="17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2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Prima neta" fld="8" baseField="0" baseItem="0"/>
    <dataField name="Suma de Comisión Bruta" fld="9" baseField="0" baseItem="0"/>
    <dataField name="Suma de Comisión prima neta" fld="10" baseField="0" baseItem="0"/>
    <dataField name="Suma de Comisión complementaria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c.anadon@sabseg.com" TargetMode="External"/><Relationship Id="rId2" Type="http://schemas.openxmlformats.org/officeDocument/2006/relationships/hyperlink" Target="mailto:pere.torres@sabseg.com" TargetMode="External"/><Relationship Id="rId1" Type="http://schemas.openxmlformats.org/officeDocument/2006/relationships/hyperlink" Target="mailto:carles.saez@sabseg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7E3B-4C39-4B40-A276-7423FFD64277}">
  <dimension ref="B5:J25"/>
  <sheetViews>
    <sheetView showGridLines="0" zoomScale="110" zoomScaleNormal="110" workbookViewId="0">
      <selection activeCell="F30" sqref="F30"/>
    </sheetView>
  </sheetViews>
  <sheetFormatPr baseColWidth="10" defaultColWidth="11.453125" defaultRowHeight="14.5" x14ac:dyDescent="0.35"/>
  <cols>
    <col min="2" max="2" width="5.26953125" customWidth="1"/>
    <col min="10" max="10" width="24.26953125" customWidth="1"/>
  </cols>
  <sheetData>
    <row r="5" spans="2:10" x14ac:dyDescent="0.35">
      <c r="B5" s="65" t="s">
        <v>0</v>
      </c>
      <c r="C5" s="65"/>
      <c r="D5" s="65"/>
      <c r="E5" s="65"/>
      <c r="F5" s="65"/>
      <c r="G5" s="65"/>
      <c r="H5" s="65"/>
      <c r="I5" s="65"/>
      <c r="J5" s="65"/>
    </row>
    <row r="6" spans="2:10" x14ac:dyDescent="0.35">
      <c r="B6" s="10"/>
      <c r="C6" s="10"/>
      <c r="D6" s="10"/>
      <c r="E6" s="10"/>
      <c r="F6" s="10"/>
      <c r="G6" s="10"/>
      <c r="H6" s="10"/>
      <c r="I6" s="10"/>
      <c r="J6" s="20"/>
    </row>
    <row r="7" spans="2:10" x14ac:dyDescent="0.35">
      <c r="B7" s="8"/>
      <c r="C7" s="8" t="s">
        <v>1</v>
      </c>
      <c r="D7" s="8"/>
      <c r="E7" s="8"/>
      <c r="F7" s="8"/>
      <c r="G7" s="8"/>
      <c r="H7" s="8"/>
      <c r="I7" s="8"/>
      <c r="J7" s="21"/>
    </row>
    <row r="8" spans="2:10" x14ac:dyDescent="0.35">
      <c r="B8" s="8"/>
      <c r="C8" s="8" t="s">
        <v>2</v>
      </c>
      <c r="D8" s="8"/>
      <c r="E8" s="8"/>
      <c r="F8" s="8"/>
      <c r="G8" s="8"/>
      <c r="H8" s="8"/>
      <c r="I8" s="8"/>
      <c r="J8" s="21"/>
    </row>
    <row r="9" spans="2:10" x14ac:dyDescent="0.35">
      <c r="B9" s="8"/>
      <c r="C9" s="8"/>
      <c r="D9" s="8"/>
      <c r="E9" s="8"/>
      <c r="F9" s="8"/>
      <c r="G9" s="8"/>
      <c r="H9" s="8"/>
      <c r="I9" s="8"/>
      <c r="J9" s="21"/>
    </row>
    <row r="10" spans="2:10" x14ac:dyDescent="0.35">
      <c r="B10" s="8"/>
      <c r="C10" s="22" t="s">
        <v>3</v>
      </c>
      <c r="D10" s="8"/>
      <c r="E10" s="8"/>
      <c r="F10" s="8"/>
      <c r="G10" s="8"/>
      <c r="H10" s="8"/>
      <c r="I10" s="8"/>
      <c r="J10" s="21"/>
    </row>
    <row r="11" spans="2:10" x14ac:dyDescent="0.35">
      <c r="B11" s="8"/>
      <c r="C11" s="8"/>
      <c r="D11" s="8"/>
      <c r="E11" s="8"/>
      <c r="F11" s="8"/>
      <c r="G11" s="8"/>
      <c r="H11" s="8"/>
      <c r="I11" s="8"/>
      <c r="J11" s="21"/>
    </row>
    <row r="12" spans="2:10" x14ac:dyDescent="0.35">
      <c r="B12" s="8"/>
      <c r="C12" s="9" t="s">
        <v>4</v>
      </c>
      <c r="D12" s="8"/>
      <c r="E12" s="8"/>
      <c r="F12" s="8"/>
      <c r="G12" s="8"/>
      <c r="H12" s="8"/>
      <c r="I12" s="8"/>
      <c r="J12" s="21"/>
    </row>
    <row r="13" spans="2:10" x14ac:dyDescent="0.35">
      <c r="B13" s="8"/>
      <c r="C13" s="9" t="s">
        <v>5</v>
      </c>
      <c r="D13" s="8"/>
      <c r="E13" s="8"/>
      <c r="F13" s="8"/>
      <c r="G13" s="8"/>
      <c r="H13" s="8"/>
      <c r="I13" s="8"/>
      <c r="J13" s="21"/>
    </row>
    <row r="14" spans="2:10" x14ac:dyDescent="0.35">
      <c r="B14" s="8"/>
      <c r="D14" s="9" t="s">
        <v>6</v>
      </c>
      <c r="E14" s="8"/>
      <c r="F14" s="8"/>
      <c r="G14" s="8"/>
      <c r="H14" s="8"/>
      <c r="I14" s="8"/>
      <c r="J14" s="21"/>
    </row>
    <row r="15" spans="2:10" ht="14.5" customHeight="1" x14ac:dyDescent="0.35">
      <c r="B15" s="8"/>
      <c r="D15" s="9" t="s">
        <v>7</v>
      </c>
      <c r="E15" s="8"/>
      <c r="F15" s="8"/>
      <c r="G15" s="8"/>
      <c r="H15" s="8"/>
      <c r="I15" s="8"/>
      <c r="J15" s="21"/>
    </row>
    <row r="16" spans="2:10" x14ac:dyDescent="0.35">
      <c r="B16" s="8"/>
      <c r="C16" s="9" t="s">
        <v>8</v>
      </c>
      <c r="D16" s="8"/>
      <c r="E16" s="8"/>
      <c r="F16" s="8"/>
      <c r="G16" s="8"/>
      <c r="H16" s="8"/>
      <c r="I16" s="8"/>
      <c r="J16" s="21"/>
    </row>
    <row r="17" spans="3:4" x14ac:dyDescent="0.35">
      <c r="C17" s="9" t="s">
        <v>9</v>
      </c>
      <c r="D17" s="8"/>
    </row>
    <row r="18" spans="3:4" x14ac:dyDescent="0.35">
      <c r="C18" s="9" t="s">
        <v>10</v>
      </c>
      <c r="D18" s="8"/>
    </row>
    <row r="19" spans="3:4" x14ac:dyDescent="0.35">
      <c r="C19" s="9" t="s">
        <v>11</v>
      </c>
      <c r="D19" s="8"/>
    </row>
    <row r="20" spans="3:4" x14ac:dyDescent="0.35">
      <c r="C20" s="9" t="s">
        <v>12</v>
      </c>
      <c r="D20" s="8"/>
    </row>
    <row r="21" spans="3:4" x14ac:dyDescent="0.35">
      <c r="C21" s="9" t="s">
        <v>13</v>
      </c>
      <c r="D21" s="8"/>
    </row>
    <row r="22" spans="3:4" x14ac:dyDescent="0.35">
      <c r="C22" s="23" t="s">
        <v>14</v>
      </c>
      <c r="D22" s="8"/>
    </row>
    <row r="23" spans="3:4" x14ac:dyDescent="0.35">
      <c r="C23" s="8"/>
      <c r="D23" s="24" t="s">
        <v>15</v>
      </c>
    </row>
    <row r="24" spans="3:4" x14ac:dyDescent="0.35">
      <c r="C24" s="8"/>
      <c r="D24" s="24" t="s">
        <v>16</v>
      </c>
    </row>
    <row r="25" spans="3:4" x14ac:dyDescent="0.35">
      <c r="C25" s="25"/>
      <c r="D25" s="26" t="s">
        <v>17</v>
      </c>
    </row>
  </sheetData>
  <mergeCells count="1">
    <mergeCell ref="B5:J5"/>
  </mergeCells>
  <hyperlinks>
    <hyperlink ref="D23" r:id="rId1" xr:uid="{F08D3C81-5E2A-4559-84A2-FEC20DDF9E7D}"/>
    <hyperlink ref="D24" r:id="rId2" xr:uid="{287FF756-0498-43ED-B342-DD76A82A2539}"/>
    <hyperlink ref="D25" r:id="rId3" xr:uid="{0D6B488C-58D3-431C-90B2-236C5015A843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61B1-1232-4C64-A4A0-828E30549AE1}">
  <dimension ref="A1:K40"/>
  <sheetViews>
    <sheetView showGridLines="0" workbookViewId="0">
      <selection activeCell="B13" sqref="B13"/>
    </sheetView>
  </sheetViews>
  <sheetFormatPr baseColWidth="10" defaultColWidth="11.453125" defaultRowHeight="14.5" x14ac:dyDescent="0.35"/>
  <cols>
    <col min="1" max="1" width="34.81640625" style="4" customWidth="1"/>
    <col min="2" max="2" width="115.453125" style="4" customWidth="1"/>
    <col min="3" max="3" width="16.7265625" customWidth="1"/>
    <col min="4" max="4" width="15.7265625" customWidth="1"/>
    <col min="8" max="8" width="17.81640625" customWidth="1"/>
    <col min="9" max="9" width="18.7265625" customWidth="1"/>
    <col min="10" max="10" width="15.54296875" customWidth="1"/>
    <col min="11" max="11" width="18.1796875" customWidth="1"/>
    <col min="12" max="12" width="18" customWidth="1"/>
    <col min="13" max="13" width="12" customWidth="1"/>
    <col min="14" max="14" width="14" customWidth="1"/>
    <col min="15" max="15" width="12.453125" customWidth="1"/>
    <col min="16" max="16" width="14.81640625" customWidth="1"/>
    <col min="17" max="17" width="15.81640625" customWidth="1"/>
  </cols>
  <sheetData>
    <row r="1" spans="1:11" x14ac:dyDescent="0.35">
      <c r="A1" s="7" t="s">
        <v>18</v>
      </c>
      <c r="B1" s="7" t="s">
        <v>19</v>
      </c>
    </row>
    <row r="2" spans="1:11" ht="15" customHeight="1" x14ac:dyDescent="0.35">
      <c r="A2" s="5" t="s">
        <v>20</v>
      </c>
      <c r="B2" s="2" t="s">
        <v>21</v>
      </c>
    </row>
    <row r="3" spans="1:11" ht="15" customHeight="1" x14ac:dyDescent="0.35">
      <c r="A3" s="32" t="s">
        <v>22</v>
      </c>
      <c r="B3" s="2" t="s">
        <v>23</v>
      </c>
    </row>
    <row r="4" spans="1:11" ht="15" customHeight="1" x14ac:dyDescent="0.35">
      <c r="A4" s="5" t="s">
        <v>24</v>
      </c>
      <c r="B4" s="2" t="s">
        <v>25</v>
      </c>
    </row>
    <row r="5" spans="1:11" ht="15" customHeight="1" x14ac:dyDescent="0.35">
      <c r="A5" s="32" t="s">
        <v>26</v>
      </c>
      <c r="B5" s="2" t="s">
        <v>27</v>
      </c>
    </row>
    <row r="6" spans="1:11" ht="15" customHeight="1" x14ac:dyDescent="0.35">
      <c r="A6" s="5" t="s">
        <v>28</v>
      </c>
      <c r="B6" s="2" t="s">
        <v>29</v>
      </c>
    </row>
    <row r="7" spans="1:11" ht="15" customHeight="1" x14ac:dyDescent="0.35">
      <c r="A7" s="5" t="s">
        <v>30</v>
      </c>
      <c r="B7" s="2" t="s">
        <v>31</v>
      </c>
    </row>
    <row r="8" spans="1:11" ht="15" customHeight="1" x14ac:dyDescent="0.35">
      <c r="A8" s="5" t="s">
        <v>32</v>
      </c>
      <c r="B8" s="2" t="s">
        <v>33</v>
      </c>
    </row>
    <row r="9" spans="1:11" ht="15" customHeight="1" x14ac:dyDescent="0.35">
      <c r="A9" s="5" t="s">
        <v>34</v>
      </c>
      <c r="B9" s="2" t="s">
        <v>35</v>
      </c>
    </row>
    <row r="10" spans="1:11" ht="15" customHeight="1" x14ac:dyDescent="0.35">
      <c r="A10" s="5" t="s">
        <v>36</v>
      </c>
      <c r="B10" s="2" t="s">
        <v>37</v>
      </c>
    </row>
    <row r="11" spans="1:11" ht="15" customHeight="1" x14ac:dyDescent="0.35">
      <c r="A11" s="5" t="s">
        <v>38</v>
      </c>
      <c r="B11" s="2" t="s">
        <v>39</v>
      </c>
    </row>
    <row r="12" spans="1:11" ht="15" customHeight="1" x14ac:dyDescent="0.35">
      <c r="A12" s="5" t="s">
        <v>40</v>
      </c>
      <c r="B12" s="2" t="s">
        <v>41</v>
      </c>
    </row>
    <row r="13" spans="1:11" ht="15" customHeight="1" x14ac:dyDescent="0.35">
      <c r="A13" s="5" t="s">
        <v>42</v>
      </c>
      <c r="B13" s="2" t="s">
        <v>43</v>
      </c>
    </row>
    <row r="14" spans="1:11" ht="45.65" customHeight="1" x14ac:dyDescent="0.35">
      <c r="A14" s="5" t="s">
        <v>44</v>
      </c>
      <c r="B14" s="2" t="s">
        <v>45</v>
      </c>
      <c r="C14" s="67"/>
      <c r="D14" s="67"/>
      <c r="E14" s="67"/>
      <c r="F14" s="67"/>
      <c r="G14" s="67"/>
      <c r="H14" s="67"/>
      <c r="K14" s="1" t="s">
        <v>46</v>
      </c>
    </row>
    <row r="15" spans="1:11" ht="45.65" customHeight="1" x14ac:dyDescent="0.35">
      <c r="A15" s="32" t="s">
        <v>47</v>
      </c>
      <c r="B15" s="2" t="s">
        <v>45</v>
      </c>
      <c r="C15" s="67"/>
      <c r="D15" s="67"/>
      <c r="E15" s="67"/>
      <c r="F15" s="67"/>
      <c r="G15" s="67"/>
      <c r="H15" s="67"/>
      <c r="K15" s="1" t="s">
        <v>46</v>
      </c>
    </row>
    <row r="16" spans="1:11" ht="45.65" customHeight="1" x14ac:dyDescent="0.35">
      <c r="A16" s="32" t="s">
        <v>48</v>
      </c>
      <c r="B16" s="2" t="s">
        <v>45</v>
      </c>
      <c r="C16" s="67"/>
      <c r="D16" s="67"/>
      <c r="E16" s="67"/>
      <c r="F16" s="67"/>
      <c r="G16" s="67"/>
      <c r="H16" s="67"/>
      <c r="K16" s="1" t="s">
        <v>46</v>
      </c>
    </row>
    <row r="17" spans="1:8" ht="19.5" customHeight="1" x14ac:dyDescent="0.35">
      <c r="A17" s="5" t="s">
        <v>49</v>
      </c>
      <c r="B17" s="2" t="s">
        <v>50</v>
      </c>
    </row>
    <row r="18" spans="1:8" ht="19.5" customHeight="1" x14ac:dyDescent="0.35">
      <c r="A18" s="32" t="s">
        <v>51</v>
      </c>
      <c r="B18" s="2" t="s">
        <v>50</v>
      </c>
    </row>
    <row r="19" spans="1:8" ht="19.5" customHeight="1" x14ac:dyDescent="0.35">
      <c r="A19" s="32" t="s">
        <v>52</v>
      </c>
      <c r="B19" s="2" t="s">
        <v>50</v>
      </c>
    </row>
    <row r="20" spans="1:8" ht="19.5" customHeight="1" x14ac:dyDescent="0.35">
      <c r="A20" s="32" t="s">
        <v>53</v>
      </c>
      <c r="B20" s="2" t="s">
        <v>54</v>
      </c>
    </row>
    <row r="21" spans="1:8" ht="15" customHeight="1" x14ac:dyDescent="0.35">
      <c r="A21" s="5" t="s">
        <v>55</v>
      </c>
      <c r="B21" s="3" t="s">
        <v>56</v>
      </c>
      <c r="C21" s="67"/>
      <c r="D21" s="67"/>
      <c r="E21" s="67"/>
      <c r="F21" s="67"/>
      <c r="G21" s="67"/>
      <c r="H21" s="67"/>
    </row>
    <row r="22" spans="1:8" ht="15" customHeight="1" x14ac:dyDescent="0.35">
      <c r="A22" s="5" t="s">
        <v>57</v>
      </c>
      <c r="B22" s="2" t="s">
        <v>58</v>
      </c>
    </row>
    <row r="23" spans="1:8" ht="15" customHeight="1" x14ac:dyDescent="0.35">
      <c r="A23" s="5" t="s">
        <v>59</v>
      </c>
      <c r="B23" s="2" t="s">
        <v>60</v>
      </c>
    </row>
    <row r="24" spans="1:8" x14ac:dyDescent="0.35">
      <c r="A24" s="5" t="s">
        <v>61</v>
      </c>
      <c r="B24" s="2" t="s">
        <v>62</v>
      </c>
      <c r="C24" s="67"/>
      <c r="D24" s="67"/>
      <c r="E24" s="67"/>
      <c r="F24" s="67"/>
      <c r="G24" s="67"/>
      <c r="H24" s="67"/>
    </row>
    <row r="25" spans="1:8" x14ac:dyDescent="0.35">
      <c r="A25" s="32" t="s">
        <v>63</v>
      </c>
      <c r="B25" s="2" t="s">
        <v>64</v>
      </c>
      <c r="C25" s="67"/>
      <c r="D25" s="67"/>
      <c r="E25" s="67"/>
      <c r="F25" s="67"/>
      <c r="G25" s="67"/>
      <c r="H25" s="67"/>
    </row>
    <row r="26" spans="1:8" ht="14.25" customHeight="1" x14ac:dyDescent="0.35">
      <c r="A26" s="31" t="s">
        <v>65</v>
      </c>
      <c r="B26" s="3" t="s">
        <v>66</v>
      </c>
      <c r="C26" s="67"/>
      <c r="D26" s="67"/>
      <c r="E26" s="67"/>
      <c r="F26" s="67"/>
      <c r="G26" s="67"/>
      <c r="H26" s="67"/>
    </row>
    <row r="27" spans="1:8" ht="14.25" customHeight="1" x14ac:dyDescent="0.35">
      <c r="A27" s="31" t="s">
        <v>67</v>
      </c>
      <c r="B27" s="66" t="s">
        <v>68</v>
      </c>
      <c r="C27" s="67"/>
      <c r="D27" s="67"/>
      <c r="E27" s="67"/>
      <c r="F27" s="67"/>
      <c r="G27" s="67"/>
      <c r="H27" s="67"/>
    </row>
    <row r="28" spans="1:8" ht="14.25" customHeight="1" x14ac:dyDescent="0.35">
      <c r="A28" s="31" t="s">
        <v>69</v>
      </c>
      <c r="B28" s="66"/>
      <c r="C28" s="67"/>
      <c r="D28" s="67"/>
      <c r="E28" s="67"/>
      <c r="F28" s="67"/>
      <c r="G28" s="67"/>
      <c r="H28" s="67"/>
    </row>
    <row r="29" spans="1:8" ht="14.25" customHeight="1" x14ac:dyDescent="0.35">
      <c r="A29" s="31" t="s">
        <v>70</v>
      </c>
      <c r="B29" s="66"/>
      <c r="C29" s="67"/>
      <c r="D29" s="67"/>
      <c r="E29" s="67"/>
      <c r="F29" s="67"/>
      <c r="G29" s="67"/>
      <c r="H29" s="67"/>
    </row>
    <row r="30" spans="1:8" ht="15" customHeight="1" x14ac:dyDescent="0.35">
      <c r="A30" s="5" t="s">
        <v>71</v>
      </c>
      <c r="B30" s="66"/>
    </row>
    <row r="31" spans="1:8" ht="15" customHeight="1" x14ac:dyDescent="0.35">
      <c r="A31" s="6" t="s">
        <v>72</v>
      </c>
      <c r="B31" s="2" t="s">
        <v>73</v>
      </c>
    </row>
    <row r="32" spans="1:8" ht="15" customHeight="1" x14ac:dyDescent="0.35">
      <c r="A32" s="6" t="s">
        <v>74</v>
      </c>
      <c r="B32" s="2" t="s">
        <v>75</v>
      </c>
    </row>
    <row r="33" spans="1:2" ht="15" customHeight="1" x14ac:dyDescent="0.35">
      <c r="A33" s="6" t="s">
        <v>76</v>
      </c>
      <c r="B33" s="3" t="s">
        <v>77</v>
      </c>
    </row>
    <row r="34" spans="1:2" ht="15" customHeight="1" x14ac:dyDescent="0.35">
      <c r="A34" s="6" t="s">
        <v>78</v>
      </c>
      <c r="B34" s="2" t="s">
        <v>79</v>
      </c>
    </row>
    <row r="36" spans="1:2" x14ac:dyDescent="0.35">
      <c r="A36" s="7" t="s">
        <v>80</v>
      </c>
      <c r="B36" s="7" t="s">
        <v>19</v>
      </c>
    </row>
    <row r="37" spans="1:2" x14ac:dyDescent="0.35">
      <c r="A37" s="5" t="s">
        <v>81</v>
      </c>
      <c r="B37" s="4" t="s">
        <v>82</v>
      </c>
    </row>
    <row r="38" spans="1:2" x14ac:dyDescent="0.35">
      <c r="A38" s="5" t="s">
        <v>83</v>
      </c>
      <c r="B38" s="4" t="s">
        <v>84</v>
      </c>
    </row>
    <row r="39" spans="1:2" x14ac:dyDescent="0.35">
      <c r="A39" s="5" t="s">
        <v>85</v>
      </c>
      <c r="B39" s="4" t="s">
        <v>86</v>
      </c>
    </row>
    <row r="40" spans="1:2" x14ac:dyDescent="0.35">
      <c r="A40" s="5" t="s">
        <v>87</v>
      </c>
      <c r="B40" s="4" t="s">
        <v>88</v>
      </c>
    </row>
  </sheetData>
  <mergeCells count="11">
    <mergeCell ref="B27:B30"/>
    <mergeCell ref="C14:H14"/>
    <mergeCell ref="C16:H16"/>
    <mergeCell ref="C21:H21"/>
    <mergeCell ref="C15:H15"/>
    <mergeCell ref="C24:H24"/>
    <mergeCell ref="C29:H29"/>
    <mergeCell ref="C28:H28"/>
    <mergeCell ref="C27:H27"/>
    <mergeCell ref="C26:H26"/>
    <mergeCell ref="C25:H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0D49-8D65-45C4-BF76-8C6A07DD4334}">
  <sheetPr>
    <tabColor theme="3" tint="0.749992370372631"/>
  </sheetPr>
  <dimension ref="A1:AO218"/>
  <sheetViews>
    <sheetView topLeftCell="G1" workbookViewId="0">
      <pane ySplit="1" topLeftCell="A170" activePane="bottomLeft" state="frozen"/>
      <selection pane="bottomLeft" activeCell="N181" sqref="N181"/>
    </sheetView>
  </sheetViews>
  <sheetFormatPr baseColWidth="10" defaultColWidth="10.81640625" defaultRowHeight="14.5" x14ac:dyDescent="0.35"/>
  <cols>
    <col min="1" max="23" width="16" style="17" customWidth="1"/>
    <col min="24" max="24" width="18.453125" style="17" customWidth="1"/>
    <col min="25" max="25" width="16.7265625" style="17" customWidth="1"/>
    <col min="26" max="27" width="16" style="17" customWidth="1"/>
    <col min="28" max="28" width="16.453125" style="17" customWidth="1"/>
    <col min="29" max="33" width="16" style="17" customWidth="1"/>
    <col min="34" max="16384" width="10.81640625" style="18"/>
  </cols>
  <sheetData>
    <row r="1" spans="1:41" customFormat="1" ht="39" x14ac:dyDescent="0.35">
      <c r="A1" s="15" t="s">
        <v>20</v>
      </c>
      <c r="B1" s="30" t="s">
        <v>89</v>
      </c>
      <c r="C1" s="15" t="s">
        <v>24</v>
      </c>
      <c r="D1" s="30" t="s">
        <v>26</v>
      </c>
      <c r="E1" s="15" t="s">
        <v>28</v>
      </c>
      <c r="F1" s="15" t="s">
        <v>30</v>
      </c>
      <c r="G1" s="15" t="s">
        <v>32</v>
      </c>
      <c r="H1" s="15" t="s">
        <v>34</v>
      </c>
      <c r="I1" s="15" t="s">
        <v>36</v>
      </c>
      <c r="J1" s="15" t="s">
        <v>90</v>
      </c>
      <c r="K1" s="15" t="s">
        <v>40</v>
      </c>
      <c r="L1" s="15" t="s">
        <v>42</v>
      </c>
      <c r="M1" s="15" t="s">
        <v>44</v>
      </c>
      <c r="N1" s="30" t="s">
        <v>47</v>
      </c>
      <c r="O1" s="30" t="s">
        <v>48</v>
      </c>
      <c r="P1" s="15" t="s">
        <v>49</v>
      </c>
      <c r="Q1" s="30" t="s">
        <v>51</v>
      </c>
      <c r="R1" s="30" t="s">
        <v>52</v>
      </c>
      <c r="S1" s="30" t="s">
        <v>53</v>
      </c>
      <c r="T1" s="15" t="s">
        <v>55</v>
      </c>
      <c r="U1" s="15" t="s">
        <v>57</v>
      </c>
      <c r="V1" s="15" t="s">
        <v>59</v>
      </c>
      <c r="W1" s="15" t="s">
        <v>61</v>
      </c>
      <c r="X1" s="30" t="s">
        <v>63</v>
      </c>
      <c r="Y1" s="29" t="s">
        <v>65</v>
      </c>
      <c r="Z1" s="29" t="s">
        <v>67</v>
      </c>
      <c r="AA1" s="29" t="s">
        <v>69</v>
      </c>
      <c r="AB1" s="29" t="s">
        <v>70</v>
      </c>
      <c r="AC1" s="15" t="s">
        <v>71</v>
      </c>
      <c r="AD1" s="16" t="s">
        <v>72</v>
      </c>
      <c r="AE1" s="16" t="s">
        <v>74</v>
      </c>
      <c r="AF1" s="16" t="s">
        <v>76</v>
      </c>
      <c r="AG1" s="16" t="s">
        <v>78</v>
      </c>
      <c r="AH1" s="50" t="s">
        <v>91</v>
      </c>
    </row>
    <row r="2" spans="1:41" x14ac:dyDescent="0.35">
      <c r="A2" s="27"/>
      <c r="B2" s="27"/>
      <c r="D2" t="s">
        <v>92</v>
      </c>
      <c r="E2" s="38">
        <v>46057</v>
      </c>
      <c r="F2" s="38">
        <v>46057</v>
      </c>
      <c r="G2" t="s">
        <v>93</v>
      </c>
      <c r="H2" t="s">
        <v>93</v>
      </c>
      <c r="I2">
        <v>7730.15</v>
      </c>
      <c r="J2">
        <v>773.01499999999987</v>
      </c>
      <c r="K2">
        <v>618.41199999999992</v>
      </c>
      <c r="L2">
        <v>154.60300000000001</v>
      </c>
      <c r="M2"/>
      <c r="N2"/>
      <c r="O2"/>
      <c r="P2"/>
      <c r="Q2"/>
      <c r="R2"/>
      <c r="S2"/>
      <c r="T2" t="s">
        <v>94</v>
      </c>
      <c r="U2" s="17" t="s">
        <v>95</v>
      </c>
      <c r="V2" t="s">
        <v>96</v>
      </c>
      <c r="W2"/>
      <c r="Y2" t="s">
        <v>97</v>
      </c>
      <c r="AC2"/>
      <c r="AD2" t="s">
        <v>98</v>
      </c>
      <c r="AE2" t="s">
        <v>99</v>
      </c>
      <c r="AF2" t="s">
        <v>100</v>
      </c>
      <c r="AG2">
        <v>30360</v>
      </c>
      <c r="AH2" s="17">
        <f>+MONTH(E2)</f>
        <v>2</v>
      </c>
      <c r="AJ2" s="17"/>
      <c r="AK2"/>
      <c r="AL2"/>
      <c r="AM2"/>
      <c r="AN2"/>
      <c r="AO2" s="18">
        <f>+MONTH(E2)</f>
        <v>2</v>
      </c>
    </row>
    <row r="3" spans="1:41" x14ac:dyDescent="0.35">
      <c r="D3" t="s">
        <v>101</v>
      </c>
      <c r="E3" s="38">
        <v>46059</v>
      </c>
      <c r="F3" s="38">
        <v>46059</v>
      </c>
      <c r="G3" t="s">
        <v>93</v>
      </c>
      <c r="H3" t="s">
        <v>93</v>
      </c>
      <c r="I3">
        <v>2528.9</v>
      </c>
      <c r="J3">
        <v>202.31200000000001</v>
      </c>
      <c r="K3">
        <v>151.73400000000001</v>
      </c>
      <c r="L3">
        <v>50.578000000000003</v>
      </c>
      <c r="M3"/>
      <c r="N3"/>
      <c r="O3"/>
      <c r="P3"/>
      <c r="Q3"/>
      <c r="R3"/>
      <c r="S3"/>
      <c r="T3" t="s">
        <v>94</v>
      </c>
      <c r="U3" s="17" t="s">
        <v>95</v>
      </c>
      <c r="V3" t="s">
        <v>96</v>
      </c>
      <c r="W3"/>
      <c r="Y3" t="s">
        <v>97</v>
      </c>
      <c r="AD3" t="s">
        <v>102</v>
      </c>
      <c r="AE3" t="s">
        <v>103</v>
      </c>
      <c r="AF3" t="s">
        <v>100</v>
      </c>
      <c r="AG3">
        <v>31320</v>
      </c>
      <c r="AH3" s="17">
        <f t="shared" ref="AH3:AH66" si="0">+MONTH(E3)</f>
        <v>2</v>
      </c>
      <c r="AI3" s="17"/>
      <c r="AJ3" s="17"/>
      <c r="AK3" s="17"/>
      <c r="AL3" s="17"/>
      <c r="AM3" s="17"/>
      <c r="AN3" s="17"/>
    </row>
    <row r="4" spans="1:41" x14ac:dyDescent="0.35">
      <c r="D4" t="s">
        <v>104</v>
      </c>
      <c r="E4" s="38">
        <v>46059</v>
      </c>
      <c r="F4" s="38">
        <v>46059</v>
      </c>
      <c r="G4" t="s">
        <v>93</v>
      </c>
      <c r="H4" t="s">
        <v>93</v>
      </c>
      <c r="I4">
        <v>1449.51</v>
      </c>
      <c r="J4">
        <v>115.96079999999999</v>
      </c>
      <c r="K4">
        <v>86.97059999999999</v>
      </c>
      <c r="L4">
        <v>28.990200000000002</v>
      </c>
      <c r="M4"/>
      <c r="N4"/>
      <c r="O4"/>
      <c r="P4"/>
      <c r="Q4"/>
      <c r="R4"/>
      <c r="S4"/>
      <c r="T4" t="s">
        <v>94</v>
      </c>
      <c r="U4" s="17" t="s">
        <v>95</v>
      </c>
      <c r="V4" t="s">
        <v>96</v>
      </c>
      <c r="W4"/>
      <c r="Y4" t="s">
        <v>97</v>
      </c>
      <c r="AD4" t="s">
        <v>102</v>
      </c>
      <c r="AE4" t="s">
        <v>103</v>
      </c>
      <c r="AF4" t="s">
        <v>100</v>
      </c>
      <c r="AG4">
        <v>31320</v>
      </c>
      <c r="AH4" s="17">
        <f t="shared" si="0"/>
        <v>2</v>
      </c>
      <c r="AI4" s="17"/>
      <c r="AJ4" s="17"/>
      <c r="AK4" s="17"/>
      <c r="AL4" s="17"/>
      <c r="AM4" s="17"/>
      <c r="AN4" s="17"/>
    </row>
    <row r="5" spans="1:41" x14ac:dyDescent="0.35">
      <c r="D5" t="s">
        <v>105</v>
      </c>
      <c r="E5" s="38">
        <v>46064</v>
      </c>
      <c r="F5" s="38">
        <v>46064</v>
      </c>
      <c r="G5" t="s">
        <v>93</v>
      </c>
      <c r="H5" t="s">
        <v>93</v>
      </c>
      <c r="I5">
        <v>844.99</v>
      </c>
      <c r="J5">
        <v>84.498999999999995</v>
      </c>
      <c r="K5">
        <v>67.599199999999996</v>
      </c>
      <c r="L5">
        <v>16.899799999999999</v>
      </c>
      <c r="M5"/>
      <c r="N5"/>
      <c r="O5"/>
      <c r="P5"/>
      <c r="Q5"/>
      <c r="R5"/>
      <c r="S5"/>
      <c r="T5" t="s">
        <v>94</v>
      </c>
      <c r="U5" s="17" t="s">
        <v>95</v>
      </c>
      <c r="V5" t="s">
        <v>106</v>
      </c>
      <c r="W5"/>
      <c r="Y5" t="s">
        <v>97</v>
      </c>
      <c r="AD5" t="s">
        <v>107</v>
      </c>
      <c r="AE5" t="s">
        <v>108</v>
      </c>
      <c r="AF5" t="s">
        <v>109</v>
      </c>
      <c r="AG5">
        <v>30550</v>
      </c>
      <c r="AH5" s="17">
        <f t="shared" si="0"/>
        <v>2</v>
      </c>
      <c r="AI5" s="17"/>
      <c r="AJ5" s="17"/>
      <c r="AK5" s="17"/>
      <c r="AL5" s="17"/>
      <c r="AM5" s="17"/>
      <c r="AN5" s="17"/>
    </row>
    <row r="6" spans="1:41" x14ac:dyDescent="0.35">
      <c r="D6" t="s">
        <v>110</v>
      </c>
      <c r="E6" s="38">
        <v>46080</v>
      </c>
      <c r="F6" s="38">
        <v>46080</v>
      </c>
      <c r="G6" t="s">
        <v>93</v>
      </c>
      <c r="H6" t="s">
        <v>93</v>
      </c>
      <c r="I6">
        <v>483.06</v>
      </c>
      <c r="J6">
        <v>14.491800000000001</v>
      </c>
      <c r="K6">
        <v>4.8306000000000004</v>
      </c>
      <c r="L6">
        <v>9.6612000000000009</v>
      </c>
      <c r="M6"/>
      <c r="N6"/>
      <c r="O6"/>
      <c r="P6"/>
      <c r="Q6"/>
      <c r="R6"/>
      <c r="S6"/>
      <c r="T6" t="s">
        <v>94</v>
      </c>
      <c r="U6" s="17" t="s">
        <v>95</v>
      </c>
      <c r="V6" t="s">
        <v>111</v>
      </c>
      <c r="W6"/>
      <c r="Y6" t="s">
        <v>97</v>
      </c>
      <c r="AD6" t="s">
        <v>112</v>
      </c>
      <c r="AE6" t="s">
        <v>113</v>
      </c>
      <c r="AF6" t="s">
        <v>109</v>
      </c>
      <c r="AG6">
        <v>30005</v>
      </c>
      <c r="AH6" s="17">
        <f t="shared" si="0"/>
        <v>2</v>
      </c>
      <c r="AI6" s="17"/>
      <c r="AJ6" s="17"/>
      <c r="AK6" s="17"/>
      <c r="AL6" s="17"/>
      <c r="AM6" s="17"/>
      <c r="AN6" s="17"/>
    </row>
    <row r="7" spans="1:41" x14ac:dyDescent="0.35">
      <c r="D7" t="s">
        <v>114</v>
      </c>
      <c r="E7" s="38">
        <v>46072</v>
      </c>
      <c r="F7" s="38">
        <v>46072</v>
      </c>
      <c r="G7" t="s">
        <v>93</v>
      </c>
      <c r="H7" t="s">
        <v>93</v>
      </c>
      <c r="I7">
        <v>9854.24</v>
      </c>
      <c r="J7">
        <v>1182.5088000000001</v>
      </c>
      <c r="K7">
        <v>985.42399999999998</v>
      </c>
      <c r="L7">
        <v>197.0848</v>
      </c>
      <c r="M7"/>
      <c r="N7"/>
      <c r="O7"/>
      <c r="P7"/>
      <c r="Q7"/>
      <c r="R7"/>
      <c r="S7"/>
      <c r="T7" t="s">
        <v>94</v>
      </c>
      <c r="U7" s="17" t="s">
        <v>95</v>
      </c>
      <c r="V7" t="s">
        <v>96</v>
      </c>
      <c r="W7"/>
      <c r="Y7" t="s">
        <v>97</v>
      </c>
      <c r="AD7" t="s">
        <v>115</v>
      </c>
      <c r="AE7" t="s">
        <v>116</v>
      </c>
      <c r="AF7" t="s">
        <v>109</v>
      </c>
      <c r="AG7">
        <v>30530</v>
      </c>
      <c r="AH7" s="17">
        <f t="shared" si="0"/>
        <v>2</v>
      </c>
      <c r="AI7" s="17"/>
      <c r="AJ7" s="17"/>
      <c r="AK7" s="17"/>
      <c r="AL7" s="17"/>
      <c r="AM7" s="17"/>
      <c r="AN7" s="17"/>
    </row>
    <row r="8" spans="1:41" x14ac:dyDescent="0.35">
      <c r="D8" t="s">
        <v>117</v>
      </c>
      <c r="E8" s="38">
        <v>46072</v>
      </c>
      <c r="F8" s="38">
        <v>46072</v>
      </c>
      <c r="G8" t="s">
        <v>93</v>
      </c>
      <c r="H8" t="s">
        <v>93</v>
      </c>
      <c r="I8">
        <v>29601.53</v>
      </c>
      <c r="J8">
        <v>3552.1835999999998</v>
      </c>
      <c r="K8">
        <v>2960.1529999999998</v>
      </c>
      <c r="L8">
        <v>592.03059999999994</v>
      </c>
      <c r="M8"/>
      <c r="N8"/>
      <c r="O8"/>
      <c r="P8"/>
      <c r="Q8"/>
      <c r="R8"/>
      <c r="S8"/>
      <c r="T8" t="s">
        <v>94</v>
      </c>
      <c r="U8" s="17" t="s">
        <v>95</v>
      </c>
      <c r="V8" t="s">
        <v>106</v>
      </c>
      <c r="W8"/>
      <c r="Y8" t="s">
        <v>97</v>
      </c>
      <c r="AD8" t="s">
        <v>118</v>
      </c>
      <c r="AE8" t="s">
        <v>119</v>
      </c>
      <c r="AF8" t="s">
        <v>100</v>
      </c>
      <c r="AG8">
        <v>30530</v>
      </c>
      <c r="AH8" s="17">
        <f t="shared" si="0"/>
        <v>2</v>
      </c>
      <c r="AI8" s="17"/>
      <c r="AJ8" s="17"/>
      <c r="AK8" s="17"/>
      <c r="AL8" s="17"/>
      <c r="AM8" s="17"/>
      <c r="AN8" s="17"/>
    </row>
    <row r="9" spans="1:41" x14ac:dyDescent="0.35">
      <c r="D9" t="s">
        <v>120</v>
      </c>
      <c r="E9" s="38">
        <v>46072</v>
      </c>
      <c r="F9" s="38">
        <v>46072</v>
      </c>
      <c r="G9" t="s">
        <v>93</v>
      </c>
      <c r="H9" t="s">
        <v>93</v>
      </c>
      <c r="I9">
        <v>1352.09</v>
      </c>
      <c r="J9">
        <v>135.209</v>
      </c>
      <c r="K9">
        <v>108.16719999999999</v>
      </c>
      <c r="L9">
        <v>27.041799999999999</v>
      </c>
      <c r="M9"/>
      <c r="N9"/>
      <c r="O9"/>
      <c r="P9"/>
      <c r="Q9"/>
      <c r="R9"/>
      <c r="S9"/>
      <c r="T9" t="s">
        <v>94</v>
      </c>
      <c r="U9" s="17" t="s">
        <v>95</v>
      </c>
      <c r="V9" t="s">
        <v>111</v>
      </c>
      <c r="W9"/>
      <c r="Y9" t="s">
        <v>97</v>
      </c>
      <c r="AD9" t="s">
        <v>121</v>
      </c>
      <c r="AE9" t="s">
        <v>122</v>
      </c>
      <c r="AF9" t="s">
        <v>109</v>
      </c>
      <c r="AG9">
        <v>30550</v>
      </c>
      <c r="AH9" s="17">
        <f t="shared" si="0"/>
        <v>2</v>
      </c>
      <c r="AI9" s="17"/>
      <c r="AJ9" s="17"/>
      <c r="AK9" s="17"/>
      <c r="AL9" s="17"/>
      <c r="AM9" s="17"/>
      <c r="AN9" s="17"/>
    </row>
    <row r="10" spans="1:41" x14ac:dyDescent="0.35">
      <c r="D10" t="s">
        <v>123</v>
      </c>
      <c r="E10" s="38">
        <v>46071</v>
      </c>
      <c r="F10" s="38">
        <v>46071</v>
      </c>
      <c r="G10" t="s">
        <v>93</v>
      </c>
      <c r="H10" t="s">
        <v>93</v>
      </c>
      <c r="I10">
        <v>886.94</v>
      </c>
      <c r="J10">
        <v>88.694000000000003</v>
      </c>
      <c r="K10">
        <v>70.955200000000005</v>
      </c>
      <c r="L10">
        <v>17.738800000000001</v>
      </c>
      <c r="M10"/>
      <c r="N10"/>
      <c r="O10"/>
      <c r="P10"/>
      <c r="Q10"/>
      <c r="R10"/>
      <c r="S10"/>
      <c r="T10" t="s">
        <v>94</v>
      </c>
      <c r="U10" s="17" t="s">
        <v>95</v>
      </c>
      <c r="V10" t="s">
        <v>111</v>
      </c>
      <c r="W10"/>
      <c r="Y10" t="s">
        <v>97</v>
      </c>
      <c r="AD10" t="s">
        <v>124</v>
      </c>
      <c r="AE10" t="s">
        <v>125</v>
      </c>
      <c r="AF10" t="s">
        <v>109</v>
      </c>
      <c r="AG10">
        <v>30550</v>
      </c>
      <c r="AH10" s="17">
        <f t="shared" si="0"/>
        <v>2</v>
      </c>
      <c r="AI10" s="17"/>
      <c r="AJ10" s="17"/>
      <c r="AK10" s="17"/>
      <c r="AL10" s="17"/>
      <c r="AM10" s="17"/>
      <c r="AN10" s="17"/>
    </row>
    <row r="11" spans="1:41" x14ac:dyDescent="0.35">
      <c r="D11" t="s">
        <v>126</v>
      </c>
      <c r="E11" s="38">
        <v>46072</v>
      </c>
      <c r="F11" s="38">
        <v>46072</v>
      </c>
      <c r="G11" t="s">
        <v>93</v>
      </c>
      <c r="H11" t="s">
        <v>93</v>
      </c>
      <c r="I11">
        <v>679.89</v>
      </c>
      <c r="J11">
        <v>67.989000000000004</v>
      </c>
      <c r="K11">
        <v>54.391199999999998</v>
      </c>
      <c r="L11">
        <v>13.597799999999999</v>
      </c>
      <c r="M11"/>
      <c r="N11"/>
      <c r="O11"/>
      <c r="P11"/>
      <c r="Q11"/>
      <c r="R11"/>
      <c r="S11"/>
      <c r="T11" t="s">
        <v>94</v>
      </c>
      <c r="U11" s="17" t="s">
        <v>95</v>
      </c>
      <c r="V11" t="s">
        <v>106</v>
      </c>
      <c r="W11"/>
      <c r="Y11" t="s">
        <v>97</v>
      </c>
      <c r="AD11" t="s">
        <v>127</v>
      </c>
      <c r="AE11" t="s">
        <v>128</v>
      </c>
      <c r="AF11" t="s">
        <v>109</v>
      </c>
      <c r="AG11">
        <v>30550</v>
      </c>
      <c r="AH11" s="17">
        <f t="shared" si="0"/>
        <v>2</v>
      </c>
      <c r="AI11" s="17"/>
      <c r="AJ11" s="17"/>
      <c r="AK11" s="17"/>
      <c r="AL11" s="17"/>
      <c r="AM11" s="17"/>
      <c r="AN11" s="17"/>
    </row>
    <row r="12" spans="1:41" x14ac:dyDescent="0.35">
      <c r="D12" t="s">
        <v>129</v>
      </c>
      <c r="E12" s="38">
        <v>46066</v>
      </c>
      <c r="F12" s="38">
        <v>46066</v>
      </c>
      <c r="G12" t="s">
        <v>93</v>
      </c>
      <c r="H12" t="s">
        <v>93</v>
      </c>
      <c r="I12">
        <v>20382.009999999998</v>
      </c>
      <c r="J12">
        <v>2038.201</v>
      </c>
      <c r="K12">
        <v>1630.5608</v>
      </c>
      <c r="L12">
        <v>407.64019999999999</v>
      </c>
      <c r="M12"/>
      <c r="N12"/>
      <c r="O12"/>
      <c r="P12"/>
      <c r="Q12"/>
      <c r="R12"/>
      <c r="S12"/>
      <c r="T12" t="s">
        <v>94</v>
      </c>
      <c r="U12" s="17" t="s">
        <v>95</v>
      </c>
      <c r="V12" t="s">
        <v>96</v>
      </c>
      <c r="W12"/>
      <c r="Y12" t="s">
        <v>97</v>
      </c>
      <c r="AD12" t="s">
        <v>130</v>
      </c>
      <c r="AE12" t="s">
        <v>131</v>
      </c>
      <c r="AF12" t="s">
        <v>100</v>
      </c>
      <c r="AG12">
        <v>28003</v>
      </c>
      <c r="AH12" s="17">
        <f t="shared" si="0"/>
        <v>2</v>
      </c>
      <c r="AI12" s="17"/>
      <c r="AJ12" s="17"/>
      <c r="AK12" s="17"/>
      <c r="AL12" s="17"/>
      <c r="AM12" s="17"/>
      <c r="AN12" s="17"/>
    </row>
    <row r="13" spans="1:41" x14ac:dyDescent="0.35">
      <c r="D13" t="s">
        <v>132</v>
      </c>
      <c r="E13" s="38">
        <v>46066</v>
      </c>
      <c r="F13" s="38">
        <v>46066</v>
      </c>
      <c r="G13" t="s">
        <v>93</v>
      </c>
      <c r="H13" t="s">
        <v>93</v>
      </c>
      <c r="I13">
        <v>10509.03</v>
      </c>
      <c r="J13">
        <v>1050.9030000000002</v>
      </c>
      <c r="K13">
        <v>840.72240000000011</v>
      </c>
      <c r="L13">
        <v>210.18060000000003</v>
      </c>
      <c r="M13"/>
      <c r="N13"/>
      <c r="O13"/>
      <c r="P13"/>
      <c r="Q13"/>
      <c r="R13"/>
      <c r="S13"/>
      <c r="T13" t="s">
        <v>94</v>
      </c>
      <c r="U13" s="17" t="s">
        <v>95</v>
      </c>
      <c r="V13" t="s">
        <v>96</v>
      </c>
      <c r="W13"/>
      <c r="Y13" t="s">
        <v>97</v>
      </c>
      <c r="AD13" t="s">
        <v>133</v>
      </c>
      <c r="AE13" t="s">
        <v>134</v>
      </c>
      <c r="AF13" t="s">
        <v>100</v>
      </c>
      <c r="AG13">
        <v>30008</v>
      </c>
      <c r="AH13" s="17">
        <f t="shared" si="0"/>
        <v>2</v>
      </c>
      <c r="AI13" s="17"/>
      <c r="AJ13" s="17"/>
      <c r="AK13" s="17"/>
      <c r="AL13" s="17"/>
      <c r="AM13" s="17"/>
      <c r="AN13" s="17"/>
    </row>
    <row r="14" spans="1:41" x14ac:dyDescent="0.35">
      <c r="D14" t="s">
        <v>135</v>
      </c>
      <c r="E14" s="38">
        <v>46071</v>
      </c>
      <c r="F14" s="38">
        <v>46071</v>
      </c>
      <c r="G14" t="s">
        <v>93</v>
      </c>
      <c r="H14" t="s">
        <v>93</v>
      </c>
      <c r="I14">
        <v>672.13</v>
      </c>
      <c r="J14">
        <v>67.213000000000008</v>
      </c>
      <c r="K14">
        <v>53.770400000000002</v>
      </c>
      <c r="L14">
        <v>13.442600000000001</v>
      </c>
      <c r="M14"/>
      <c r="N14"/>
      <c r="O14"/>
      <c r="P14"/>
      <c r="Q14"/>
      <c r="R14"/>
      <c r="S14"/>
      <c r="T14" t="s">
        <v>94</v>
      </c>
      <c r="U14" s="17" t="s">
        <v>95</v>
      </c>
      <c r="V14" t="s">
        <v>111</v>
      </c>
      <c r="W14"/>
      <c r="Y14" t="s">
        <v>97</v>
      </c>
      <c r="AD14" t="s">
        <v>136</v>
      </c>
      <c r="AE14" t="s">
        <v>137</v>
      </c>
      <c r="AF14" t="s">
        <v>109</v>
      </c>
      <c r="AG14">
        <v>30012</v>
      </c>
      <c r="AH14" s="17">
        <f t="shared" si="0"/>
        <v>2</v>
      </c>
      <c r="AI14" s="17"/>
      <c r="AJ14" s="17"/>
      <c r="AK14" s="17"/>
      <c r="AL14" s="17"/>
      <c r="AM14" s="17"/>
      <c r="AN14" s="17"/>
    </row>
    <row r="15" spans="1:41" x14ac:dyDescent="0.35">
      <c r="D15" t="s">
        <v>138</v>
      </c>
      <c r="E15" s="38">
        <v>46069</v>
      </c>
      <c r="F15" s="38">
        <v>46069</v>
      </c>
      <c r="G15" t="s">
        <v>93</v>
      </c>
      <c r="H15" t="s">
        <v>93</v>
      </c>
      <c r="I15">
        <v>3017.83</v>
      </c>
      <c r="J15">
        <v>301.78300000000002</v>
      </c>
      <c r="K15">
        <v>241.4264</v>
      </c>
      <c r="L15">
        <v>60.3566</v>
      </c>
      <c r="M15"/>
      <c r="N15"/>
      <c r="O15"/>
      <c r="P15"/>
      <c r="Q15"/>
      <c r="R15"/>
      <c r="S15"/>
      <c r="T15" t="s">
        <v>94</v>
      </c>
      <c r="U15" s="17" t="s">
        <v>95</v>
      </c>
      <c r="V15" t="s">
        <v>106</v>
      </c>
      <c r="W15"/>
      <c r="Y15" t="s">
        <v>97</v>
      </c>
      <c r="AD15" t="s">
        <v>139</v>
      </c>
      <c r="AE15" t="s">
        <v>140</v>
      </c>
      <c r="AF15" t="s">
        <v>109</v>
      </c>
      <c r="AG15">
        <v>30011</v>
      </c>
      <c r="AH15" s="17">
        <f t="shared" si="0"/>
        <v>2</v>
      </c>
      <c r="AI15" s="17"/>
      <c r="AJ15" s="17"/>
      <c r="AK15" s="17"/>
      <c r="AL15" s="17"/>
      <c r="AM15" s="17"/>
      <c r="AN15" s="17"/>
    </row>
    <row r="16" spans="1:41" x14ac:dyDescent="0.35">
      <c r="D16" t="s">
        <v>141</v>
      </c>
      <c r="E16" s="38">
        <v>46064</v>
      </c>
      <c r="F16" s="38">
        <v>46064</v>
      </c>
      <c r="G16" t="s">
        <v>93</v>
      </c>
      <c r="H16" t="s">
        <v>93</v>
      </c>
      <c r="I16">
        <v>1204.06</v>
      </c>
      <c r="J16">
        <v>120.40599999999999</v>
      </c>
      <c r="K16">
        <v>96.324799999999996</v>
      </c>
      <c r="L16">
        <v>24.081199999999999</v>
      </c>
      <c r="M16"/>
      <c r="N16"/>
      <c r="O16"/>
      <c r="P16"/>
      <c r="Q16"/>
      <c r="R16"/>
      <c r="S16"/>
      <c r="T16" t="s">
        <v>94</v>
      </c>
      <c r="U16" s="17" t="s">
        <v>95</v>
      </c>
      <c r="V16" t="s">
        <v>106</v>
      </c>
      <c r="W16"/>
      <c r="Y16" t="s">
        <v>97</v>
      </c>
      <c r="AD16" t="s">
        <v>142</v>
      </c>
      <c r="AE16" t="s">
        <v>143</v>
      </c>
      <c r="AF16" t="s">
        <v>109</v>
      </c>
      <c r="AG16">
        <v>30550</v>
      </c>
      <c r="AH16" s="17">
        <f t="shared" si="0"/>
        <v>2</v>
      </c>
      <c r="AI16" s="17"/>
      <c r="AJ16" s="17"/>
      <c r="AK16" s="17"/>
      <c r="AL16" s="17"/>
      <c r="AM16" s="17"/>
      <c r="AN16" s="17"/>
    </row>
    <row r="17" spans="4:40" x14ac:dyDescent="0.35">
      <c r="D17" t="s">
        <v>144</v>
      </c>
      <c r="E17" s="38">
        <v>46064</v>
      </c>
      <c r="F17" s="38">
        <v>46064</v>
      </c>
      <c r="G17" t="s">
        <v>93</v>
      </c>
      <c r="H17" t="s">
        <v>93</v>
      </c>
      <c r="I17">
        <v>143.44</v>
      </c>
      <c r="J17">
        <v>24.384799999999998</v>
      </c>
      <c r="K17">
        <v>21.515999999999998</v>
      </c>
      <c r="L17">
        <v>2.8687999999999998</v>
      </c>
      <c r="M17"/>
      <c r="N17"/>
      <c r="O17"/>
      <c r="P17"/>
      <c r="Q17"/>
      <c r="R17"/>
      <c r="S17"/>
      <c r="T17" t="s">
        <v>94</v>
      </c>
      <c r="U17" s="17" t="s">
        <v>95</v>
      </c>
      <c r="V17" t="s">
        <v>106</v>
      </c>
      <c r="W17"/>
      <c r="Y17" t="s">
        <v>97</v>
      </c>
      <c r="AD17" t="s">
        <v>145</v>
      </c>
      <c r="AE17" t="s">
        <v>146</v>
      </c>
      <c r="AF17" t="s">
        <v>109</v>
      </c>
      <c r="AG17">
        <v>3550</v>
      </c>
      <c r="AH17" s="17">
        <f t="shared" si="0"/>
        <v>2</v>
      </c>
      <c r="AI17" s="17"/>
      <c r="AJ17" s="17"/>
      <c r="AK17" s="17"/>
      <c r="AL17" s="17"/>
      <c r="AM17" s="17"/>
      <c r="AN17" s="17"/>
    </row>
    <row r="18" spans="4:40" x14ac:dyDescent="0.35">
      <c r="D18" t="s">
        <v>147</v>
      </c>
      <c r="E18" s="38">
        <v>46064</v>
      </c>
      <c r="F18" s="38">
        <v>46064</v>
      </c>
      <c r="G18" t="s">
        <v>93</v>
      </c>
      <c r="H18" t="s">
        <v>93</v>
      </c>
      <c r="I18">
        <v>2247.77</v>
      </c>
      <c r="J18">
        <v>202.29929999999999</v>
      </c>
      <c r="K18">
        <v>157.34389999999999</v>
      </c>
      <c r="L18">
        <v>44.955399999999997</v>
      </c>
      <c r="M18"/>
      <c r="N18"/>
      <c r="O18"/>
      <c r="P18"/>
      <c r="Q18"/>
      <c r="R18"/>
      <c r="S18"/>
      <c r="T18" t="s">
        <v>94</v>
      </c>
      <c r="U18" s="17" t="s">
        <v>95</v>
      </c>
      <c r="V18" t="s">
        <v>111</v>
      </c>
      <c r="W18"/>
      <c r="Y18" t="s">
        <v>97</v>
      </c>
      <c r="AD18" t="s">
        <v>148</v>
      </c>
      <c r="AE18" t="s">
        <v>149</v>
      </c>
      <c r="AF18" t="s">
        <v>109</v>
      </c>
      <c r="AG18">
        <v>30420</v>
      </c>
      <c r="AH18" s="17">
        <f t="shared" si="0"/>
        <v>2</v>
      </c>
      <c r="AI18" s="17"/>
      <c r="AJ18" s="17"/>
      <c r="AK18" s="17"/>
      <c r="AL18" s="17"/>
      <c r="AM18" s="17"/>
      <c r="AN18" s="17"/>
    </row>
    <row r="19" spans="4:40" x14ac:dyDescent="0.35">
      <c r="D19" t="s">
        <v>150</v>
      </c>
      <c r="E19" s="38">
        <v>46064</v>
      </c>
      <c r="F19" s="38">
        <v>46064</v>
      </c>
      <c r="G19" t="s">
        <v>93</v>
      </c>
      <c r="H19" t="s">
        <v>93</v>
      </c>
      <c r="I19">
        <v>329.88</v>
      </c>
      <c r="J19">
        <v>32.988</v>
      </c>
      <c r="K19">
        <v>26.3904</v>
      </c>
      <c r="L19">
        <v>6.5975999999999999</v>
      </c>
      <c r="M19"/>
      <c r="N19"/>
      <c r="O19"/>
      <c r="P19"/>
      <c r="Q19"/>
      <c r="R19"/>
      <c r="S19"/>
      <c r="T19" t="s">
        <v>94</v>
      </c>
      <c r="U19" s="17" t="s">
        <v>95</v>
      </c>
      <c r="V19" t="s">
        <v>106</v>
      </c>
      <c r="W19"/>
      <c r="Y19" t="s">
        <v>97</v>
      </c>
      <c r="AD19" t="s">
        <v>151</v>
      </c>
      <c r="AE19" t="s">
        <v>152</v>
      </c>
      <c r="AF19" t="s">
        <v>109</v>
      </c>
      <c r="AG19">
        <v>30550</v>
      </c>
      <c r="AH19" s="17">
        <f t="shared" si="0"/>
        <v>2</v>
      </c>
      <c r="AI19" s="17"/>
      <c r="AJ19" s="17"/>
      <c r="AK19" s="17"/>
      <c r="AL19" s="17"/>
      <c r="AM19" s="17"/>
      <c r="AN19" s="17"/>
    </row>
    <row r="20" spans="4:40" x14ac:dyDescent="0.35">
      <c r="D20" t="s">
        <v>153</v>
      </c>
      <c r="E20" s="38">
        <v>46065</v>
      </c>
      <c r="F20" s="38">
        <v>46065</v>
      </c>
      <c r="G20" t="s">
        <v>93</v>
      </c>
      <c r="H20" t="s">
        <v>93</v>
      </c>
      <c r="I20">
        <v>4116.83</v>
      </c>
      <c r="J20">
        <v>411.68299999999999</v>
      </c>
      <c r="K20">
        <v>329.34640000000002</v>
      </c>
      <c r="L20">
        <v>82.336600000000004</v>
      </c>
      <c r="M20"/>
      <c r="N20"/>
      <c r="O20"/>
      <c r="P20"/>
      <c r="Q20"/>
      <c r="R20"/>
      <c r="S20"/>
      <c r="T20" t="s">
        <v>94</v>
      </c>
      <c r="U20" s="17" t="s">
        <v>95</v>
      </c>
      <c r="V20" t="s">
        <v>111</v>
      </c>
      <c r="W20"/>
      <c r="Y20" t="s">
        <v>97</v>
      </c>
      <c r="AD20" t="s">
        <v>154</v>
      </c>
      <c r="AE20" t="s">
        <v>155</v>
      </c>
      <c r="AF20" t="s">
        <v>109</v>
      </c>
      <c r="AG20">
        <v>30540</v>
      </c>
      <c r="AH20" s="17">
        <f t="shared" si="0"/>
        <v>2</v>
      </c>
      <c r="AI20" s="17"/>
      <c r="AJ20" s="17"/>
      <c r="AK20" s="17"/>
      <c r="AL20" s="17"/>
      <c r="AM20" s="17"/>
      <c r="AN20" s="17"/>
    </row>
    <row r="21" spans="4:40" x14ac:dyDescent="0.35">
      <c r="D21" t="s">
        <v>156</v>
      </c>
      <c r="E21" s="38">
        <v>46065</v>
      </c>
      <c r="F21" s="38">
        <v>46065</v>
      </c>
      <c r="G21" t="s">
        <v>93</v>
      </c>
      <c r="H21" t="s">
        <v>93</v>
      </c>
      <c r="I21">
        <v>11694.64</v>
      </c>
      <c r="J21">
        <v>1403.3568</v>
      </c>
      <c r="K21">
        <v>1169.4639999999999</v>
      </c>
      <c r="L21">
        <v>233.89279999999999</v>
      </c>
      <c r="M21"/>
      <c r="N21"/>
      <c r="O21"/>
      <c r="P21"/>
      <c r="Q21"/>
      <c r="R21"/>
      <c r="S21"/>
      <c r="T21" t="s">
        <v>94</v>
      </c>
      <c r="U21" s="17" t="s">
        <v>95</v>
      </c>
      <c r="V21" t="s">
        <v>111</v>
      </c>
      <c r="W21"/>
      <c r="Y21" t="s">
        <v>97</v>
      </c>
      <c r="AD21" t="s">
        <v>154</v>
      </c>
      <c r="AE21" t="s">
        <v>155</v>
      </c>
      <c r="AF21" t="s">
        <v>109</v>
      </c>
      <c r="AG21">
        <v>30540</v>
      </c>
      <c r="AH21" s="17">
        <f t="shared" si="0"/>
        <v>2</v>
      </c>
      <c r="AI21" s="17"/>
      <c r="AJ21" s="17"/>
      <c r="AK21" s="17"/>
      <c r="AL21" s="17"/>
      <c r="AM21" s="17"/>
      <c r="AN21" s="17"/>
    </row>
    <row r="22" spans="4:40" x14ac:dyDescent="0.35">
      <c r="D22" t="s">
        <v>157</v>
      </c>
      <c r="E22" s="38">
        <v>46065</v>
      </c>
      <c r="F22" s="38">
        <v>46065</v>
      </c>
      <c r="G22" t="s">
        <v>93</v>
      </c>
      <c r="H22" t="s">
        <v>93</v>
      </c>
      <c r="I22">
        <v>13643.87</v>
      </c>
      <c r="J22">
        <v>1637.2644000000003</v>
      </c>
      <c r="K22">
        <v>1364.3870000000002</v>
      </c>
      <c r="L22">
        <v>272.87740000000002</v>
      </c>
      <c r="M22"/>
      <c r="N22"/>
      <c r="O22"/>
      <c r="P22"/>
      <c r="Q22"/>
      <c r="R22"/>
      <c r="S22"/>
      <c r="T22" t="s">
        <v>94</v>
      </c>
      <c r="U22" s="17" t="s">
        <v>95</v>
      </c>
      <c r="V22" t="s">
        <v>111</v>
      </c>
      <c r="W22"/>
      <c r="Y22" t="s">
        <v>97</v>
      </c>
      <c r="AD22" t="s">
        <v>158</v>
      </c>
      <c r="AE22" t="s">
        <v>159</v>
      </c>
      <c r="AF22" t="s">
        <v>109</v>
      </c>
      <c r="AG22">
        <v>30540</v>
      </c>
      <c r="AH22" s="17">
        <f t="shared" si="0"/>
        <v>2</v>
      </c>
      <c r="AI22" s="17"/>
      <c r="AJ22" s="17"/>
      <c r="AK22" s="17"/>
      <c r="AL22" s="17"/>
      <c r="AM22" s="17"/>
      <c r="AN22" s="17"/>
    </row>
    <row r="23" spans="4:40" x14ac:dyDescent="0.35">
      <c r="D23" t="s">
        <v>160</v>
      </c>
      <c r="E23" s="38">
        <v>46069</v>
      </c>
      <c r="F23" s="38">
        <v>46069</v>
      </c>
      <c r="G23" t="s">
        <v>93</v>
      </c>
      <c r="H23" t="s">
        <v>93</v>
      </c>
      <c r="I23">
        <v>1821.18</v>
      </c>
      <c r="J23">
        <v>162.08502000000001</v>
      </c>
      <c r="K23">
        <v>125.66142000000002</v>
      </c>
      <c r="L23">
        <v>36.4236</v>
      </c>
      <c r="M23"/>
      <c r="N23"/>
      <c r="O23"/>
      <c r="P23"/>
      <c r="Q23"/>
      <c r="R23"/>
      <c r="S23"/>
      <c r="T23" t="s">
        <v>94</v>
      </c>
      <c r="U23" s="17" t="s">
        <v>95</v>
      </c>
      <c r="V23" t="s">
        <v>106</v>
      </c>
      <c r="W23"/>
      <c r="Y23" t="s">
        <v>97</v>
      </c>
      <c r="AD23" t="s">
        <v>161</v>
      </c>
      <c r="AE23" t="s">
        <v>162</v>
      </c>
      <c r="AF23" t="s">
        <v>109</v>
      </c>
      <c r="AG23">
        <v>30011</v>
      </c>
      <c r="AH23" s="17">
        <f t="shared" si="0"/>
        <v>2</v>
      </c>
      <c r="AI23" s="17"/>
      <c r="AJ23" s="17"/>
      <c r="AK23" s="17"/>
      <c r="AL23" s="17"/>
      <c r="AM23" s="17"/>
      <c r="AN23" s="17"/>
    </row>
    <row r="24" spans="4:40" x14ac:dyDescent="0.35">
      <c r="D24" t="s">
        <v>163</v>
      </c>
      <c r="E24" s="38">
        <v>46069</v>
      </c>
      <c r="F24" s="38">
        <v>46069</v>
      </c>
      <c r="G24" t="s">
        <v>93</v>
      </c>
      <c r="H24" t="s">
        <v>93</v>
      </c>
      <c r="I24">
        <v>9784.32</v>
      </c>
      <c r="J24">
        <v>587.05919999999992</v>
      </c>
      <c r="K24">
        <v>391.37279999999998</v>
      </c>
      <c r="L24">
        <v>195.68639999999999</v>
      </c>
      <c r="M24"/>
      <c r="N24"/>
      <c r="O24"/>
      <c r="P24"/>
      <c r="Q24"/>
      <c r="R24"/>
      <c r="S24"/>
      <c r="T24" t="s">
        <v>94</v>
      </c>
      <c r="U24" s="17" t="s">
        <v>95</v>
      </c>
      <c r="V24" t="s">
        <v>111</v>
      </c>
      <c r="W24"/>
      <c r="Y24" t="s">
        <v>97</v>
      </c>
      <c r="AD24" t="s">
        <v>164</v>
      </c>
      <c r="AE24" t="s">
        <v>165</v>
      </c>
      <c r="AF24" t="s">
        <v>100</v>
      </c>
      <c r="AG24">
        <v>30530</v>
      </c>
      <c r="AH24" s="17">
        <f t="shared" si="0"/>
        <v>2</v>
      </c>
      <c r="AI24" s="17"/>
      <c r="AJ24" s="17"/>
      <c r="AK24" s="17"/>
      <c r="AL24" s="17"/>
      <c r="AM24" s="17"/>
      <c r="AN24" s="17"/>
    </row>
    <row r="25" spans="4:40" x14ac:dyDescent="0.35">
      <c r="D25" t="s">
        <v>166</v>
      </c>
      <c r="E25" s="38">
        <v>46069</v>
      </c>
      <c r="F25" s="38">
        <v>46069</v>
      </c>
      <c r="G25" t="s">
        <v>93</v>
      </c>
      <c r="H25" t="s">
        <v>93</v>
      </c>
      <c r="I25">
        <v>49211.64</v>
      </c>
      <c r="J25">
        <v>2460.5819999999999</v>
      </c>
      <c r="K25">
        <v>1476.3491999999999</v>
      </c>
      <c r="L25">
        <v>984.2328</v>
      </c>
      <c r="M25"/>
      <c r="N25"/>
      <c r="O25"/>
      <c r="P25"/>
      <c r="Q25"/>
      <c r="R25"/>
      <c r="S25"/>
      <c r="T25" t="s">
        <v>94</v>
      </c>
      <c r="U25" s="17" t="s">
        <v>95</v>
      </c>
      <c r="V25" t="s">
        <v>111</v>
      </c>
      <c r="W25"/>
      <c r="Y25" t="s">
        <v>97</v>
      </c>
      <c r="AD25" t="s">
        <v>164</v>
      </c>
      <c r="AE25" t="s">
        <v>165</v>
      </c>
      <c r="AF25" t="s">
        <v>100</v>
      </c>
      <c r="AG25">
        <v>30530</v>
      </c>
      <c r="AH25" s="17">
        <f t="shared" si="0"/>
        <v>2</v>
      </c>
      <c r="AI25" s="17"/>
      <c r="AJ25" s="17"/>
      <c r="AK25" s="17"/>
      <c r="AL25" s="17"/>
      <c r="AM25" s="17"/>
      <c r="AN25" s="17"/>
    </row>
    <row r="26" spans="4:40" x14ac:dyDescent="0.35">
      <c r="D26" t="s">
        <v>167</v>
      </c>
      <c r="E26" s="38">
        <v>46069</v>
      </c>
      <c r="F26" s="38">
        <v>46069</v>
      </c>
      <c r="G26" t="s">
        <v>93</v>
      </c>
      <c r="H26" t="s">
        <v>93</v>
      </c>
      <c r="I26">
        <v>3436.83</v>
      </c>
      <c r="J26">
        <v>343.68299999999999</v>
      </c>
      <c r="K26">
        <v>274.94639999999998</v>
      </c>
      <c r="L26">
        <v>68.736599999999996</v>
      </c>
      <c r="M26"/>
      <c r="N26"/>
      <c r="O26"/>
      <c r="P26"/>
      <c r="Q26"/>
      <c r="R26"/>
      <c r="S26"/>
      <c r="T26" t="s">
        <v>94</v>
      </c>
      <c r="U26" s="17" t="s">
        <v>95</v>
      </c>
      <c r="V26" t="s">
        <v>111</v>
      </c>
      <c r="W26"/>
      <c r="Y26" t="s">
        <v>97</v>
      </c>
      <c r="AD26" t="s">
        <v>168</v>
      </c>
      <c r="AE26" t="s">
        <v>169</v>
      </c>
      <c r="AF26" t="s">
        <v>109</v>
      </c>
      <c r="AG26">
        <v>30550</v>
      </c>
      <c r="AH26" s="17">
        <f t="shared" si="0"/>
        <v>2</v>
      </c>
      <c r="AI26" s="17"/>
      <c r="AJ26" s="17"/>
      <c r="AK26" s="17"/>
      <c r="AL26" s="17"/>
      <c r="AM26" s="17"/>
      <c r="AN26" s="17"/>
    </row>
    <row r="27" spans="4:40" x14ac:dyDescent="0.35">
      <c r="D27" t="s">
        <v>170</v>
      </c>
      <c r="E27" s="38">
        <v>46079</v>
      </c>
      <c r="F27" s="38">
        <v>46079</v>
      </c>
      <c r="G27" t="s">
        <v>93</v>
      </c>
      <c r="H27" t="s">
        <v>93</v>
      </c>
      <c r="I27">
        <v>6456.39</v>
      </c>
      <c r="J27">
        <v>645.63900000000001</v>
      </c>
      <c r="K27">
        <v>516.51120000000003</v>
      </c>
      <c r="L27">
        <v>129.12780000000001</v>
      </c>
      <c r="M27"/>
      <c r="N27"/>
      <c r="O27"/>
      <c r="P27"/>
      <c r="Q27"/>
      <c r="R27"/>
      <c r="S27"/>
      <c r="T27" t="s">
        <v>94</v>
      </c>
      <c r="U27" s="17" t="s">
        <v>95</v>
      </c>
      <c r="V27" t="s">
        <v>106</v>
      </c>
      <c r="W27"/>
      <c r="Y27" t="s">
        <v>97</v>
      </c>
      <c r="AD27" t="s">
        <v>171</v>
      </c>
      <c r="AE27" t="s">
        <v>172</v>
      </c>
      <c r="AF27" t="s">
        <v>109</v>
      </c>
      <c r="AG27">
        <v>30540</v>
      </c>
      <c r="AH27" s="17">
        <f t="shared" si="0"/>
        <v>2</v>
      </c>
      <c r="AI27" s="17"/>
      <c r="AJ27" s="17"/>
      <c r="AK27" s="17"/>
      <c r="AL27" s="17"/>
      <c r="AM27" s="17"/>
      <c r="AN27" s="17"/>
    </row>
    <row r="28" spans="4:40" x14ac:dyDescent="0.35">
      <c r="D28" t="s">
        <v>173</v>
      </c>
      <c r="E28" s="38">
        <v>46070</v>
      </c>
      <c r="F28" s="38">
        <v>46070</v>
      </c>
      <c r="G28" t="s">
        <v>93</v>
      </c>
      <c r="H28" t="s">
        <v>93</v>
      </c>
      <c r="I28">
        <v>7793.45</v>
      </c>
      <c r="J28">
        <v>779.34500000000003</v>
      </c>
      <c r="K28">
        <v>623.476</v>
      </c>
      <c r="L28">
        <v>155.869</v>
      </c>
      <c r="M28"/>
      <c r="N28"/>
      <c r="O28"/>
      <c r="P28"/>
      <c r="Q28"/>
      <c r="R28"/>
      <c r="S28"/>
      <c r="T28" t="s">
        <v>94</v>
      </c>
      <c r="U28" s="17" t="s">
        <v>95</v>
      </c>
      <c r="V28" t="s">
        <v>111</v>
      </c>
      <c r="W28"/>
      <c r="Y28" t="s">
        <v>97</v>
      </c>
      <c r="AD28" t="s">
        <v>174</v>
      </c>
      <c r="AE28" t="s">
        <v>175</v>
      </c>
      <c r="AF28" t="s">
        <v>100</v>
      </c>
      <c r="AG28">
        <v>30600</v>
      </c>
      <c r="AH28" s="17">
        <f t="shared" si="0"/>
        <v>2</v>
      </c>
      <c r="AI28" s="17"/>
      <c r="AJ28" s="17"/>
      <c r="AK28" s="17"/>
      <c r="AL28" s="17"/>
      <c r="AM28" s="17"/>
      <c r="AN28" s="17"/>
    </row>
    <row r="29" spans="4:40" x14ac:dyDescent="0.35">
      <c r="D29" t="s">
        <v>176</v>
      </c>
      <c r="E29" s="38">
        <v>46070</v>
      </c>
      <c r="F29" s="38">
        <v>46070</v>
      </c>
      <c r="G29" t="s">
        <v>93</v>
      </c>
      <c r="H29" t="s">
        <v>93</v>
      </c>
      <c r="I29">
        <v>4995.16</v>
      </c>
      <c r="J29">
        <v>499.51599999999996</v>
      </c>
      <c r="K29">
        <v>399.61279999999999</v>
      </c>
      <c r="L29">
        <v>99.903199999999998</v>
      </c>
      <c r="M29"/>
      <c r="N29"/>
      <c r="O29"/>
      <c r="P29"/>
      <c r="Q29"/>
      <c r="R29"/>
      <c r="S29"/>
      <c r="T29" t="s">
        <v>94</v>
      </c>
      <c r="U29" s="17" t="s">
        <v>95</v>
      </c>
      <c r="V29" t="s">
        <v>111</v>
      </c>
      <c r="W29"/>
      <c r="Y29" t="s">
        <v>97</v>
      </c>
      <c r="AD29" t="s">
        <v>174</v>
      </c>
      <c r="AE29" t="s">
        <v>175</v>
      </c>
      <c r="AF29" t="s">
        <v>100</v>
      </c>
      <c r="AG29">
        <v>30600</v>
      </c>
      <c r="AH29" s="17">
        <f t="shared" si="0"/>
        <v>2</v>
      </c>
      <c r="AI29" s="17"/>
      <c r="AJ29" s="17"/>
      <c r="AK29" s="17"/>
      <c r="AL29" s="17"/>
      <c r="AM29" s="17"/>
      <c r="AN29" s="17"/>
    </row>
    <row r="30" spans="4:40" x14ac:dyDescent="0.35">
      <c r="D30" t="s">
        <v>177</v>
      </c>
      <c r="E30" s="38">
        <v>46079</v>
      </c>
      <c r="F30" s="38">
        <v>46079</v>
      </c>
      <c r="G30" t="s">
        <v>93</v>
      </c>
      <c r="H30" t="s">
        <v>93</v>
      </c>
      <c r="I30">
        <v>8473.3700000000008</v>
      </c>
      <c r="J30">
        <v>847.3370000000001</v>
      </c>
      <c r="K30">
        <v>677.8696000000001</v>
      </c>
      <c r="L30">
        <v>169.46740000000003</v>
      </c>
      <c r="M30"/>
      <c r="N30"/>
      <c r="O30"/>
      <c r="P30"/>
      <c r="Q30"/>
      <c r="R30"/>
      <c r="S30"/>
      <c r="T30" t="s">
        <v>94</v>
      </c>
      <c r="U30" s="17" t="s">
        <v>95</v>
      </c>
      <c r="V30" t="s">
        <v>106</v>
      </c>
      <c r="W30"/>
      <c r="Y30" t="s">
        <v>97</v>
      </c>
      <c r="AD30" t="s">
        <v>178</v>
      </c>
      <c r="AE30" t="s">
        <v>179</v>
      </c>
      <c r="AF30" t="s">
        <v>109</v>
      </c>
      <c r="AG30">
        <v>30540</v>
      </c>
      <c r="AH30" s="17">
        <f t="shared" si="0"/>
        <v>2</v>
      </c>
      <c r="AI30" s="17"/>
      <c r="AJ30" s="17"/>
      <c r="AK30" s="17"/>
      <c r="AL30" s="17"/>
      <c r="AM30" s="17"/>
      <c r="AN30" s="17"/>
    </row>
    <row r="31" spans="4:40" x14ac:dyDescent="0.35">
      <c r="D31" t="s">
        <v>180</v>
      </c>
      <c r="E31" s="38">
        <v>46078</v>
      </c>
      <c r="F31" s="38">
        <v>46078</v>
      </c>
      <c r="G31" t="s">
        <v>93</v>
      </c>
      <c r="H31" t="s">
        <v>93</v>
      </c>
      <c r="I31">
        <v>8836.7900000000009</v>
      </c>
      <c r="J31">
        <v>901.35257999999999</v>
      </c>
      <c r="K31">
        <v>724.61677999999995</v>
      </c>
      <c r="L31">
        <v>176.73580000000001</v>
      </c>
      <c r="M31"/>
      <c r="N31"/>
      <c r="O31"/>
      <c r="P31"/>
      <c r="Q31"/>
      <c r="R31"/>
      <c r="S31"/>
      <c r="T31" t="s">
        <v>94</v>
      </c>
      <c r="U31" s="17" t="s">
        <v>95</v>
      </c>
      <c r="V31" t="s">
        <v>106</v>
      </c>
      <c r="W31"/>
      <c r="Y31" t="s">
        <v>97</v>
      </c>
      <c r="AD31" t="s">
        <v>181</v>
      </c>
      <c r="AE31" t="s">
        <v>182</v>
      </c>
      <c r="AF31" t="s">
        <v>109</v>
      </c>
      <c r="AG31">
        <v>30550</v>
      </c>
      <c r="AH31" s="17">
        <f t="shared" si="0"/>
        <v>2</v>
      </c>
      <c r="AI31" s="17"/>
      <c r="AJ31" s="17"/>
      <c r="AK31" s="17"/>
      <c r="AL31" s="17"/>
      <c r="AM31" s="17"/>
      <c r="AN31" s="17"/>
    </row>
    <row r="32" spans="4:40" x14ac:dyDescent="0.35">
      <c r="D32" t="s">
        <v>183</v>
      </c>
      <c r="E32" s="38">
        <v>46078</v>
      </c>
      <c r="F32" s="38">
        <v>46078</v>
      </c>
      <c r="G32" t="s">
        <v>93</v>
      </c>
      <c r="H32" t="s">
        <v>93</v>
      </c>
      <c r="I32">
        <v>10875.14</v>
      </c>
      <c r="J32">
        <v>1109.2642799999999</v>
      </c>
      <c r="K32">
        <v>891.76147999999989</v>
      </c>
      <c r="L32">
        <v>217.50279999999998</v>
      </c>
      <c r="M32"/>
      <c r="N32"/>
      <c r="O32"/>
      <c r="P32"/>
      <c r="Q32"/>
      <c r="R32"/>
      <c r="S32"/>
      <c r="T32" t="s">
        <v>94</v>
      </c>
      <c r="U32" s="17" t="s">
        <v>95</v>
      </c>
      <c r="V32" t="s">
        <v>106</v>
      </c>
      <c r="W32"/>
      <c r="Y32" t="s">
        <v>97</v>
      </c>
      <c r="AD32" t="s">
        <v>181</v>
      </c>
      <c r="AE32" t="s">
        <v>182</v>
      </c>
      <c r="AF32" t="s">
        <v>109</v>
      </c>
      <c r="AG32">
        <v>30550</v>
      </c>
      <c r="AH32" s="17">
        <f t="shared" si="0"/>
        <v>2</v>
      </c>
      <c r="AI32" s="17"/>
      <c r="AJ32" s="17"/>
      <c r="AK32" s="17"/>
      <c r="AL32" s="17"/>
      <c r="AM32" s="17"/>
      <c r="AN32" s="17"/>
    </row>
    <row r="33" spans="4:40" x14ac:dyDescent="0.35">
      <c r="D33" t="s">
        <v>184</v>
      </c>
      <c r="E33" s="38">
        <v>46070</v>
      </c>
      <c r="F33" s="38">
        <v>46070</v>
      </c>
      <c r="G33" t="s">
        <v>93</v>
      </c>
      <c r="H33" t="s">
        <v>93</v>
      </c>
      <c r="I33">
        <v>1786.72</v>
      </c>
      <c r="J33">
        <v>178.672</v>
      </c>
      <c r="K33">
        <v>142.9376</v>
      </c>
      <c r="L33">
        <v>35.734400000000001</v>
      </c>
      <c r="M33"/>
      <c r="N33"/>
      <c r="O33"/>
      <c r="P33"/>
      <c r="Q33"/>
      <c r="R33"/>
      <c r="S33"/>
      <c r="T33" t="s">
        <v>94</v>
      </c>
      <c r="U33" s="17" t="s">
        <v>95</v>
      </c>
      <c r="V33" t="s">
        <v>111</v>
      </c>
      <c r="W33"/>
      <c r="Y33" t="s">
        <v>97</v>
      </c>
      <c r="AD33" t="s">
        <v>185</v>
      </c>
      <c r="AE33" t="s">
        <v>186</v>
      </c>
      <c r="AF33" t="s">
        <v>109</v>
      </c>
      <c r="AG33">
        <v>30550</v>
      </c>
      <c r="AH33" s="17">
        <f t="shared" si="0"/>
        <v>2</v>
      </c>
      <c r="AI33" s="17"/>
      <c r="AJ33" s="17"/>
      <c r="AK33" s="17"/>
      <c r="AL33" s="17"/>
      <c r="AM33" s="17"/>
      <c r="AN33" s="17"/>
    </row>
    <row r="34" spans="4:40" x14ac:dyDescent="0.35">
      <c r="D34" t="s">
        <v>187</v>
      </c>
      <c r="E34" s="38">
        <v>46059</v>
      </c>
      <c r="F34" s="38">
        <v>46059</v>
      </c>
      <c r="G34" t="s">
        <v>93</v>
      </c>
      <c r="H34" t="s">
        <v>93</v>
      </c>
      <c r="I34">
        <v>8693.17</v>
      </c>
      <c r="J34">
        <v>869.31700000000001</v>
      </c>
      <c r="K34">
        <v>695.45360000000005</v>
      </c>
      <c r="L34">
        <v>173.86340000000001</v>
      </c>
      <c r="M34"/>
      <c r="N34"/>
      <c r="O34"/>
      <c r="P34"/>
      <c r="Q34"/>
      <c r="R34"/>
      <c r="S34"/>
      <c r="T34" t="s">
        <v>94</v>
      </c>
      <c r="U34" s="17" t="s">
        <v>95</v>
      </c>
      <c r="V34" t="s">
        <v>111</v>
      </c>
      <c r="W34"/>
      <c r="Y34" t="s">
        <v>97</v>
      </c>
      <c r="AD34" t="s">
        <v>188</v>
      </c>
      <c r="AE34" t="s">
        <v>189</v>
      </c>
      <c r="AF34" t="s">
        <v>109</v>
      </c>
      <c r="AG34">
        <v>30550</v>
      </c>
      <c r="AH34" s="17">
        <f t="shared" si="0"/>
        <v>2</v>
      </c>
      <c r="AI34" s="17"/>
      <c r="AJ34" s="17"/>
      <c r="AK34" s="17"/>
      <c r="AL34" s="17"/>
      <c r="AM34" s="17"/>
      <c r="AN34" s="17"/>
    </row>
    <row r="35" spans="4:40" x14ac:dyDescent="0.35">
      <c r="D35" t="s">
        <v>190</v>
      </c>
      <c r="E35" s="38">
        <v>46059</v>
      </c>
      <c r="F35" s="38">
        <v>46059</v>
      </c>
      <c r="G35" t="s">
        <v>93</v>
      </c>
      <c r="H35" t="s">
        <v>93</v>
      </c>
      <c r="I35">
        <v>23884.07</v>
      </c>
      <c r="J35">
        <v>2866.0884000000001</v>
      </c>
      <c r="K35">
        <v>2388.4070000000002</v>
      </c>
      <c r="L35">
        <v>477.6814</v>
      </c>
      <c r="M35"/>
      <c r="N35"/>
      <c r="O35"/>
      <c r="P35"/>
      <c r="Q35"/>
      <c r="R35"/>
      <c r="S35"/>
      <c r="T35" t="s">
        <v>94</v>
      </c>
      <c r="U35" s="17" t="s">
        <v>95</v>
      </c>
      <c r="V35" t="s">
        <v>111</v>
      </c>
      <c r="W35"/>
      <c r="Y35" t="s">
        <v>97</v>
      </c>
      <c r="AD35" t="s">
        <v>188</v>
      </c>
      <c r="AE35" t="s">
        <v>189</v>
      </c>
      <c r="AF35" t="s">
        <v>109</v>
      </c>
      <c r="AG35">
        <v>30550</v>
      </c>
      <c r="AH35" s="17">
        <f t="shared" si="0"/>
        <v>2</v>
      </c>
      <c r="AI35" s="17"/>
      <c r="AJ35" s="17"/>
      <c r="AK35" s="17"/>
      <c r="AL35" s="17"/>
      <c r="AM35" s="17"/>
      <c r="AN35" s="17"/>
    </row>
    <row r="36" spans="4:40" x14ac:dyDescent="0.35">
      <c r="D36" t="s">
        <v>191</v>
      </c>
      <c r="E36" s="38">
        <v>46077</v>
      </c>
      <c r="F36" s="38">
        <v>46077</v>
      </c>
      <c r="G36" t="s">
        <v>93</v>
      </c>
      <c r="H36" t="s">
        <v>93</v>
      </c>
      <c r="I36">
        <v>12420.91</v>
      </c>
      <c r="J36">
        <v>1490.5092000000002</v>
      </c>
      <c r="K36">
        <v>1242.0910000000001</v>
      </c>
      <c r="L36">
        <v>248.41820000000001</v>
      </c>
      <c r="M36"/>
      <c r="N36"/>
      <c r="O36"/>
      <c r="P36"/>
      <c r="Q36"/>
      <c r="R36"/>
      <c r="S36"/>
      <c r="T36" t="s">
        <v>94</v>
      </c>
      <c r="U36" s="17" t="s">
        <v>95</v>
      </c>
      <c r="V36" t="s">
        <v>106</v>
      </c>
      <c r="W36"/>
      <c r="Y36" t="s">
        <v>97</v>
      </c>
      <c r="AD36" t="s">
        <v>192</v>
      </c>
      <c r="AE36" t="s">
        <v>193</v>
      </c>
      <c r="AF36" t="s">
        <v>100</v>
      </c>
      <c r="AG36">
        <v>30559</v>
      </c>
      <c r="AH36" s="17">
        <f t="shared" si="0"/>
        <v>2</v>
      </c>
      <c r="AI36" s="17"/>
      <c r="AJ36" s="17"/>
      <c r="AK36" s="17"/>
      <c r="AL36" s="17"/>
      <c r="AM36" s="17"/>
      <c r="AN36" s="17"/>
    </row>
    <row r="37" spans="4:40" x14ac:dyDescent="0.35">
      <c r="D37" t="s">
        <v>194</v>
      </c>
      <c r="E37" s="38">
        <v>46073</v>
      </c>
      <c r="F37" s="38">
        <v>46073</v>
      </c>
      <c r="G37" t="s">
        <v>93</v>
      </c>
      <c r="H37" t="s">
        <v>93</v>
      </c>
      <c r="I37">
        <v>10604.42</v>
      </c>
      <c r="J37">
        <v>848.35360000000003</v>
      </c>
      <c r="K37">
        <v>636.26520000000005</v>
      </c>
      <c r="L37">
        <v>212.08840000000001</v>
      </c>
      <c r="M37"/>
      <c r="N37"/>
      <c r="O37"/>
      <c r="P37"/>
      <c r="Q37"/>
      <c r="R37"/>
      <c r="S37"/>
      <c r="T37" t="s">
        <v>94</v>
      </c>
      <c r="U37" s="17" t="s">
        <v>95</v>
      </c>
      <c r="V37" t="s">
        <v>96</v>
      </c>
      <c r="W37"/>
      <c r="Y37" t="s">
        <v>97</v>
      </c>
      <c r="AD37" t="s">
        <v>195</v>
      </c>
      <c r="AE37" t="s">
        <v>196</v>
      </c>
      <c r="AF37" t="s">
        <v>109</v>
      </c>
      <c r="AG37">
        <v>30550</v>
      </c>
      <c r="AH37" s="17">
        <f t="shared" si="0"/>
        <v>2</v>
      </c>
      <c r="AI37" s="17"/>
      <c r="AJ37" s="17"/>
      <c r="AK37" s="17"/>
      <c r="AL37" s="17"/>
      <c r="AM37" s="17"/>
      <c r="AN37" s="17"/>
    </row>
    <row r="38" spans="4:40" x14ac:dyDescent="0.35">
      <c r="D38" t="s">
        <v>197</v>
      </c>
      <c r="E38" s="38">
        <v>46073</v>
      </c>
      <c r="F38" s="38">
        <v>46073</v>
      </c>
      <c r="G38" t="s">
        <v>93</v>
      </c>
      <c r="H38" t="s">
        <v>93</v>
      </c>
      <c r="I38">
        <v>22360.78</v>
      </c>
      <c r="J38">
        <v>1788.8624</v>
      </c>
      <c r="K38">
        <v>1341.6468</v>
      </c>
      <c r="L38">
        <v>447.21559999999999</v>
      </c>
      <c r="M38"/>
      <c r="N38"/>
      <c r="O38"/>
      <c r="P38"/>
      <c r="Q38"/>
      <c r="R38"/>
      <c r="S38"/>
      <c r="T38" t="s">
        <v>94</v>
      </c>
      <c r="U38" s="17" t="s">
        <v>95</v>
      </c>
      <c r="V38" t="s">
        <v>96</v>
      </c>
      <c r="W38"/>
      <c r="Y38" t="s">
        <v>97</v>
      </c>
      <c r="AD38" t="s">
        <v>195</v>
      </c>
      <c r="AE38" t="s">
        <v>196</v>
      </c>
      <c r="AF38" t="s">
        <v>109</v>
      </c>
      <c r="AG38">
        <v>30550</v>
      </c>
      <c r="AH38" s="17">
        <f t="shared" si="0"/>
        <v>2</v>
      </c>
      <c r="AI38" s="17"/>
      <c r="AJ38" s="17"/>
      <c r="AK38" s="17"/>
      <c r="AL38" s="17"/>
      <c r="AM38" s="17"/>
      <c r="AN38" s="17"/>
    </row>
    <row r="39" spans="4:40" x14ac:dyDescent="0.35">
      <c r="D39" t="s">
        <v>198</v>
      </c>
      <c r="E39" s="38">
        <v>46073</v>
      </c>
      <c r="F39" s="38">
        <v>46073</v>
      </c>
      <c r="G39" t="s">
        <v>93</v>
      </c>
      <c r="H39" t="s">
        <v>93</v>
      </c>
      <c r="I39">
        <v>1170.5899999999999</v>
      </c>
      <c r="J39">
        <v>140.4708</v>
      </c>
      <c r="K39">
        <v>117.059</v>
      </c>
      <c r="L39">
        <v>23.411799999999999</v>
      </c>
      <c r="M39"/>
      <c r="N39"/>
      <c r="O39"/>
      <c r="P39"/>
      <c r="Q39"/>
      <c r="R39"/>
      <c r="S39"/>
      <c r="T39" t="s">
        <v>94</v>
      </c>
      <c r="U39" s="17" t="s">
        <v>95</v>
      </c>
      <c r="V39" t="s">
        <v>96</v>
      </c>
      <c r="W39"/>
      <c r="Y39" t="s">
        <v>97</v>
      </c>
      <c r="AD39" t="s">
        <v>199</v>
      </c>
      <c r="AE39" t="s">
        <v>200</v>
      </c>
      <c r="AF39" t="s">
        <v>109</v>
      </c>
      <c r="AG39">
        <v>30530</v>
      </c>
      <c r="AH39" s="17">
        <f t="shared" si="0"/>
        <v>2</v>
      </c>
      <c r="AI39" s="17"/>
      <c r="AJ39" s="17"/>
      <c r="AK39" s="17"/>
      <c r="AL39" s="17"/>
      <c r="AM39" s="17"/>
      <c r="AN39" s="17"/>
    </row>
    <row r="40" spans="4:40" x14ac:dyDescent="0.35">
      <c r="D40" t="s">
        <v>201</v>
      </c>
      <c r="E40" s="38">
        <v>46078</v>
      </c>
      <c r="F40" s="38">
        <v>46078</v>
      </c>
      <c r="G40" t="s">
        <v>93</v>
      </c>
      <c r="H40" t="s">
        <v>93</v>
      </c>
      <c r="I40">
        <v>1977.94</v>
      </c>
      <c r="J40">
        <v>158.23520000000002</v>
      </c>
      <c r="K40">
        <v>118.6764</v>
      </c>
      <c r="L40">
        <v>39.558800000000005</v>
      </c>
      <c r="M40"/>
      <c r="N40"/>
      <c r="O40"/>
      <c r="P40"/>
      <c r="Q40"/>
      <c r="R40"/>
      <c r="S40"/>
      <c r="T40" t="s">
        <v>94</v>
      </c>
      <c r="U40" s="17" t="s">
        <v>95</v>
      </c>
      <c r="V40" t="s">
        <v>96</v>
      </c>
      <c r="W40"/>
      <c r="Y40" t="s">
        <v>97</v>
      </c>
      <c r="AD40" t="s">
        <v>202</v>
      </c>
      <c r="AE40" t="s">
        <v>203</v>
      </c>
      <c r="AF40" t="s">
        <v>100</v>
      </c>
      <c r="AG40">
        <v>30180</v>
      </c>
      <c r="AH40" s="17">
        <f t="shared" si="0"/>
        <v>2</v>
      </c>
      <c r="AI40" s="17"/>
      <c r="AJ40" s="17"/>
      <c r="AK40" s="17"/>
      <c r="AL40" s="17"/>
      <c r="AM40" s="17"/>
      <c r="AN40" s="17"/>
    </row>
    <row r="41" spans="4:40" x14ac:dyDescent="0.35">
      <c r="D41" t="s">
        <v>204</v>
      </c>
      <c r="E41" s="38">
        <v>46078</v>
      </c>
      <c r="F41" s="38">
        <v>46078</v>
      </c>
      <c r="G41" t="s">
        <v>93</v>
      </c>
      <c r="H41" t="s">
        <v>93</v>
      </c>
      <c r="I41">
        <v>5713.81</v>
      </c>
      <c r="J41">
        <v>457.10480000000001</v>
      </c>
      <c r="K41">
        <v>342.82859999999999</v>
      </c>
      <c r="L41">
        <v>114.27620000000002</v>
      </c>
      <c r="M41"/>
      <c r="N41"/>
      <c r="O41"/>
      <c r="P41"/>
      <c r="Q41"/>
      <c r="R41"/>
      <c r="S41"/>
      <c r="T41" t="s">
        <v>94</v>
      </c>
      <c r="U41" s="17" t="s">
        <v>95</v>
      </c>
      <c r="V41" t="s">
        <v>96</v>
      </c>
      <c r="W41"/>
      <c r="Y41" t="s">
        <v>97</v>
      </c>
      <c r="AD41" t="s">
        <v>202</v>
      </c>
      <c r="AE41" t="s">
        <v>203</v>
      </c>
      <c r="AF41" t="s">
        <v>100</v>
      </c>
      <c r="AG41">
        <v>30180</v>
      </c>
      <c r="AH41" s="17">
        <f t="shared" si="0"/>
        <v>2</v>
      </c>
      <c r="AI41" s="17"/>
      <c r="AJ41" s="17"/>
      <c r="AK41" s="17"/>
      <c r="AL41" s="17"/>
      <c r="AM41" s="17"/>
      <c r="AN41" s="17"/>
    </row>
    <row r="42" spans="4:40" x14ac:dyDescent="0.35">
      <c r="D42" t="s">
        <v>205</v>
      </c>
      <c r="E42" s="38">
        <v>46073</v>
      </c>
      <c r="F42" s="38">
        <v>46073</v>
      </c>
      <c r="G42" t="s">
        <v>93</v>
      </c>
      <c r="H42" t="s">
        <v>93</v>
      </c>
      <c r="I42">
        <v>1705.28</v>
      </c>
      <c r="J42">
        <v>204.6336</v>
      </c>
      <c r="K42">
        <v>170.52799999999999</v>
      </c>
      <c r="L42">
        <v>34.105600000000003</v>
      </c>
      <c r="M42"/>
      <c r="N42"/>
      <c r="O42"/>
      <c r="P42"/>
      <c r="Q42"/>
      <c r="R42"/>
      <c r="S42"/>
      <c r="T42" t="s">
        <v>94</v>
      </c>
      <c r="U42" s="17" t="s">
        <v>95</v>
      </c>
      <c r="V42" t="s">
        <v>96</v>
      </c>
      <c r="W42"/>
      <c r="Y42" t="s">
        <v>97</v>
      </c>
      <c r="AD42" t="s">
        <v>206</v>
      </c>
      <c r="AE42" t="s">
        <v>207</v>
      </c>
      <c r="AF42" t="s">
        <v>100</v>
      </c>
      <c r="AG42">
        <v>30140</v>
      </c>
      <c r="AH42" s="17">
        <f t="shared" si="0"/>
        <v>2</v>
      </c>
      <c r="AI42" s="17"/>
      <c r="AJ42" s="17"/>
      <c r="AK42" s="17"/>
      <c r="AL42" s="17"/>
      <c r="AM42" s="17"/>
      <c r="AN42" s="17"/>
    </row>
    <row r="43" spans="4:40" x14ac:dyDescent="0.35">
      <c r="D43" t="s">
        <v>208</v>
      </c>
      <c r="E43" s="38">
        <v>46066</v>
      </c>
      <c r="F43" s="38">
        <v>46066</v>
      </c>
      <c r="G43" t="s">
        <v>93</v>
      </c>
      <c r="H43" t="s">
        <v>93</v>
      </c>
      <c r="I43">
        <v>4400</v>
      </c>
      <c r="J43">
        <v>440</v>
      </c>
      <c r="K43">
        <v>352</v>
      </c>
      <c r="L43">
        <v>88</v>
      </c>
      <c r="M43"/>
      <c r="N43"/>
      <c r="O43"/>
      <c r="P43"/>
      <c r="Q43"/>
      <c r="R43"/>
      <c r="S43"/>
      <c r="T43" t="s">
        <v>94</v>
      </c>
      <c r="U43" s="17" t="s">
        <v>95</v>
      </c>
      <c r="V43" t="s">
        <v>96</v>
      </c>
      <c r="W43"/>
      <c r="Y43" t="s">
        <v>97</v>
      </c>
      <c r="AD43" t="s">
        <v>209</v>
      </c>
      <c r="AE43" t="s">
        <v>210</v>
      </c>
      <c r="AF43" t="s">
        <v>100</v>
      </c>
      <c r="AG43">
        <v>30739</v>
      </c>
      <c r="AH43" s="17">
        <f t="shared" si="0"/>
        <v>2</v>
      </c>
      <c r="AI43" s="17"/>
      <c r="AJ43" s="17"/>
      <c r="AK43" s="17"/>
      <c r="AL43" s="17"/>
      <c r="AM43" s="17"/>
      <c r="AN43" s="17"/>
    </row>
    <row r="44" spans="4:40" x14ac:dyDescent="0.35">
      <c r="D44" t="s">
        <v>211</v>
      </c>
      <c r="E44" s="38">
        <v>46069</v>
      </c>
      <c r="F44" s="38">
        <v>46069</v>
      </c>
      <c r="G44" t="s">
        <v>93</v>
      </c>
      <c r="H44" t="s">
        <v>93</v>
      </c>
      <c r="I44">
        <v>145246.03</v>
      </c>
      <c r="J44">
        <v>14524.602999999999</v>
      </c>
      <c r="K44">
        <v>11619.6824</v>
      </c>
      <c r="L44">
        <v>2904.9205999999999</v>
      </c>
      <c r="M44"/>
      <c r="N44"/>
      <c r="O44"/>
      <c r="P44"/>
      <c r="Q44"/>
      <c r="R44"/>
      <c r="S44"/>
      <c r="T44" t="s">
        <v>94</v>
      </c>
      <c r="U44" s="17" t="s">
        <v>95</v>
      </c>
      <c r="V44" t="s">
        <v>106</v>
      </c>
      <c r="W44"/>
      <c r="Y44" t="s">
        <v>97</v>
      </c>
      <c r="AD44" t="s">
        <v>212</v>
      </c>
      <c r="AE44" t="s">
        <v>213</v>
      </c>
      <c r="AF44" t="s">
        <v>100</v>
      </c>
      <c r="AG44">
        <v>8860</v>
      </c>
      <c r="AH44" s="17">
        <f t="shared" si="0"/>
        <v>2</v>
      </c>
      <c r="AI44" s="17"/>
      <c r="AJ44" s="17"/>
      <c r="AK44" s="17"/>
      <c r="AL44" s="17"/>
      <c r="AM44" s="17"/>
      <c r="AN44" s="17"/>
    </row>
    <row r="45" spans="4:40" x14ac:dyDescent="0.35">
      <c r="D45" t="s">
        <v>101</v>
      </c>
      <c r="E45" s="38">
        <v>46059</v>
      </c>
      <c r="F45" s="38">
        <v>46059</v>
      </c>
      <c r="G45" t="s">
        <v>93</v>
      </c>
      <c r="H45" t="s">
        <v>93</v>
      </c>
      <c r="I45">
        <v>2528.9</v>
      </c>
      <c r="J45">
        <v>202.31200000000001</v>
      </c>
      <c r="K45">
        <v>151.73400000000001</v>
      </c>
      <c r="L45">
        <v>50.578000000000003</v>
      </c>
      <c r="M45"/>
      <c r="N45"/>
      <c r="O45"/>
      <c r="P45"/>
      <c r="Q45"/>
      <c r="R45"/>
      <c r="S45"/>
      <c r="T45" t="s">
        <v>94</v>
      </c>
      <c r="U45" s="17" t="s">
        <v>95</v>
      </c>
      <c r="V45" t="s">
        <v>96</v>
      </c>
      <c r="W45"/>
      <c r="Y45" t="s">
        <v>97</v>
      </c>
      <c r="AD45" t="s">
        <v>102</v>
      </c>
      <c r="AE45" t="s">
        <v>214</v>
      </c>
      <c r="AF45" t="s">
        <v>100</v>
      </c>
      <c r="AG45">
        <v>31320</v>
      </c>
      <c r="AH45" s="17">
        <f t="shared" si="0"/>
        <v>2</v>
      </c>
      <c r="AI45" s="17"/>
      <c r="AJ45" s="17"/>
      <c r="AK45" s="17"/>
      <c r="AL45" s="17"/>
      <c r="AM45" s="17"/>
      <c r="AN45" s="17"/>
    </row>
    <row r="46" spans="4:40" x14ac:dyDescent="0.35">
      <c r="D46" t="s">
        <v>104</v>
      </c>
      <c r="E46" s="38">
        <v>46059</v>
      </c>
      <c r="F46" s="38">
        <v>46059</v>
      </c>
      <c r="G46" t="s">
        <v>93</v>
      </c>
      <c r="H46" t="s">
        <v>93</v>
      </c>
      <c r="I46">
        <v>1449.51</v>
      </c>
      <c r="J46">
        <v>115.96079999999999</v>
      </c>
      <c r="K46">
        <v>86.97059999999999</v>
      </c>
      <c r="L46">
        <v>28.990200000000002</v>
      </c>
      <c r="M46"/>
      <c r="N46"/>
      <c r="O46"/>
      <c r="P46"/>
      <c r="Q46"/>
      <c r="R46"/>
      <c r="S46"/>
      <c r="T46" t="s">
        <v>94</v>
      </c>
      <c r="U46" s="17" t="s">
        <v>95</v>
      </c>
      <c r="V46" t="s">
        <v>96</v>
      </c>
      <c r="W46"/>
      <c r="Y46" t="s">
        <v>97</v>
      </c>
      <c r="AD46" t="s">
        <v>102</v>
      </c>
      <c r="AE46" t="s">
        <v>214</v>
      </c>
      <c r="AF46" t="s">
        <v>100</v>
      </c>
      <c r="AG46">
        <v>31320</v>
      </c>
      <c r="AH46" s="17">
        <f t="shared" si="0"/>
        <v>2</v>
      </c>
      <c r="AI46" s="17"/>
      <c r="AJ46" s="17"/>
      <c r="AK46" s="17"/>
      <c r="AL46" s="17"/>
      <c r="AM46" s="17"/>
      <c r="AN46" s="17"/>
    </row>
    <row r="47" spans="4:40" x14ac:dyDescent="0.35">
      <c r="D47" t="s">
        <v>215</v>
      </c>
      <c r="E47" s="38">
        <v>46065</v>
      </c>
      <c r="F47" s="38">
        <v>46065</v>
      </c>
      <c r="G47" t="s">
        <v>93</v>
      </c>
      <c r="H47" t="s">
        <v>93</v>
      </c>
      <c r="I47">
        <v>2124.9</v>
      </c>
      <c r="J47">
        <v>169.99200000000002</v>
      </c>
      <c r="K47">
        <v>127.49400000000001</v>
      </c>
      <c r="L47">
        <v>42.498000000000005</v>
      </c>
      <c r="M47"/>
      <c r="N47"/>
      <c r="O47"/>
      <c r="P47"/>
      <c r="Q47"/>
      <c r="R47"/>
      <c r="S47"/>
      <c r="T47" t="s">
        <v>94</v>
      </c>
      <c r="U47" s="17" t="s">
        <v>95</v>
      </c>
      <c r="V47" t="s">
        <v>96</v>
      </c>
      <c r="W47"/>
      <c r="Y47" t="s">
        <v>97</v>
      </c>
      <c r="AD47" t="s">
        <v>102</v>
      </c>
      <c r="AE47" t="s">
        <v>214</v>
      </c>
      <c r="AF47" t="s">
        <v>100</v>
      </c>
      <c r="AG47">
        <v>31320</v>
      </c>
      <c r="AH47" s="17">
        <f t="shared" si="0"/>
        <v>2</v>
      </c>
      <c r="AI47" s="17"/>
      <c r="AJ47" s="17"/>
      <c r="AK47" s="17"/>
      <c r="AL47" s="17"/>
      <c r="AM47" s="17"/>
      <c r="AN47" s="17"/>
    </row>
    <row r="48" spans="4:40" x14ac:dyDescent="0.35">
      <c r="D48" t="s">
        <v>216</v>
      </c>
      <c r="E48" s="38">
        <v>46065</v>
      </c>
      <c r="F48" s="38">
        <v>46065</v>
      </c>
      <c r="G48" t="s">
        <v>93</v>
      </c>
      <c r="H48" t="s">
        <v>93</v>
      </c>
      <c r="I48">
        <v>1302.8399999999999</v>
      </c>
      <c r="J48">
        <v>104.22719999999998</v>
      </c>
      <c r="K48">
        <v>78.170399999999987</v>
      </c>
      <c r="L48">
        <v>26.056799999999999</v>
      </c>
      <c r="M48"/>
      <c r="N48"/>
      <c r="O48"/>
      <c r="P48"/>
      <c r="Q48"/>
      <c r="R48"/>
      <c r="S48"/>
      <c r="T48" t="s">
        <v>94</v>
      </c>
      <c r="U48" s="17" t="s">
        <v>95</v>
      </c>
      <c r="V48" t="s">
        <v>96</v>
      </c>
      <c r="W48"/>
      <c r="Y48" t="s">
        <v>97</v>
      </c>
      <c r="AD48" t="s">
        <v>102</v>
      </c>
      <c r="AE48" t="s">
        <v>214</v>
      </c>
      <c r="AF48" t="s">
        <v>100</v>
      </c>
      <c r="AG48">
        <v>31320</v>
      </c>
      <c r="AH48" s="17">
        <f t="shared" si="0"/>
        <v>2</v>
      </c>
      <c r="AI48" s="17"/>
      <c r="AJ48" s="17"/>
      <c r="AK48" s="17"/>
      <c r="AL48" s="17"/>
      <c r="AM48" s="17"/>
      <c r="AN48" s="17"/>
    </row>
    <row r="49" spans="4:40" x14ac:dyDescent="0.35">
      <c r="D49" t="s">
        <v>217</v>
      </c>
      <c r="E49" s="38">
        <v>46076</v>
      </c>
      <c r="F49" s="38">
        <v>46076</v>
      </c>
      <c r="G49" t="s">
        <v>93</v>
      </c>
      <c r="H49" t="s">
        <v>93</v>
      </c>
      <c r="I49">
        <v>2543.19</v>
      </c>
      <c r="J49">
        <v>203.45519999999999</v>
      </c>
      <c r="K49">
        <v>152.59139999999999</v>
      </c>
      <c r="L49">
        <v>50.863800000000005</v>
      </c>
      <c r="M49"/>
      <c r="N49"/>
      <c r="O49"/>
      <c r="P49"/>
      <c r="Q49"/>
      <c r="R49"/>
      <c r="S49"/>
      <c r="T49" t="s">
        <v>94</v>
      </c>
      <c r="U49" s="17" t="s">
        <v>95</v>
      </c>
      <c r="V49" t="s">
        <v>96</v>
      </c>
      <c r="W49"/>
      <c r="Y49" t="s">
        <v>97</v>
      </c>
      <c r="AD49" t="s">
        <v>102</v>
      </c>
      <c r="AE49" t="s">
        <v>214</v>
      </c>
      <c r="AF49" t="s">
        <v>100</v>
      </c>
      <c r="AG49">
        <v>31320</v>
      </c>
      <c r="AH49" s="17">
        <f t="shared" si="0"/>
        <v>2</v>
      </c>
      <c r="AI49" s="17"/>
      <c r="AJ49" s="17"/>
      <c r="AK49" s="17"/>
      <c r="AL49" s="17"/>
      <c r="AM49" s="17"/>
      <c r="AN49" s="17"/>
    </row>
    <row r="50" spans="4:40" x14ac:dyDescent="0.35">
      <c r="D50" t="s">
        <v>218</v>
      </c>
      <c r="E50" s="38">
        <v>46076</v>
      </c>
      <c r="F50" s="38">
        <v>46076</v>
      </c>
      <c r="G50" t="s">
        <v>93</v>
      </c>
      <c r="H50" t="s">
        <v>93</v>
      </c>
      <c r="I50">
        <v>388.08</v>
      </c>
      <c r="J50">
        <v>31.046399999999998</v>
      </c>
      <c r="K50">
        <v>23.284800000000001</v>
      </c>
      <c r="L50">
        <v>7.7615999999999996</v>
      </c>
      <c r="M50"/>
      <c r="N50"/>
      <c r="O50"/>
      <c r="P50"/>
      <c r="Q50"/>
      <c r="R50"/>
      <c r="S50"/>
      <c r="T50" t="s">
        <v>94</v>
      </c>
      <c r="U50" s="17" t="s">
        <v>95</v>
      </c>
      <c r="V50" t="s">
        <v>96</v>
      </c>
      <c r="W50"/>
      <c r="Y50" t="s">
        <v>97</v>
      </c>
      <c r="AD50" t="s">
        <v>102</v>
      </c>
      <c r="AE50" t="s">
        <v>214</v>
      </c>
      <c r="AF50" t="s">
        <v>100</v>
      </c>
      <c r="AG50">
        <v>31320</v>
      </c>
      <c r="AH50" s="17">
        <f t="shared" si="0"/>
        <v>2</v>
      </c>
      <c r="AI50" s="17"/>
      <c r="AJ50" s="17"/>
      <c r="AK50" s="17"/>
      <c r="AL50" s="17"/>
      <c r="AM50" s="17"/>
      <c r="AN50" s="17"/>
    </row>
    <row r="51" spans="4:40" x14ac:dyDescent="0.35">
      <c r="D51" t="s">
        <v>219</v>
      </c>
      <c r="E51" s="38">
        <v>46079</v>
      </c>
      <c r="F51" s="38">
        <v>46079</v>
      </c>
      <c r="G51" t="s">
        <v>93</v>
      </c>
      <c r="H51" t="s">
        <v>93</v>
      </c>
      <c r="I51">
        <v>759.66</v>
      </c>
      <c r="J51">
        <v>60.772799999999997</v>
      </c>
      <c r="K51">
        <v>45.579599999999999</v>
      </c>
      <c r="L51">
        <v>15.193199999999999</v>
      </c>
      <c r="M51"/>
      <c r="N51"/>
      <c r="O51"/>
      <c r="P51"/>
      <c r="Q51"/>
      <c r="R51"/>
      <c r="S51"/>
      <c r="T51" t="s">
        <v>94</v>
      </c>
      <c r="U51" s="17" t="s">
        <v>95</v>
      </c>
      <c r="V51" t="s">
        <v>96</v>
      </c>
      <c r="W51"/>
      <c r="Y51" t="s">
        <v>97</v>
      </c>
      <c r="AD51" t="s">
        <v>102</v>
      </c>
      <c r="AE51" t="s">
        <v>214</v>
      </c>
      <c r="AF51" t="s">
        <v>100</v>
      </c>
      <c r="AG51">
        <v>31320</v>
      </c>
      <c r="AH51" s="17">
        <f t="shared" si="0"/>
        <v>2</v>
      </c>
      <c r="AI51" s="17"/>
      <c r="AJ51" s="17"/>
      <c r="AK51" s="17"/>
      <c r="AL51" s="17"/>
      <c r="AM51" s="17"/>
      <c r="AN51" s="17"/>
    </row>
    <row r="52" spans="4:40" x14ac:dyDescent="0.35">
      <c r="D52" t="s">
        <v>220</v>
      </c>
      <c r="E52" s="38">
        <v>46079</v>
      </c>
      <c r="F52" s="38">
        <v>46079</v>
      </c>
      <c r="G52" t="s">
        <v>93</v>
      </c>
      <c r="H52" t="s">
        <v>93</v>
      </c>
      <c r="I52">
        <v>6970.17</v>
      </c>
      <c r="J52">
        <v>557.61360000000002</v>
      </c>
      <c r="K52">
        <v>418.21020000000004</v>
      </c>
      <c r="L52">
        <v>139.4034</v>
      </c>
      <c r="M52"/>
      <c r="N52"/>
      <c r="O52"/>
      <c r="P52"/>
      <c r="Q52"/>
      <c r="R52"/>
      <c r="S52"/>
      <c r="T52" t="s">
        <v>94</v>
      </c>
      <c r="U52" s="17" t="s">
        <v>95</v>
      </c>
      <c r="V52" t="s">
        <v>96</v>
      </c>
      <c r="W52"/>
      <c r="Y52" t="s">
        <v>97</v>
      </c>
      <c r="AD52" t="s">
        <v>102</v>
      </c>
      <c r="AE52" t="s">
        <v>214</v>
      </c>
      <c r="AF52" t="s">
        <v>100</v>
      </c>
      <c r="AG52">
        <v>31320</v>
      </c>
      <c r="AH52" s="17">
        <f t="shared" si="0"/>
        <v>2</v>
      </c>
      <c r="AI52" s="17"/>
      <c r="AJ52" s="17"/>
      <c r="AK52" s="17"/>
      <c r="AL52" s="17"/>
      <c r="AM52" s="17"/>
      <c r="AN52" s="17"/>
    </row>
    <row r="53" spans="4:40" x14ac:dyDescent="0.35">
      <c r="D53" t="s">
        <v>221</v>
      </c>
      <c r="E53" s="38">
        <v>46079</v>
      </c>
      <c r="F53" s="38">
        <v>46079</v>
      </c>
      <c r="G53" t="s">
        <v>93</v>
      </c>
      <c r="H53" t="s">
        <v>93</v>
      </c>
      <c r="I53">
        <v>1477.47</v>
      </c>
      <c r="J53">
        <v>118.19760000000001</v>
      </c>
      <c r="K53">
        <v>88.648200000000003</v>
      </c>
      <c r="L53">
        <v>29.549400000000002</v>
      </c>
      <c r="M53"/>
      <c r="N53"/>
      <c r="O53"/>
      <c r="P53"/>
      <c r="Q53"/>
      <c r="R53"/>
      <c r="S53"/>
      <c r="T53" t="s">
        <v>94</v>
      </c>
      <c r="U53" s="17" t="s">
        <v>95</v>
      </c>
      <c r="V53" t="s">
        <v>96</v>
      </c>
      <c r="W53"/>
      <c r="Y53" t="s">
        <v>97</v>
      </c>
      <c r="AD53" t="s">
        <v>102</v>
      </c>
      <c r="AE53" t="s">
        <v>214</v>
      </c>
      <c r="AF53" t="s">
        <v>100</v>
      </c>
      <c r="AG53">
        <v>31320</v>
      </c>
      <c r="AH53" s="17">
        <f t="shared" si="0"/>
        <v>2</v>
      </c>
      <c r="AI53" s="17"/>
      <c r="AJ53" s="17"/>
      <c r="AK53" s="17"/>
      <c r="AL53" s="17"/>
      <c r="AM53" s="17"/>
      <c r="AN53" s="17"/>
    </row>
    <row r="54" spans="4:40" x14ac:dyDescent="0.35">
      <c r="D54" t="s">
        <v>222</v>
      </c>
      <c r="E54" s="38">
        <v>46073</v>
      </c>
      <c r="F54" s="38">
        <v>46073</v>
      </c>
      <c r="G54" t="s">
        <v>93</v>
      </c>
      <c r="H54" t="s">
        <v>93</v>
      </c>
      <c r="I54">
        <v>6972.34</v>
      </c>
      <c r="J54">
        <v>557.78719999999998</v>
      </c>
      <c r="K54">
        <v>418.34039999999999</v>
      </c>
      <c r="L54">
        <v>139.4468</v>
      </c>
      <c r="M54"/>
      <c r="N54"/>
      <c r="O54"/>
      <c r="P54"/>
      <c r="Q54"/>
      <c r="R54"/>
      <c r="S54"/>
      <c r="T54" t="s">
        <v>94</v>
      </c>
      <c r="U54" s="17" t="s">
        <v>95</v>
      </c>
      <c r="V54" t="s">
        <v>96</v>
      </c>
      <c r="W54"/>
      <c r="Y54" t="s">
        <v>97</v>
      </c>
      <c r="AD54" t="s">
        <v>102</v>
      </c>
      <c r="AE54" s="58" t="s">
        <v>214</v>
      </c>
      <c r="AF54" s="58" t="s">
        <v>100</v>
      </c>
      <c r="AG54" s="58">
        <v>31320</v>
      </c>
      <c r="AH54" s="17">
        <f t="shared" si="0"/>
        <v>2</v>
      </c>
      <c r="AI54" s="17"/>
      <c r="AJ54" s="17"/>
      <c r="AK54" s="17"/>
      <c r="AL54" s="17"/>
      <c r="AM54" s="17"/>
      <c r="AN54" s="17"/>
    </row>
    <row r="55" spans="4:40" x14ac:dyDescent="0.35">
      <c r="D55" t="s">
        <v>223</v>
      </c>
      <c r="E55" s="38">
        <v>46073</v>
      </c>
      <c r="F55" s="38">
        <v>46073</v>
      </c>
      <c r="G55" t="s">
        <v>93</v>
      </c>
      <c r="H55" t="s">
        <v>93</v>
      </c>
      <c r="I55">
        <v>12299.68</v>
      </c>
      <c r="J55">
        <v>983.97440000000006</v>
      </c>
      <c r="K55">
        <v>737.98080000000004</v>
      </c>
      <c r="L55">
        <v>245.99360000000001</v>
      </c>
      <c r="M55"/>
      <c r="N55"/>
      <c r="O55"/>
      <c r="P55"/>
      <c r="Q55"/>
      <c r="R55"/>
      <c r="S55"/>
      <c r="T55" t="s">
        <v>94</v>
      </c>
      <c r="U55" s="17" t="s">
        <v>95</v>
      </c>
      <c r="V55" t="s">
        <v>96</v>
      </c>
      <c r="W55"/>
      <c r="Y55" t="s">
        <v>97</v>
      </c>
      <c r="AD55" t="s">
        <v>102</v>
      </c>
      <c r="AE55" t="s">
        <v>214</v>
      </c>
      <c r="AF55" t="s">
        <v>100</v>
      </c>
      <c r="AG55">
        <v>31320</v>
      </c>
      <c r="AH55" s="17">
        <f t="shared" si="0"/>
        <v>2</v>
      </c>
      <c r="AI55" s="17"/>
      <c r="AJ55" s="17"/>
      <c r="AK55" s="17"/>
      <c r="AL55" s="17"/>
      <c r="AM55" s="17"/>
      <c r="AN55" s="17"/>
    </row>
    <row r="56" spans="4:40" x14ac:dyDescent="0.35">
      <c r="D56" t="s">
        <v>224</v>
      </c>
      <c r="E56" s="38">
        <v>46080</v>
      </c>
      <c r="F56" s="38">
        <v>46080</v>
      </c>
      <c r="G56" t="s">
        <v>93</v>
      </c>
      <c r="H56" t="s">
        <v>93</v>
      </c>
      <c r="I56">
        <v>43933.4</v>
      </c>
      <c r="J56">
        <v>4393.34</v>
      </c>
      <c r="K56">
        <v>3514.672</v>
      </c>
      <c r="L56">
        <v>878.66800000000001</v>
      </c>
      <c r="M56"/>
      <c r="N56"/>
      <c r="O56"/>
      <c r="P56"/>
      <c r="Q56"/>
      <c r="R56"/>
      <c r="S56"/>
      <c r="T56" t="s">
        <v>94</v>
      </c>
      <c r="U56" s="17" t="s">
        <v>95</v>
      </c>
      <c r="V56" t="s">
        <v>96</v>
      </c>
      <c r="W56"/>
      <c r="Y56" t="s">
        <v>97</v>
      </c>
      <c r="AD56" t="s">
        <v>225</v>
      </c>
      <c r="AE56" t="s">
        <v>226</v>
      </c>
      <c r="AF56" t="s">
        <v>100</v>
      </c>
      <c r="AG56">
        <v>30591</v>
      </c>
      <c r="AH56" s="17">
        <f t="shared" si="0"/>
        <v>2</v>
      </c>
      <c r="AI56" s="17"/>
      <c r="AJ56" s="17"/>
      <c r="AK56" s="17"/>
      <c r="AL56" s="17"/>
      <c r="AM56" s="17"/>
      <c r="AN56" s="17"/>
    </row>
    <row r="57" spans="4:40" x14ac:dyDescent="0.35">
      <c r="D57" t="s">
        <v>227</v>
      </c>
      <c r="E57" s="38">
        <v>46073</v>
      </c>
      <c r="F57" s="38">
        <v>46073</v>
      </c>
      <c r="G57" t="s">
        <v>93</v>
      </c>
      <c r="H57" t="s">
        <v>93</v>
      </c>
      <c r="I57">
        <v>19187.89</v>
      </c>
      <c r="J57">
        <v>2168.2315700000004</v>
      </c>
      <c r="K57">
        <v>1976.3526700000002</v>
      </c>
      <c r="L57">
        <v>191.87889999999999</v>
      </c>
      <c r="M57"/>
      <c r="N57"/>
      <c r="O57"/>
      <c r="P57"/>
      <c r="Q57"/>
      <c r="R57"/>
      <c r="S57"/>
      <c r="T57" t="s">
        <v>94</v>
      </c>
      <c r="U57" s="17" t="s">
        <v>95</v>
      </c>
      <c r="V57" t="s">
        <v>228</v>
      </c>
      <c r="W57" t="s">
        <v>229</v>
      </c>
      <c r="Y57" t="s">
        <v>97</v>
      </c>
      <c r="AD57" t="s">
        <v>230</v>
      </c>
      <c r="AE57" t="s">
        <v>231</v>
      </c>
      <c r="AF57" t="s">
        <v>100</v>
      </c>
      <c r="AG57">
        <v>30008</v>
      </c>
      <c r="AH57" s="17">
        <f t="shared" si="0"/>
        <v>2</v>
      </c>
      <c r="AI57" s="17"/>
      <c r="AJ57" s="17"/>
      <c r="AK57" s="17"/>
      <c r="AL57" s="17"/>
      <c r="AM57" s="17"/>
      <c r="AN57" s="17"/>
    </row>
    <row r="58" spans="4:40" x14ac:dyDescent="0.35">
      <c r="D58" t="s">
        <v>232</v>
      </c>
      <c r="E58" s="38">
        <v>46073</v>
      </c>
      <c r="F58" s="38">
        <v>46073</v>
      </c>
      <c r="G58" t="s">
        <v>93</v>
      </c>
      <c r="H58" t="s">
        <v>93</v>
      </c>
      <c r="I58">
        <v>40792.44</v>
      </c>
      <c r="J58">
        <v>4609.5457200000001</v>
      </c>
      <c r="K58">
        <v>4201.6213200000002</v>
      </c>
      <c r="L58">
        <v>407.92440000000005</v>
      </c>
      <c r="M58"/>
      <c r="N58"/>
      <c r="O58"/>
      <c r="P58"/>
      <c r="Q58"/>
      <c r="R58"/>
      <c r="S58"/>
      <c r="T58" t="s">
        <v>94</v>
      </c>
      <c r="U58" s="17" t="s">
        <v>95</v>
      </c>
      <c r="V58" t="s">
        <v>228</v>
      </c>
      <c r="W58" t="s">
        <v>229</v>
      </c>
      <c r="Y58" t="s">
        <v>97</v>
      </c>
      <c r="AD58" t="s">
        <v>230</v>
      </c>
      <c r="AE58" t="s">
        <v>231</v>
      </c>
      <c r="AF58" t="s">
        <v>100</v>
      </c>
      <c r="AG58">
        <v>30008</v>
      </c>
      <c r="AH58" s="17">
        <f t="shared" si="0"/>
        <v>2</v>
      </c>
      <c r="AI58" s="17"/>
      <c r="AJ58" s="17"/>
      <c r="AK58" s="17"/>
      <c r="AL58" s="17"/>
      <c r="AM58" s="17"/>
      <c r="AN58" s="17"/>
    </row>
    <row r="59" spans="4:40" x14ac:dyDescent="0.35">
      <c r="D59" t="s">
        <v>233</v>
      </c>
      <c r="E59" s="38">
        <v>46073</v>
      </c>
      <c r="F59" s="38">
        <v>46073</v>
      </c>
      <c r="G59" t="s">
        <v>93</v>
      </c>
      <c r="H59" t="s">
        <v>93</v>
      </c>
      <c r="I59">
        <v>9362.74</v>
      </c>
      <c r="J59">
        <v>1151.6170200000001</v>
      </c>
      <c r="K59">
        <v>964.36222000000009</v>
      </c>
      <c r="L59">
        <v>187.25479999999999</v>
      </c>
      <c r="M59"/>
      <c r="N59"/>
      <c r="O59"/>
      <c r="P59"/>
      <c r="Q59"/>
      <c r="R59"/>
      <c r="S59"/>
      <c r="T59" t="s">
        <v>94</v>
      </c>
      <c r="U59" s="17" t="s">
        <v>95</v>
      </c>
      <c r="V59" t="s">
        <v>228</v>
      </c>
      <c r="W59" t="s">
        <v>229</v>
      </c>
      <c r="Y59" t="s">
        <v>97</v>
      </c>
      <c r="AD59" t="s">
        <v>234</v>
      </c>
      <c r="AE59" t="s">
        <v>235</v>
      </c>
      <c r="AF59" t="s">
        <v>100</v>
      </c>
      <c r="AG59">
        <v>30008</v>
      </c>
      <c r="AH59" s="17">
        <f t="shared" si="0"/>
        <v>2</v>
      </c>
      <c r="AI59" s="17"/>
      <c r="AJ59" s="17"/>
      <c r="AK59" s="17"/>
      <c r="AL59" s="17"/>
      <c r="AM59" s="17"/>
      <c r="AN59" s="17"/>
    </row>
    <row r="60" spans="4:40" x14ac:dyDescent="0.35">
      <c r="D60" t="s">
        <v>236</v>
      </c>
      <c r="E60" s="38">
        <v>46079</v>
      </c>
      <c r="F60" s="38">
        <v>46079</v>
      </c>
      <c r="G60" t="s">
        <v>93</v>
      </c>
      <c r="H60" t="s">
        <v>93</v>
      </c>
      <c r="I60">
        <v>53751.08</v>
      </c>
      <c r="J60">
        <v>6611.3828400000011</v>
      </c>
      <c r="K60">
        <v>5536.3612400000011</v>
      </c>
      <c r="L60">
        <v>1075.0216</v>
      </c>
      <c r="M60"/>
      <c r="N60"/>
      <c r="O60"/>
      <c r="P60"/>
      <c r="Q60"/>
      <c r="R60"/>
      <c r="S60"/>
      <c r="T60" t="s">
        <v>94</v>
      </c>
      <c r="U60" s="17" t="s">
        <v>95</v>
      </c>
      <c r="V60" t="s">
        <v>228</v>
      </c>
      <c r="W60" t="s">
        <v>229</v>
      </c>
      <c r="Y60" t="s">
        <v>97</v>
      </c>
      <c r="AD60" t="s">
        <v>237</v>
      </c>
      <c r="AE60" t="s">
        <v>238</v>
      </c>
      <c r="AF60" t="s">
        <v>100</v>
      </c>
      <c r="AG60">
        <v>30008</v>
      </c>
      <c r="AH60" s="17">
        <f t="shared" si="0"/>
        <v>2</v>
      </c>
      <c r="AI60" s="17"/>
      <c r="AJ60" s="17"/>
      <c r="AK60" s="17"/>
      <c r="AL60" s="17"/>
      <c r="AM60" s="17"/>
      <c r="AN60" s="17"/>
    </row>
    <row r="61" spans="4:40" x14ac:dyDescent="0.35">
      <c r="D61" t="s">
        <v>239</v>
      </c>
      <c r="E61" s="38">
        <v>46080</v>
      </c>
      <c r="F61" s="38">
        <v>46080</v>
      </c>
      <c r="G61" t="s">
        <v>93</v>
      </c>
      <c r="H61" t="s">
        <v>93</v>
      </c>
      <c r="I61">
        <v>5589.73</v>
      </c>
      <c r="J61">
        <v>558.97299999999996</v>
      </c>
      <c r="K61">
        <v>447.17839999999995</v>
      </c>
      <c r="L61">
        <v>111.79459999999999</v>
      </c>
      <c r="M61"/>
      <c r="N61"/>
      <c r="O61"/>
      <c r="P61"/>
      <c r="Q61"/>
      <c r="R61"/>
      <c r="S61"/>
      <c r="T61" t="s">
        <v>94</v>
      </c>
      <c r="U61" s="17" t="s">
        <v>95</v>
      </c>
      <c r="V61" t="s">
        <v>96</v>
      </c>
      <c r="W61"/>
      <c r="Y61" t="s">
        <v>97</v>
      </c>
      <c r="AD61" t="s">
        <v>240</v>
      </c>
      <c r="AE61" s="58" t="s">
        <v>241</v>
      </c>
      <c r="AF61" s="58" t="s">
        <v>100</v>
      </c>
      <c r="AG61" s="58">
        <v>30360</v>
      </c>
      <c r="AH61" s="17">
        <f t="shared" si="0"/>
        <v>2</v>
      </c>
      <c r="AI61" s="17"/>
      <c r="AJ61" s="17"/>
      <c r="AK61" s="17"/>
      <c r="AL61" s="17"/>
      <c r="AM61" s="17"/>
      <c r="AN61" s="17"/>
    </row>
    <row r="62" spans="4:40" x14ac:dyDescent="0.35">
      <c r="D62" t="s">
        <v>242</v>
      </c>
      <c r="E62" s="38">
        <v>46080</v>
      </c>
      <c r="F62" s="38">
        <v>46080</v>
      </c>
      <c r="G62" t="s">
        <v>93</v>
      </c>
      <c r="H62" t="s">
        <v>93</v>
      </c>
      <c r="I62">
        <v>4005.55</v>
      </c>
      <c r="J62">
        <v>400.55500000000001</v>
      </c>
      <c r="K62">
        <v>320.44400000000002</v>
      </c>
      <c r="L62">
        <v>80.111000000000004</v>
      </c>
      <c r="M62"/>
      <c r="N62"/>
      <c r="O62"/>
      <c r="P62"/>
      <c r="Q62"/>
      <c r="R62"/>
      <c r="S62"/>
      <c r="T62" t="s">
        <v>94</v>
      </c>
      <c r="U62" s="17" t="s">
        <v>95</v>
      </c>
      <c r="V62" t="s">
        <v>96</v>
      </c>
      <c r="W62"/>
      <c r="Y62" t="s">
        <v>97</v>
      </c>
      <c r="AD62" t="s">
        <v>243</v>
      </c>
      <c r="AE62" t="s">
        <v>244</v>
      </c>
      <c r="AF62" t="s">
        <v>100</v>
      </c>
      <c r="AG62">
        <v>30360</v>
      </c>
      <c r="AH62" s="17">
        <f t="shared" si="0"/>
        <v>2</v>
      </c>
      <c r="AI62" s="17"/>
      <c r="AJ62" s="17"/>
      <c r="AK62" s="17"/>
      <c r="AL62" s="17"/>
      <c r="AM62" s="17"/>
      <c r="AN62" s="17"/>
    </row>
    <row r="63" spans="4:40" x14ac:dyDescent="0.35">
      <c r="D63" t="s">
        <v>219</v>
      </c>
      <c r="E63" s="38">
        <v>46079</v>
      </c>
      <c r="F63" s="38">
        <v>46079</v>
      </c>
      <c r="G63" t="s">
        <v>93</v>
      </c>
      <c r="H63" t="s">
        <v>93</v>
      </c>
      <c r="I63">
        <v>759.66</v>
      </c>
      <c r="J63">
        <v>60.772799999999997</v>
      </c>
      <c r="K63">
        <v>45.579599999999999</v>
      </c>
      <c r="L63">
        <v>15.193199999999999</v>
      </c>
      <c r="M63"/>
      <c r="N63"/>
      <c r="O63"/>
      <c r="P63"/>
      <c r="Q63"/>
      <c r="R63"/>
      <c r="S63"/>
      <c r="T63" t="s">
        <v>94</v>
      </c>
      <c r="U63" s="17" t="s">
        <v>95</v>
      </c>
      <c r="V63" t="s">
        <v>96</v>
      </c>
      <c r="W63"/>
      <c r="Y63" t="s">
        <v>97</v>
      </c>
      <c r="AD63" t="s">
        <v>102</v>
      </c>
      <c r="AE63" t="s">
        <v>214</v>
      </c>
      <c r="AF63" t="s">
        <v>100</v>
      </c>
      <c r="AG63">
        <v>31320</v>
      </c>
      <c r="AH63" s="17">
        <f t="shared" si="0"/>
        <v>2</v>
      </c>
      <c r="AI63" s="17"/>
      <c r="AJ63" s="17"/>
      <c r="AK63" s="17"/>
      <c r="AL63" s="17"/>
      <c r="AM63" s="17"/>
      <c r="AN63" s="17"/>
    </row>
    <row r="64" spans="4:40" x14ac:dyDescent="0.35">
      <c r="D64" t="s">
        <v>220</v>
      </c>
      <c r="E64" s="38">
        <v>46079</v>
      </c>
      <c r="F64" s="38">
        <v>46079</v>
      </c>
      <c r="G64" t="s">
        <v>93</v>
      </c>
      <c r="H64" t="s">
        <v>93</v>
      </c>
      <c r="I64">
        <v>6970.17</v>
      </c>
      <c r="J64">
        <v>557.61360000000002</v>
      </c>
      <c r="K64">
        <v>418.21020000000004</v>
      </c>
      <c r="L64">
        <v>139.4034</v>
      </c>
      <c r="M64"/>
      <c r="N64"/>
      <c r="O64"/>
      <c r="P64"/>
      <c r="Q64"/>
      <c r="R64"/>
      <c r="S64"/>
      <c r="T64" t="s">
        <v>94</v>
      </c>
      <c r="U64" s="17" t="s">
        <v>95</v>
      </c>
      <c r="V64" t="s">
        <v>96</v>
      </c>
      <c r="W64"/>
      <c r="Y64" t="s">
        <v>97</v>
      </c>
      <c r="AD64" t="s">
        <v>102</v>
      </c>
      <c r="AE64" t="s">
        <v>214</v>
      </c>
      <c r="AF64" t="s">
        <v>100</v>
      </c>
      <c r="AG64">
        <v>31320</v>
      </c>
      <c r="AH64" s="17">
        <f t="shared" si="0"/>
        <v>2</v>
      </c>
      <c r="AI64" s="17"/>
      <c r="AJ64" s="17"/>
      <c r="AK64" s="17"/>
      <c r="AL64" s="17"/>
      <c r="AM64" s="17"/>
      <c r="AN64" s="17"/>
    </row>
    <row r="65" spans="4:40" x14ac:dyDescent="0.35">
      <c r="D65" t="s">
        <v>221</v>
      </c>
      <c r="E65" s="38">
        <v>46079</v>
      </c>
      <c r="F65" s="38">
        <v>46079</v>
      </c>
      <c r="G65" t="s">
        <v>93</v>
      </c>
      <c r="H65" t="s">
        <v>93</v>
      </c>
      <c r="I65">
        <v>1477.47</v>
      </c>
      <c r="J65">
        <v>118.19760000000001</v>
      </c>
      <c r="K65">
        <v>88.648200000000003</v>
      </c>
      <c r="L65">
        <v>29.549400000000002</v>
      </c>
      <c r="M65"/>
      <c r="N65"/>
      <c r="O65"/>
      <c r="P65"/>
      <c r="Q65"/>
      <c r="R65"/>
      <c r="S65"/>
      <c r="T65" t="s">
        <v>94</v>
      </c>
      <c r="U65" s="17" t="s">
        <v>95</v>
      </c>
      <c r="V65" t="s">
        <v>96</v>
      </c>
      <c r="W65"/>
      <c r="Y65" t="s">
        <v>97</v>
      </c>
      <c r="AD65" t="s">
        <v>102</v>
      </c>
      <c r="AE65" t="s">
        <v>214</v>
      </c>
      <c r="AF65" t="s">
        <v>100</v>
      </c>
      <c r="AG65">
        <v>31320</v>
      </c>
      <c r="AH65" s="17">
        <f t="shared" si="0"/>
        <v>2</v>
      </c>
      <c r="AI65" s="17"/>
      <c r="AJ65" s="17"/>
      <c r="AK65" s="17"/>
      <c r="AL65" s="17"/>
      <c r="AM65" s="17"/>
      <c r="AN65" s="17"/>
    </row>
    <row r="66" spans="4:40" x14ac:dyDescent="0.35">
      <c r="D66" t="s">
        <v>245</v>
      </c>
      <c r="E66" s="38">
        <v>46078</v>
      </c>
      <c r="F66" s="38">
        <v>46078</v>
      </c>
      <c r="G66" t="s">
        <v>93</v>
      </c>
      <c r="H66" t="s">
        <v>93</v>
      </c>
      <c r="I66">
        <v>2253.38</v>
      </c>
      <c r="J66">
        <v>270.40560000000005</v>
      </c>
      <c r="K66">
        <v>225.33800000000002</v>
      </c>
      <c r="L66">
        <v>45.067600000000006</v>
      </c>
      <c r="M66"/>
      <c r="N66"/>
      <c r="O66"/>
      <c r="P66"/>
      <c r="Q66"/>
      <c r="R66"/>
      <c r="S66"/>
      <c r="T66" t="s">
        <v>94</v>
      </c>
      <c r="U66" s="17" t="s">
        <v>95</v>
      </c>
      <c r="V66" t="s">
        <v>111</v>
      </c>
      <c r="W66"/>
      <c r="Y66" t="s">
        <v>97</v>
      </c>
      <c r="AD66" t="s">
        <v>246</v>
      </c>
      <c r="AE66" t="s">
        <v>247</v>
      </c>
      <c r="AF66" t="s">
        <v>109</v>
      </c>
      <c r="AG66">
        <v>30530</v>
      </c>
      <c r="AH66" s="17">
        <f t="shared" si="0"/>
        <v>2</v>
      </c>
      <c r="AI66" s="17"/>
      <c r="AJ66" s="17"/>
      <c r="AK66" s="17"/>
      <c r="AL66" s="17"/>
      <c r="AM66" s="17"/>
      <c r="AN66" s="17"/>
    </row>
    <row r="67" spans="4:40" x14ac:dyDescent="0.35">
      <c r="D67" t="s">
        <v>248</v>
      </c>
      <c r="E67" s="38">
        <v>46077</v>
      </c>
      <c r="F67" s="38">
        <v>46077</v>
      </c>
      <c r="G67" t="s">
        <v>93</v>
      </c>
      <c r="H67" t="s">
        <v>93</v>
      </c>
      <c r="I67">
        <v>42785.16</v>
      </c>
      <c r="J67">
        <v>5989.9224000000004</v>
      </c>
      <c r="K67">
        <v>5134.2192000000005</v>
      </c>
      <c r="L67">
        <v>855.70320000000004</v>
      </c>
      <c r="M67"/>
      <c r="N67"/>
      <c r="O67"/>
      <c r="P67"/>
      <c r="Q67"/>
      <c r="R67"/>
      <c r="S67"/>
      <c r="T67" t="s">
        <v>94</v>
      </c>
      <c r="U67" s="17" t="s">
        <v>95</v>
      </c>
      <c r="V67" t="s">
        <v>111</v>
      </c>
      <c r="W67"/>
      <c r="Y67" t="s">
        <v>97</v>
      </c>
      <c r="AD67" t="s">
        <v>249</v>
      </c>
      <c r="AE67" t="s">
        <v>250</v>
      </c>
      <c r="AF67" t="s">
        <v>100</v>
      </c>
      <c r="AG67">
        <v>3460</v>
      </c>
      <c r="AH67" s="17">
        <f t="shared" ref="AH67:AH72" si="1">+MONTH(E67)</f>
        <v>2</v>
      </c>
      <c r="AI67" s="17"/>
      <c r="AJ67" s="17"/>
      <c r="AK67" s="17"/>
      <c r="AL67" s="17"/>
      <c r="AM67" s="17"/>
      <c r="AN67" s="17"/>
    </row>
    <row r="68" spans="4:40" x14ac:dyDescent="0.35">
      <c r="D68" t="s">
        <v>251</v>
      </c>
      <c r="E68" s="38">
        <v>46077</v>
      </c>
      <c r="F68" s="38">
        <v>46077</v>
      </c>
      <c r="G68" t="s">
        <v>93</v>
      </c>
      <c r="H68" t="s">
        <v>93</v>
      </c>
      <c r="I68">
        <v>26573</v>
      </c>
      <c r="J68">
        <v>3720.2200000000003</v>
      </c>
      <c r="K68">
        <v>3188.76</v>
      </c>
      <c r="L68">
        <v>531.46</v>
      </c>
      <c r="M68"/>
      <c r="N68"/>
      <c r="O68"/>
      <c r="P68"/>
      <c r="Q68"/>
      <c r="R68"/>
      <c r="S68"/>
      <c r="T68" t="s">
        <v>94</v>
      </c>
      <c r="U68" s="17" t="s">
        <v>95</v>
      </c>
      <c r="V68" t="s">
        <v>111</v>
      </c>
      <c r="W68"/>
      <c r="Y68" t="s">
        <v>97</v>
      </c>
      <c r="AD68" t="s">
        <v>249</v>
      </c>
      <c r="AE68" s="58" t="s">
        <v>250</v>
      </c>
      <c r="AF68" s="58" t="s">
        <v>100</v>
      </c>
      <c r="AG68" s="58">
        <v>3460</v>
      </c>
      <c r="AH68" s="17">
        <f t="shared" si="1"/>
        <v>2</v>
      </c>
      <c r="AI68" s="17"/>
      <c r="AJ68" s="17"/>
      <c r="AK68" s="17"/>
      <c r="AL68" s="17"/>
      <c r="AM68" s="17"/>
      <c r="AN68" s="17"/>
    </row>
    <row r="69" spans="4:40" x14ac:dyDescent="0.35">
      <c r="D69" t="s">
        <v>252</v>
      </c>
      <c r="E69" s="38">
        <v>46080</v>
      </c>
      <c r="F69" s="38">
        <v>46080</v>
      </c>
      <c r="G69" t="s">
        <v>93</v>
      </c>
      <c r="H69" t="s">
        <v>93</v>
      </c>
      <c r="I69">
        <v>10149.57</v>
      </c>
      <c r="J69">
        <v>1116.4527</v>
      </c>
      <c r="K69">
        <v>913.46130000000005</v>
      </c>
      <c r="L69">
        <v>202.9914</v>
      </c>
      <c r="M69"/>
      <c r="N69"/>
      <c r="O69"/>
      <c r="P69"/>
      <c r="Q69"/>
      <c r="R69"/>
      <c r="S69"/>
      <c r="T69" t="s">
        <v>94</v>
      </c>
      <c r="U69" s="17" t="s">
        <v>95</v>
      </c>
      <c r="V69" t="s">
        <v>111</v>
      </c>
      <c r="W69"/>
      <c r="Y69" t="s">
        <v>97</v>
      </c>
      <c r="AD69" t="s">
        <v>253</v>
      </c>
      <c r="AE69" t="s">
        <v>254</v>
      </c>
      <c r="AF69" t="s">
        <v>109</v>
      </c>
      <c r="AG69">
        <v>30600</v>
      </c>
      <c r="AH69" s="17">
        <f t="shared" si="1"/>
        <v>2</v>
      </c>
      <c r="AI69" s="17"/>
      <c r="AJ69" s="17"/>
      <c r="AK69" s="17"/>
      <c r="AL69" s="17"/>
      <c r="AM69" s="17"/>
      <c r="AN69" s="17"/>
    </row>
    <row r="70" spans="4:40" x14ac:dyDescent="0.35">
      <c r="D70" t="s">
        <v>255</v>
      </c>
      <c r="E70" s="38">
        <v>46079</v>
      </c>
      <c r="F70" s="38">
        <v>46079</v>
      </c>
      <c r="G70" t="s">
        <v>93</v>
      </c>
      <c r="H70" t="s">
        <v>93</v>
      </c>
      <c r="I70">
        <v>1405.06</v>
      </c>
      <c r="J70">
        <v>196.70840000000001</v>
      </c>
      <c r="K70">
        <v>168.60720000000001</v>
      </c>
      <c r="L70">
        <v>28.101199999999999</v>
      </c>
      <c r="M70"/>
      <c r="N70"/>
      <c r="O70"/>
      <c r="P70"/>
      <c r="Q70"/>
      <c r="R70"/>
      <c r="S70"/>
      <c r="T70" t="s">
        <v>94</v>
      </c>
      <c r="U70" s="17" t="s">
        <v>95</v>
      </c>
      <c r="V70" t="s">
        <v>111</v>
      </c>
      <c r="W70"/>
      <c r="Y70" t="s">
        <v>97</v>
      </c>
      <c r="AD70" t="s">
        <v>256</v>
      </c>
      <c r="AE70" t="s">
        <v>257</v>
      </c>
      <c r="AF70" t="s">
        <v>109</v>
      </c>
      <c r="AG70">
        <v>30530</v>
      </c>
      <c r="AH70" s="17">
        <f t="shared" si="1"/>
        <v>2</v>
      </c>
      <c r="AI70" s="17"/>
      <c r="AJ70" s="17"/>
      <c r="AK70" s="17"/>
      <c r="AL70" s="17"/>
      <c r="AM70" s="17"/>
      <c r="AN70" s="17"/>
    </row>
    <row r="71" spans="4:40" x14ac:dyDescent="0.35">
      <c r="D71" s="60" t="s">
        <v>258</v>
      </c>
      <c r="E71" s="61">
        <v>46044</v>
      </c>
      <c r="F71" s="61">
        <v>46044</v>
      </c>
      <c r="G71" s="60" t="s">
        <v>93</v>
      </c>
      <c r="H71" s="60" t="s">
        <v>93</v>
      </c>
      <c r="I71" s="60">
        <v>13441.98</v>
      </c>
      <c r="J71" s="60">
        <v>1344.1980000000001</v>
      </c>
      <c r="K71" s="60">
        <v>1075.3584000000001</v>
      </c>
      <c r="L71" s="60">
        <v>268.83960000000002</v>
      </c>
      <c r="M71" s="60"/>
      <c r="N71" s="60"/>
      <c r="O71" s="60"/>
      <c r="P71" s="60"/>
      <c r="Q71" s="60"/>
      <c r="R71" s="60"/>
      <c r="S71" s="60"/>
      <c r="T71" s="60" t="s">
        <v>94</v>
      </c>
      <c r="U71" s="17" t="s">
        <v>95</v>
      </c>
      <c r="V71" s="60" t="s">
        <v>96</v>
      </c>
      <c r="W71" s="60"/>
      <c r="Y71" s="60" t="s">
        <v>97</v>
      </c>
      <c r="AD71" s="60" t="s">
        <v>98</v>
      </c>
      <c r="AE71" s="60" t="s">
        <v>99</v>
      </c>
      <c r="AF71" s="60" t="s">
        <v>100</v>
      </c>
      <c r="AG71" s="60">
        <v>30360</v>
      </c>
      <c r="AH71" s="17">
        <f t="shared" si="1"/>
        <v>1</v>
      </c>
      <c r="AI71" s="17"/>
      <c r="AJ71" s="17"/>
      <c r="AK71" s="17"/>
      <c r="AL71" s="17"/>
      <c r="AM71" s="17"/>
      <c r="AN71" s="17"/>
    </row>
    <row r="72" spans="4:40" x14ac:dyDescent="0.35">
      <c r="D72" s="60" t="s">
        <v>259</v>
      </c>
      <c r="E72" s="61">
        <v>46043</v>
      </c>
      <c r="F72" s="61">
        <v>46043</v>
      </c>
      <c r="G72" s="60" t="s">
        <v>93</v>
      </c>
      <c r="H72" s="60" t="s">
        <v>93</v>
      </c>
      <c r="I72" s="62">
        <v>13327.54</v>
      </c>
      <c r="J72" s="60">
        <v>1332.7539999999999</v>
      </c>
      <c r="K72" s="60">
        <v>1066.2031999999999</v>
      </c>
      <c r="L72" s="60">
        <v>266.55079999999998</v>
      </c>
      <c r="M72" s="60"/>
      <c r="N72" s="60"/>
      <c r="O72" s="60"/>
      <c r="P72" s="60"/>
      <c r="Q72" s="60"/>
      <c r="R72" s="60"/>
      <c r="S72" s="60"/>
      <c r="T72" s="60" t="s">
        <v>94</v>
      </c>
      <c r="U72" s="17" t="s">
        <v>95</v>
      </c>
      <c r="V72" s="60" t="s">
        <v>96</v>
      </c>
      <c r="W72" s="60"/>
      <c r="Y72" s="60" t="s">
        <v>97</v>
      </c>
      <c r="AD72" s="60" t="s">
        <v>260</v>
      </c>
      <c r="AE72" s="60" t="s">
        <v>99</v>
      </c>
      <c r="AF72" s="60" t="s">
        <v>100</v>
      </c>
      <c r="AG72" s="60">
        <v>30360</v>
      </c>
      <c r="AH72" s="17">
        <f t="shared" si="1"/>
        <v>1</v>
      </c>
      <c r="AI72" s="17"/>
      <c r="AJ72" s="17"/>
      <c r="AK72" s="17"/>
      <c r="AL72" s="17"/>
      <c r="AM72" s="17"/>
      <c r="AN72" s="17"/>
    </row>
    <row r="73" spans="4:40" x14ac:dyDescent="0.35">
      <c r="D73" t="s">
        <v>261</v>
      </c>
      <c r="E73" s="38">
        <v>46037</v>
      </c>
      <c r="F73" s="38">
        <v>46037</v>
      </c>
      <c r="G73" t="s">
        <v>93</v>
      </c>
      <c r="H73" t="s">
        <v>93</v>
      </c>
      <c r="I73">
        <v>1459.24</v>
      </c>
      <c r="J73">
        <v>189.7012</v>
      </c>
      <c r="K73">
        <v>145.92400000000001</v>
      </c>
      <c r="L73">
        <v>43.777200000000001</v>
      </c>
      <c r="P73"/>
      <c r="T73" t="s">
        <v>94</v>
      </c>
      <c r="U73" s="17" t="s">
        <v>95</v>
      </c>
      <c r="V73" t="s">
        <v>106</v>
      </c>
      <c r="Y73" t="s">
        <v>97</v>
      </c>
      <c r="Z73" s="27"/>
      <c r="AB73" s="18"/>
      <c r="AD73" t="s">
        <v>145</v>
      </c>
      <c r="AE73" t="s">
        <v>262</v>
      </c>
      <c r="AF73" t="s">
        <v>109</v>
      </c>
      <c r="AG73">
        <v>30550</v>
      </c>
      <c r="AH73" s="18">
        <f t="shared" ref="AH73:AH104" si="2">+MONTH(E73)</f>
        <v>1</v>
      </c>
    </row>
    <row r="74" spans="4:40" x14ac:dyDescent="0.35">
      <c r="D74" t="s">
        <v>263</v>
      </c>
      <c r="E74" s="38">
        <v>46024</v>
      </c>
      <c r="F74" s="38">
        <v>46024</v>
      </c>
      <c r="G74" t="s">
        <v>93</v>
      </c>
      <c r="H74" t="s">
        <v>93</v>
      </c>
      <c r="I74">
        <v>299.18</v>
      </c>
      <c r="J74">
        <v>41.885200000000005</v>
      </c>
      <c r="K74">
        <v>35.901600000000002</v>
      </c>
      <c r="L74">
        <v>5.9836</v>
      </c>
      <c r="P74"/>
      <c r="T74" t="s">
        <v>94</v>
      </c>
      <c r="U74" s="17" t="s">
        <v>95</v>
      </c>
      <c r="V74" t="s">
        <v>96</v>
      </c>
      <c r="Y74" t="s">
        <v>97</v>
      </c>
      <c r="Z74" s="27"/>
      <c r="AB74" s="18"/>
      <c r="AD74" s="58" t="s">
        <v>209</v>
      </c>
      <c r="AE74" s="58" t="s">
        <v>264</v>
      </c>
      <c r="AF74" s="58" t="s">
        <v>100</v>
      </c>
      <c r="AG74" s="58">
        <v>30739</v>
      </c>
      <c r="AH74" s="18">
        <f t="shared" si="2"/>
        <v>1</v>
      </c>
    </row>
    <row r="75" spans="4:40" x14ac:dyDescent="0.35">
      <c r="D75" t="s">
        <v>265</v>
      </c>
      <c r="E75" s="38">
        <v>46029</v>
      </c>
      <c r="F75" s="38">
        <v>46029</v>
      </c>
      <c r="G75" t="s">
        <v>93</v>
      </c>
      <c r="H75" t="s">
        <v>93</v>
      </c>
      <c r="I75">
        <v>869.3</v>
      </c>
      <c r="J75">
        <v>60.850999999999999</v>
      </c>
      <c r="K75">
        <v>43.465000000000003</v>
      </c>
      <c r="L75">
        <v>17.385999999999999</v>
      </c>
      <c r="P75"/>
      <c r="T75" t="s">
        <v>94</v>
      </c>
      <c r="U75" s="17" t="s">
        <v>95</v>
      </c>
      <c r="V75" t="s">
        <v>111</v>
      </c>
      <c r="Y75" t="s">
        <v>97</v>
      </c>
      <c r="Z75" s="27"/>
      <c r="AB75" s="18"/>
      <c r="AD75" t="s">
        <v>266</v>
      </c>
      <c r="AE75" t="s">
        <v>267</v>
      </c>
      <c r="AF75" t="s">
        <v>109</v>
      </c>
      <c r="AG75">
        <v>30550</v>
      </c>
      <c r="AH75" s="18">
        <f t="shared" si="2"/>
        <v>1</v>
      </c>
    </row>
    <row r="76" spans="4:40" x14ac:dyDescent="0.35">
      <c r="D76" t="s">
        <v>268</v>
      </c>
      <c r="E76" s="38">
        <v>46029</v>
      </c>
      <c r="F76" s="38">
        <v>46029</v>
      </c>
      <c r="G76" t="s">
        <v>93</v>
      </c>
      <c r="H76" t="s">
        <v>93</v>
      </c>
      <c r="I76">
        <v>33491.25</v>
      </c>
      <c r="J76">
        <v>3684.0375000000004</v>
      </c>
      <c r="K76">
        <v>2679.3</v>
      </c>
      <c r="L76">
        <v>1004.7375</v>
      </c>
      <c r="P76"/>
      <c r="T76" t="s">
        <v>94</v>
      </c>
      <c r="U76" s="17" t="s">
        <v>95</v>
      </c>
      <c r="V76" t="s">
        <v>106</v>
      </c>
      <c r="Y76" t="s">
        <v>97</v>
      </c>
      <c r="Z76" s="27"/>
      <c r="AB76" s="18"/>
      <c r="AD76" t="s">
        <v>269</v>
      </c>
      <c r="AE76" t="s">
        <v>270</v>
      </c>
      <c r="AF76" t="s">
        <v>109</v>
      </c>
      <c r="AG76">
        <v>30530</v>
      </c>
      <c r="AH76" s="18">
        <f t="shared" si="2"/>
        <v>1</v>
      </c>
    </row>
    <row r="77" spans="4:40" x14ac:dyDescent="0.35">
      <c r="D77" t="s">
        <v>147</v>
      </c>
      <c r="E77" s="38">
        <v>46030</v>
      </c>
      <c r="F77" s="38">
        <v>46030</v>
      </c>
      <c r="G77" t="s">
        <v>93</v>
      </c>
      <c r="H77" t="s">
        <v>93</v>
      </c>
      <c r="I77">
        <v>18718.560000000001</v>
      </c>
      <c r="J77">
        <v>2246.2272000000003</v>
      </c>
      <c r="K77">
        <v>1871.856</v>
      </c>
      <c r="L77">
        <v>374.37120000000004</v>
      </c>
      <c r="P77"/>
      <c r="T77" t="s">
        <v>94</v>
      </c>
      <c r="U77" s="17" t="s">
        <v>95</v>
      </c>
      <c r="V77" t="s">
        <v>111</v>
      </c>
      <c r="Y77" t="s">
        <v>97</v>
      </c>
      <c r="Z77" s="27"/>
      <c r="AB77" s="18"/>
      <c r="AD77" t="s">
        <v>148</v>
      </c>
      <c r="AE77" t="s">
        <v>271</v>
      </c>
      <c r="AF77" t="s">
        <v>109</v>
      </c>
      <c r="AG77">
        <v>30420</v>
      </c>
      <c r="AH77" s="18">
        <f t="shared" si="2"/>
        <v>1</v>
      </c>
    </row>
    <row r="78" spans="4:40" x14ac:dyDescent="0.35">
      <c r="D78" t="s">
        <v>272</v>
      </c>
      <c r="E78" s="38">
        <v>46030</v>
      </c>
      <c r="F78" s="38">
        <v>46030</v>
      </c>
      <c r="G78" t="s">
        <v>93</v>
      </c>
      <c r="H78" t="s">
        <v>93</v>
      </c>
      <c r="I78">
        <v>2583.3000000000002</v>
      </c>
      <c r="J78">
        <v>387.49500000000006</v>
      </c>
      <c r="K78">
        <v>309.99600000000004</v>
      </c>
      <c r="L78">
        <v>77.499000000000009</v>
      </c>
      <c r="P78"/>
      <c r="T78" t="s">
        <v>94</v>
      </c>
      <c r="U78" s="17" t="s">
        <v>95</v>
      </c>
      <c r="V78" t="s">
        <v>106</v>
      </c>
      <c r="Y78" t="s">
        <v>97</v>
      </c>
      <c r="Z78" s="27"/>
      <c r="AB78" s="18"/>
      <c r="AD78" t="s">
        <v>273</v>
      </c>
      <c r="AE78" t="s">
        <v>274</v>
      </c>
      <c r="AF78" t="s">
        <v>109</v>
      </c>
      <c r="AG78">
        <v>30530</v>
      </c>
      <c r="AH78" s="18">
        <f t="shared" si="2"/>
        <v>1</v>
      </c>
    </row>
    <row r="79" spans="4:40" x14ac:dyDescent="0.35">
      <c r="D79" t="s">
        <v>275</v>
      </c>
      <c r="E79" s="38">
        <v>46030</v>
      </c>
      <c r="F79" s="38">
        <v>46030</v>
      </c>
      <c r="G79" t="s">
        <v>93</v>
      </c>
      <c r="H79" t="s">
        <v>93</v>
      </c>
      <c r="I79">
        <v>2710.03</v>
      </c>
      <c r="J79">
        <v>346.88384000000008</v>
      </c>
      <c r="K79">
        <v>265.58294000000006</v>
      </c>
      <c r="L79">
        <v>81.300899999999999</v>
      </c>
      <c r="P79"/>
      <c r="T79" t="s">
        <v>94</v>
      </c>
      <c r="U79" s="17" t="s">
        <v>95</v>
      </c>
      <c r="V79" t="s">
        <v>106</v>
      </c>
      <c r="Y79" t="s">
        <v>97</v>
      </c>
      <c r="Z79" s="27"/>
      <c r="AB79" s="18"/>
      <c r="AD79" t="s">
        <v>276</v>
      </c>
      <c r="AE79" t="s">
        <v>277</v>
      </c>
      <c r="AF79" t="s">
        <v>109</v>
      </c>
      <c r="AG79">
        <v>30550</v>
      </c>
      <c r="AH79" s="18">
        <f t="shared" si="2"/>
        <v>1</v>
      </c>
    </row>
    <row r="80" spans="4:40" x14ac:dyDescent="0.35">
      <c r="D80" t="s">
        <v>278</v>
      </c>
      <c r="E80" s="38">
        <v>46031</v>
      </c>
      <c r="F80" s="38">
        <v>46031</v>
      </c>
      <c r="G80" t="s">
        <v>93</v>
      </c>
      <c r="H80" t="s">
        <v>93</v>
      </c>
      <c r="I80">
        <v>9052.7800000000007</v>
      </c>
      <c r="J80">
        <v>1086.3335999999999</v>
      </c>
      <c r="K80">
        <v>814.75020000000006</v>
      </c>
      <c r="L80">
        <v>271.58339999999998</v>
      </c>
      <c r="P80"/>
      <c r="T80" t="s">
        <v>94</v>
      </c>
      <c r="U80" s="17" t="s">
        <v>95</v>
      </c>
      <c r="V80" t="s">
        <v>106</v>
      </c>
      <c r="Y80" t="s">
        <v>97</v>
      </c>
      <c r="Z80" s="27"/>
      <c r="AB80" s="18"/>
      <c r="AD80" t="s">
        <v>279</v>
      </c>
      <c r="AE80" t="s">
        <v>280</v>
      </c>
      <c r="AF80" t="s">
        <v>109</v>
      </c>
      <c r="AG80">
        <v>30530</v>
      </c>
      <c r="AH80" s="18">
        <f t="shared" si="2"/>
        <v>1</v>
      </c>
    </row>
    <row r="81" spans="4:34" x14ac:dyDescent="0.35">
      <c r="D81" t="s">
        <v>281</v>
      </c>
      <c r="E81" s="38">
        <v>46031</v>
      </c>
      <c r="F81" s="38">
        <v>46031</v>
      </c>
      <c r="G81" t="s">
        <v>93</v>
      </c>
      <c r="H81" t="s">
        <v>93</v>
      </c>
      <c r="I81">
        <v>1991.07</v>
      </c>
      <c r="J81">
        <v>238.92840000000001</v>
      </c>
      <c r="K81">
        <v>179.19630000000001</v>
      </c>
      <c r="L81">
        <v>59.732099999999996</v>
      </c>
      <c r="P81"/>
      <c r="T81" t="s">
        <v>94</v>
      </c>
      <c r="U81" s="17" t="s">
        <v>95</v>
      </c>
      <c r="V81" t="s">
        <v>106</v>
      </c>
      <c r="Y81" t="s">
        <v>97</v>
      </c>
      <c r="Z81" s="27"/>
      <c r="AB81" s="18"/>
      <c r="AD81" t="s">
        <v>282</v>
      </c>
      <c r="AE81" t="s">
        <v>283</v>
      </c>
      <c r="AF81" t="s">
        <v>109</v>
      </c>
      <c r="AG81">
        <v>30530</v>
      </c>
      <c r="AH81" s="18">
        <f t="shared" si="2"/>
        <v>1</v>
      </c>
    </row>
    <row r="82" spans="4:34" x14ac:dyDescent="0.35">
      <c r="D82" t="s">
        <v>284</v>
      </c>
      <c r="E82" s="38">
        <v>46031</v>
      </c>
      <c r="F82" s="38">
        <v>46031</v>
      </c>
      <c r="G82" t="s">
        <v>93</v>
      </c>
      <c r="H82" t="s">
        <v>93</v>
      </c>
      <c r="I82">
        <v>1703.47</v>
      </c>
      <c r="J82">
        <v>204.41639999999998</v>
      </c>
      <c r="K82">
        <v>153.31229999999999</v>
      </c>
      <c r="L82">
        <v>51.104099999999995</v>
      </c>
      <c r="P82"/>
      <c r="T82" t="s">
        <v>94</v>
      </c>
      <c r="U82" s="17" t="s">
        <v>95</v>
      </c>
      <c r="V82" t="s">
        <v>106</v>
      </c>
      <c r="Y82" t="s">
        <v>97</v>
      </c>
      <c r="Z82" s="27"/>
      <c r="AB82" s="18"/>
      <c r="AD82" t="s">
        <v>285</v>
      </c>
      <c r="AE82" t="s">
        <v>286</v>
      </c>
      <c r="AF82" t="s">
        <v>109</v>
      </c>
      <c r="AG82">
        <v>30600</v>
      </c>
      <c r="AH82" s="18">
        <f t="shared" si="2"/>
        <v>1</v>
      </c>
    </row>
    <row r="83" spans="4:34" x14ac:dyDescent="0.35">
      <c r="D83" t="s">
        <v>287</v>
      </c>
      <c r="E83" s="38">
        <v>46031</v>
      </c>
      <c r="F83" s="38">
        <v>46031</v>
      </c>
      <c r="G83" t="s">
        <v>93</v>
      </c>
      <c r="H83" t="s">
        <v>93</v>
      </c>
      <c r="I83">
        <v>798.95</v>
      </c>
      <c r="J83">
        <v>47.937000000000005</v>
      </c>
      <c r="K83">
        <v>31.958000000000002</v>
      </c>
      <c r="L83">
        <v>15.979000000000001</v>
      </c>
      <c r="P83"/>
      <c r="T83" t="s">
        <v>94</v>
      </c>
      <c r="U83" s="17" t="s">
        <v>95</v>
      </c>
      <c r="V83" t="s">
        <v>96</v>
      </c>
      <c r="Y83" t="s">
        <v>97</v>
      </c>
      <c r="Z83" s="27"/>
      <c r="AB83" s="18"/>
      <c r="AD83" s="58" t="s">
        <v>102</v>
      </c>
      <c r="AE83" s="58" t="s">
        <v>103</v>
      </c>
      <c r="AF83" s="58" t="s">
        <v>100</v>
      </c>
      <c r="AG83" s="58">
        <v>31320</v>
      </c>
      <c r="AH83" s="18">
        <f t="shared" si="2"/>
        <v>1</v>
      </c>
    </row>
    <row r="84" spans="4:34" x14ac:dyDescent="0.35">
      <c r="D84" t="s">
        <v>288</v>
      </c>
      <c r="E84" s="38">
        <v>46031</v>
      </c>
      <c r="F84" s="38">
        <v>46031</v>
      </c>
      <c r="G84" t="s">
        <v>93</v>
      </c>
      <c r="H84" t="s">
        <v>93</v>
      </c>
      <c r="I84">
        <v>2962.67</v>
      </c>
      <c r="J84">
        <v>177.7602</v>
      </c>
      <c r="K84">
        <v>118.5068</v>
      </c>
      <c r="L84">
        <v>59.253399999999999</v>
      </c>
      <c r="P84"/>
      <c r="T84" t="s">
        <v>94</v>
      </c>
      <c r="U84" s="17" t="s">
        <v>95</v>
      </c>
      <c r="V84" t="s">
        <v>96</v>
      </c>
      <c r="Y84" t="s">
        <v>97</v>
      </c>
      <c r="Z84" s="27"/>
      <c r="AB84" s="18"/>
      <c r="AD84" s="58" t="s">
        <v>102</v>
      </c>
      <c r="AE84" s="58" t="s">
        <v>103</v>
      </c>
      <c r="AF84" s="58" t="s">
        <v>100</v>
      </c>
      <c r="AG84" s="58">
        <v>31320</v>
      </c>
      <c r="AH84" s="18">
        <f t="shared" si="2"/>
        <v>1</v>
      </c>
    </row>
    <row r="85" spans="4:34" x14ac:dyDescent="0.35">
      <c r="D85" t="s">
        <v>289</v>
      </c>
      <c r="E85" s="38">
        <v>46031</v>
      </c>
      <c r="F85" s="38">
        <v>46031</v>
      </c>
      <c r="G85" t="s">
        <v>93</v>
      </c>
      <c r="H85" t="s">
        <v>93</v>
      </c>
      <c r="I85">
        <v>2696.88</v>
      </c>
      <c r="J85">
        <v>242.7192</v>
      </c>
      <c r="K85">
        <v>161.81280000000001</v>
      </c>
      <c r="L85">
        <v>80.906400000000005</v>
      </c>
      <c r="P85"/>
      <c r="T85" t="s">
        <v>94</v>
      </c>
      <c r="U85" s="17" t="s">
        <v>95</v>
      </c>
      <c r="V85" t="s">
        <v>106</v>
      </c>
      <c r="Y85" t="s">
        <v>97</v>
      </c>
      <c r="Z85" s="27"/>
      <c r="AB85" s="18"/>
      <c r="AD85" t="s">
        <v>290</v>
      </c>
      <c r="AE85" t="s">
        <v>291</v>
      </c>
      <c r="AF85" t="s">
        <v>109</v>
      </c>
      <c r="AG85">
        <v>30559</v>
      </c>
      <c r="AH85" s="18">
        <f t="shared" si="2"/>
        <v>1</v>
      </c>
    </row>
    <row r="86" spans="4:34" x14ac:dyDescent="0.35">
      <c r="D86" t="s">
        <v>292</v>
      </c>
      <c r="E86" s="38">
        <v>46031</v>
      </c>
      <c r="F86" s="38">
        <v>46031</v>
      </c>
      <c r="G86" t="s">
        <v>93</v>
      </c>
      <c r="H86" t="s">
        <v>93</v>
      </c>
      <c r="I86">
        <v>3777.72</v>
      </c>
      <c r="J86">
        <v>528.88080000000002</v>
      </c>
      <c r="K86">
        <v>453.32639999999998</v>
      </c>
      <c r="L86">
        <v>75.554400000000001</v>
      </c>
      <c r="P86"/>
      <c r="T86" t="s">
        <v>94</v>
      </c>
      <c r="U86" s="17" t="s">
        <v>95</v>
      </c>
      <c r="V86" t="s">
        <v>106</v>
      </c>
      <c r="Y86" t="s">
        <v>97</v>
      </c>
      <c r="Z86" s="27"/>
      <c r="AB86" s="18"/>
      <c r="AD86" t="s">
        <v>293</v>
      </c>
      <c r="AE86" t="s">
        <v>294</v>
      </c>
      <c r="AF86" t="s">
        <v>109</v>
      </c>
      <c r="AG86">
        <v>30550</v>
      </c>
      <c r="AH86" s="18">
        <f t="shared" si="2"/>
        <v>1</v>
      </c>
    </row>
    <row r="87" spans="4:34" x14ac:dyDescent="0.35">
      <c r="D87" t="s">
        <v>295</v>
      </c>
      <c r="E87" s="38">
        <v>46031</v>
      </c>
      <c r="F87" s="38">
        <v>46031</v>
      </c>
      <c r="G87" t="s">
        <v>93</v>
      </c>
      <c r="H87" t="s">
        <v>93</v>
      </c>
      <c r="I87">
        <v>3414.08</v>
      </c>
      <c r="J87">
        <v>477.97119999999995</v>
      </c>
      <c r="K87">
        <v>409.68959999999998</v>
      </c>
      <c r="L87">
        <v>68.281599999999997</v>
      </c>
      <c r="P87"/>
      <c r="T87" t="s">
        <v>94</v>
      </c>
      <c r="U87" s="17" t="s">
        <v>95</v>
      </c>
      <c r="V87" t="s">
        <v>106</v>
      </c>
      <c r="Y87" t="s">
        <v>97</v>
      </c>
      <c r="Z87" s="27"/>
      <c r="AB87" s="18"/>
      <c r="AD87" t="s">
        <v>296</v>
      </c>
      <c r="AE87" t="s">
        <v>297</v>
      </c>
      <c r="AF87" t="s">
        <v>109</v>
      </c>
      <c r="AG87">
        <v>30540</v>
      </c>
      <c r="AH87" s="18">
        <f t="shared" si="2"/>
        <v>1</v>
      </c>
    </row>
    <row r="88" spans="4:34" x14ac:dyDescent="0.35">
      <c r="D88" t="s">
        <v>298</v>
      </c>
      <c r="E88" s="38">
        <v>46031</v>
      </c>
      <c r="F88" s="38">
        <v>46031</v>
      </c>
      <c r="G88" t="s">
        <v>93</v>
      </c>
      <c r="H88" t="s">
        <v>93</v>
      </c>
      <c r="I88">
        <v>5997.04</v>
      </c>
      <c r="J88">
        <v>839.58559999999989</v>
      </c>
      <c r="K88">
        <v>719.64479999999992</v>
      </c>
      <c r="L88">
        <v>119.9408</v>
      </c>
      <c r="P88"/>
      <c r="T88" t="s">
        <v>94</v>
      </c>
      <c r="U88" s="17" t="s">
        <v>95</v>
      </c>
      <c r="V88" t="s">
        <v>106</v>
      </c>
      <c r="Y88" t="s">
        <v>97</v>
      </c>
      <c r="Z88" s="27"/>
      <c r="AB88" s="18"/>
      <c r="AD88" t="s">
        <v>299</v>
      </c>
      <c r="AE88" t="s">
        <v>300</v>
      </c>
      <c r="AF88" t="s">
        <v>109</v>
      </c>
      <c r="AG88">
        <v>30870</v>
      </c>
      <c r="AH88" s="18">
        <f t="shared" si="2"/>
        <v>1</v>
      </c>
    </row>
    <row r="89" spans="4:34" x14ac:dyDescent="0.35">
      <c r="D89" t="s">
        <v>301</v>
      </c>
      <c r="E89" s="38">
        <v>46031</v>
      </c>
      <c r="F89" s="38">
        <v>46031</v>
      </c>
      <c r="G89" t="s">
        <v>93</v>
      </c>
      <c r="H89" t="s">
        <v>93</v>
      </c>
      <c r="I89">
        <v>4703.05</v>
      </c>
      <c r="J89">
        <v>658.42700000000013</v>
      </c>
      <c r="K89">
        <v>564.3660000000001</v>
      </c>
      <c r="L89">
        <v>94.061000000000007</v>
      </c>
      <c r="P89"/>
      <c r="T89" t="s">
        <v>94</v>
      </c>
      <c r="U89" s="17" t="s">
        <v>95</v>
      </c>
      <c r="V89" t="s">
        <v>106</v>
      </c>
      <c r="Y89" t="s">
        <v>97</v>
      </c>
      <c r="Z89" s="27"/>
      <c r="AB89" s="18"/>
      <c r="AD89" t="s">
        <v>302</v>
      </c>
      <c r="AE89" t="s">
        <v>303</v>
      </c>
      <c r="AF89" t="s">
        <v>109</v>
      </c>
      <c r="AG89">
        <v>30870</v>
      </c>
      <c r="AH89" s="18">
        <f t="shared" si="2"/>
        <v>1</v>
      </c>
    </row>
    <row r="90" spans="4:34" x14ac:dyDescent="0.35">
      <c r="D90" t="s">
        <v>304</v>
      </c>
      <c r="E90" s="38">
        <v>46031</v>
      </c>
      <c r="F90" s="38">
        <v>46031</v>
      </c>
      <c r="G90" t="s">
        <v>93</v>
      </c>
      <c r="H90" t="s">
        <v>93</v>
      </c>
      <c r="I90">
        <v>1818.8</v>
      </c>
      <c r="J90">
        <v>345.57199999999995</v>
      </c>
      <c r="K90">
        <v>309.19599999999997</v>
      </c>
      <c r="L90">
        <v>36.375999999999998</v>
      </c>
      <c r="P90"/>
      <c r="T90" t="s">
        <v>94</v>
      </c>
      <c r="U90" s="17" t="s">
        <v>95</v>
      </c>
      <c r="V90" t="s">
        <v>111</v>
      </c>
      <c r="Y90" t="s">
        <v>97</v>
      </c>
      <c r="Z90" s="27"/>
      <c r="AB90" s="18"/>
      <c r="AD90" t="s">
        <v>305</v>
      </c>
      <c r="AE90" t="s">
        <v>306</v>
      </c>
      <c r="AF90" t="s">
        <v>109</v>
      </c>
      <c r="AG90">
        <v>30600</v>
      </c>
      <c r="AH90" s="18">
        <f t="shared" si="2"/>
        <v>1</v>
      </c>
    </row>
    <row r="91" spans="4:34" x14ac:dyDescent="0.35">
      <c r="D91" t="s">
        <v>307</v>
      </c>
      <c r="E91" s="38">
        <v>46034</v>
      </c>
      <c r="F91" s="38">
        <v>46034</v>
      </c>
      <c r="G91" t="s">
        <v>93</v>
      </c>
      <c r="H91" t="s">
        <v>93</v>
      </c>
      <c r="I91">
        <v>2308.06</v>
      </c>
      <c r="J91">
        <v>311.5881</v>
      </c>
      <c r="K91">
        <v>242.34630000000001</v>
      </c>
      <c r="L91">
        <v>69.241799999999998</v>
      </c>
      <c r="P91"/>
      <c r="T91" t="s">
        <v>94</v>
      </c>
      <c r="U91" s="17" t="s">
        <v>95</v>
      </c>
      <c r="V91" t="s">
        <v>106</v>
      </c>
      <c r="Y91" t="s">
        <v>97</v>
      </c>
      <c r="Z91" s="27"/>
      <c r="AB91" s="18"/>
      <c r="AD91" t="s">
        <v>308</v>
      </c>
      <c r="AE91" t="s">
        <v>309</v>
      </c>
      <c r="AF91" t="s">
        <v>109</v>
      </c>
      <c r="AG91">
        <v>30530</v>
      </c>
      <c r="AH91" s="18">
        <f t="shared" si="2"/>
        <v>1</v>
      </c>
    </row>
    <row r="92" spans="4:34" x14ac:dyDescent="0.35">
      <c r="D92" t="s">
        <v>310</v>
      </c>
      <c r="E92" s="38">
        <v>46034</v>
      </c>
      <c r="F92" s="38">
        <v>46034</v>
      </c>
      <c r="G92" t="s">
        <v>93</v>
      </c>
      <c r="H92" t="s">
        <v>93</v>
      </c>
      <c r="I92">
        <v>12229.69</v>
      </c>
      <c r="J92">
        <v>1345.2659000000001</v>
      </c>
      <c r="K92">
        <v>978.37520000000006</v>
      </c>
      <c r="L92">
        <v>366.89069999999998</v>
      </c>
      <c r="P92"/>
      <c r="T92" t="s">
        <v>94</v>
      </c>
      <c r="U92" s="17" t="s">
        <v>95</v>
      </c>
      <c r="V92" t="s">
        <v>106</v>
      </c>
      <c r="Y92" t="s">
        <v>97</v>
      </c>
      <c r="Z92" s="27"/>
      <c r="AB92" s="18"/>
      <c r="AD92" t="s">
        <v>311</v>
      </c>
      <c r="AE92" t="s">
        <v>312</v>
      </c>
      <c r="AF92" t="s">
        <v>109</v>
      </c>
      <c r="AG92">
        <v>30550</v>
      </c>
      <c r="AH92" s="18">
        <f t="shared" si="2"/>
        <v>1</v>
      </c>
    </row>
    <row r="93" spans="4:34" x14ac:dyDescent="0.35">
      <c r="D93" t="s">
        <v>313</v>
      </c>
      <c r="E93" s="38">
        <v>46034</v>
      </c>
      <c r="F93" s="38">
        <v>46034</v>
      </c>
      <c r="G93" t="s">
        <v>93</v>
      </c>
      <c r="H93" t="s">
        <v>93</v>
      </c>
      <c r="I93">
        <v>6415.17</v>
      </c>
      <c r="J93">
        <v>1090.5789</v>
      </c>
      <c r="K93">
        <v>898.12380000000007</v>
      </c>
      <c r="L93">
        <v>192.45509999999999</v>
      </c>
      <c r="P93"/>
      <c r="T93" t="s">
        <v>94</v>
      </c>
      <c r="U93" s="17" t="s">
        <v>95</v>
      </c>
      <c r="V93" t="s">
        <v>106</v>
      </c>
      <c r="Y93" t="s">
        <v>97</v>
      </c>
      <c r="Z93" s="27"/>
      <c r="AB93" s="18"/>
      <c r="AD93" t="s">
        <v>314</v>
      </c>
      <c r="AE93" t="s">
        <v>315</v>
      </c>
      <c r="AF93" t="s">
        <v>109</v>
      </c>
      <c r="AG93">
        <v>30550</v>
      </c>
      <c r="AH93" s="18">
        <f t="shared" si="2"/>
        <v>1</v>
      </c>
    </row>
    <row r="94" spans="4:34" x14ac:dyDescent="0.35">
      <c r="D94" t="s">
        <v>316</v>
      </c>
      <c r="E94" s="38">
        <v>46034</v>
      </c>
      <c r="F94" s="38">
        <v>46034</v>
      </c>
      <c r="G94" t="s">
        <v>93</v>
      </c>
      <c r="H94" t="s">
        <v>93</v>
      </c>
      <c r="I94">
        <v>19061.400000000001</v>
      </c>
      <c r="J94">
        <v>3240.4380000000006</v>
      </c>
      <c r="K94">
        <v>2668.5960000000005</v>
      </c>
      <c r="L94">
        <v>571.84199999999998</v>
      </c>
      <c r="P94"/>
      <c r="T94" t="s">
        <v>94</v>
      </c>
      <c r="U94" s="17" t="s">
        <v>95</v>
      </c>
      <c r="V94" t="s">
        <v>106</v>
      </c>
      <c r="Y94" t="s">
        <v>97</v>
      </c>
      <c r="Z94" s="27"/>
      <c r="AB94" s="18"/>
      <c r="AD94" t="s">
        <v>317</v>
      </c>
      <c r="AE94" t="s">
        <v>318</v>
      </c>
      <c r="AF94" t="s">
        <v>109</v>
      </c>
      <c r="AG94">
        <v>30550</v>
      </c>
      <c r="AH94" s="18">
        <f t="shared" si="2"/>
        <v>1</v>
      </c>
    </row>
    <row r="95" spans="4:34" x14ac:dyDescent="0.35">
      <c r="D95" t="s">
        <v>319</v>
      </c>
      <c r="E95" s="38">
        <v>46034</v>
      </c>
      <c r="F95" s="38">
        <v>46034</v>
      </c>
      <c r="G95" t="s">
        <v>93</v>
      </c>
      <c r="H95" t="s">
        <v>93</v>
      </c>
      <c r="I95">
        <v>9782.77</v>
      </c>
      <c r="J95">
        <v>1056.53916</v>
      </c>
      <c r="K95">
        <v>763.05606</v>
      </c>
      <c r="L95">
        <v>293.48309999999998</v>
      </c>
      <c r="N95" s="63"/>
      <c r="P95"/>
      <c r="T95" t="s">
        <v>94</v>
      </c>
      <c r="U95" s="17" t="s">
        <v>95</v>
      </c>
      <c r="V95" t="s">
        <v>106</v>
      </c>
      <c r="Y95" t="s">
        <v>97</v>
      </c>
      <c r="Z95" s="27"/>
      <c r="AB95" s="18"/>
      <c r="AD95" t="s">
        <v>320</v>
      </c>
      <c r="AE95" t="s">
        <v>321</v>
      </c>
      <c r="AF95" t="s">
        <v>109</v>
      </c>
      <c r="AG95">
        <v>30540</v>
      </c>
      <c r="AH95" s="18">
        <f t="shared" si="2"/>
        <v>1</v>
      </c>
    </row>
    <row r="96" spans="4:34" x14ac:dyDescent="0.35">
      <c r="D96" t="s">
        <v>322</v>
      </c>
      <c r="E96" s="38">
        <v>46034</v>
      </c>
      <c r="F96" s="38">
        <v>46034</v>
      </c>
      <c r="G96" t="s">
        <v>93</v>
      </c>
      <c r="H96" t="s">
        <v>93</v>
      </c>
      <c r="I96">
        <v>22254.82</v>
      </c>
      <c r="J96">
        <v>2448.0302000000001</v>
      </c>
      <c r="K96">
        <v>1780.3856000000001</v>
      </c>
      <c r="L96">
        <v>667.64459999999997</v>
      </c>
      <c r="P96"/>
      <c r="T96" t="s">
        <v>94</v>
      </c>
      <c r="U96" s="17" t="s">
        <v>95</v>
      </c>
      <c r="V96" t="s">
        <v>106</v>
      </c>
      <c r="Y96" t="s">
        <v>97</v>
      </c>
      <c r="Z96" s="27"/>
      <c r="AB96" s="18"/>
      <c r="AD96" t="s">
        <v>323</v>
      </c>
      <c r="AE96" t="s">
        <v>324</v>
      </c>
      <c r="AF96" t="s">
        <v>109</v>
      </c>
      <c r="AG96">
        <v>30550</v>
      </c>
      <c r="AH96" s="18">
        <f t="shared" si="2"/>
        <v>1</v>
      </c>
    </row>
    <row r="97" spans="4:34" x14ac:dyDescent="0.35">
      <c r="D97" t="s">
        <v>325</v>
      </c>
      <c r="E97" s="38">
        <v>46034</v>
      </c>
      <c r="F97" s="38">
        <v>46034</v>
      </c>
      <c r="G97" t="s">
        <v>93</v>
      </c>
      <c r="H97" t="s">
        <v>93</v>
      </c>
      <c r="I97">
        <v>5408.64</v>
      </c>
      <c r="J97">
        <v>594.95040000000006</v>
      </c>
      <c r="K97">
        <v>432.69120000000004</v>
      </c>
      <c r="L97">
        <v>162.25919999999999</v>
      </c>
      <c r="P97"/>
      <c r="T97" t="s">
        <v>94</v>
      </c>
      <c r="U97" s="17" t="s">
        <v>95</v>
      </c>
      <c r="V97" t="s">
        <v>106</v>
      </c>
      <c r="Y97" t="s">
        <v>97</v>
      </c>
      <c r="Z97" s="27"/>
      <c r="AB97" s="18"/>
      <c r="AD97" t="s">
        <v>326</v>
      </c>
      <c r="AE97" t="s">
        <v>327</v>
      </c>
      <c r="AF97" t="s">
        <v>109</v>
      </c>
      <c r="AG97">
        <v>30550</v>
      </c>
      <c r="AH97" s="18">
        <f t="shared" si="2"/>
        <v>1</v>
      </c>
    </row>
    <row r="98" spans="4:34" x14ac:dyDescent="0.35">
      <c r="D98" t="s">
        <v>328</v>
      </c>
      <c r="E98" s="38">
        <v>46034</v>
      </c>
      <c r="F98" s="38">
        <v>46034</v>
      </c>
      <c r="G98" t="s">
        <v>93</v>
      </c>
      <c r="H98" t="s">
        <v>93</v>
      </c>
      <c r="I98">
        <v>4979.6099999999997</v>
      </c>
      <c r="J98">
        <v>547.75709999999992</v>
      </c>
      <c r="K98">
        <v>398.36879999999996</v>
      </c>
      <c r="L98">
        <v>149.38829999999999</v>
      </c>
      <c r="P98"/>
      <c r="T98" t="s">
        <v>94</v>
      </c>
      <c r="U98" s="17" t="s">
        <v>95</v>
      </c>
      <c r="V98" t="s">
        <v>106</v>
      </c>
      <c r="Y98" t="s">
        <v>97</v>
      </c>
      <c r="Z98" s="27"/>
      <c r="AB98" s="18"/>
      <c r="AD98" t="s">
        <v>329</v>
      </c>
      <c r="AE98" t="s">
        <v>330</v>
      </c>
      <c r="AF98" t="s">
        <v>109</v>
      </c>
      <c r="AG98">
        <v>30540</v>
      </c>
      <c r="AH98" s="18">
        <f t="shared" si="2"/>
        <v>1</v>
      </c>
    </row>
    <row r="99" spans="4:34" x14ac:dyDescent="0.35">
      <c r="D99" t="s">
        <v>331</v>
      </c>
      <c r="E99" s="38">
        <v>46034</v>
      </c>
      <c r="F99" s="38">
        <v>46034</v>
      </c>
      <c r="G99" t="s">
        <v>93</v>
      </c>
      <c r="H99" t="s">
        <v>93</v>
      </c>
      <c r="I99">
        <v>25.46</v>
      </c>
      <c r="J99">
        <v>4.5828000000000007</v>
      </c>
      <c r="K99">
        <v>3.8190000000000004</v>
      </c>
      <c r="L99">
        <v>0.76380000000000003</v>
      </c>
      <c r="P99"/>
      <c r="T99" t="s">
        <v>94</v>
      </c>
      <c r="U99" s="17" t="s">
        <v>95</v>
      </c>
      <c r="V99" t="s">
        <v>106</v>
      </c>
      <c r="Y99" t="s">
        <v>97</v>
      </c>
      <c r="Z99" s="27"/>
      <c r="AB99" s="18"/>
      <c r="AD99" t="s">
        <v>332</v>
      </c>
      <c r="AE99" t="s">
        <v>333</v>
      </c>
      <c r="AF99" t="s">
        <v>109</v>
      </c>
      <c r="AG99">
        <v>30540</v>
      </c>
      <c r="AH99" s="18">
        <f t="shared" si="2"/>
        <v>1</v>
      </c>
    </row>
    <row r="100" spans="4:34" x14ac:dyDescent="0.35">
      <c r="D100" t="s">
        <v>334</v>
      </c>
      <c r="E100" s="38">
        <v>46035</v>
      </c>
      <c r="F100" s="38">
        <v>46035</v>
      </c>
      <c r="G100" t="s">
        <v>93</v>
      </c>
      <c r="H100" t="s">
        <v>93</v>
      </c>
      <c r="I100">
        <v>11162.61</v>
      </c>
      <c r="J100">
        <v>1227.8871000000001</v>
      </c>
      <c r="K100">
        <v>893.00880000000006</v>
      </c>
      <c r="L100">
        <v>334.87830000000002</v>
      </c>
      <c r="P100"/>
      <c r="T100" t="s">
        <v>94</v>
      </c>
      <c r="U100" s="17" t="s">
        <v>95</v>
      </c>
      <c r="V100" t="s">
        <v>106</v>
      </c>
      <c r="Y100" t="s">
        <v>97</v>
      </c>
      <c r="Z100" s="27"/>
      <c r="AB100" s="18"/>
      <c r="AD100" t="s">
        <v>335</v>
      </c>
      <c r="AE100" t="s">
        <v>336</v>
      </c>
      <c r="AF100" t="s">
        <v>109</v>
      </c>
      <c r="AG100">
        <v>30559</v>
      </c>
      <c r="AH100" s="18">
        <f t="shared" si="2"/>
        <v>1</v>
      </c>
    </row>
    <row r="101" spans="4:34" x14ac:dyDescent="0.35">
      <c r="D101" t="s">
        <v>337</v>
      </c>
      <c r="E101" s="38">
        <v>46034</v>
      </c>
      <c r="F101" s="38">
        <v>46034</v>
      </c>
      <c r="G101" t="s">
        <v>93</v>
      </c>
      <c r="H101" t="s">
        <v>93</v>
      </c>
      <c r="I101">
        <v>12.39</v>
      </c>
      <c r="J101">
        <v>2.2302000000000004</v>
      </c>
      <c r="K101">
        <v>1.8585000000000003</v>
      </c>
      <c r="L101">
        <v>0.37170000000000003</v>
      </c>
      <c r="P101"/>
      <c r="T101" t="s">
        <v>94</v>
      </c>
      <c r="U101" s="17" t="s">
        <v>95</v>
      </c>
      <c r="V101" t="s">
        <v>106</v>
      </c>
      <c r="Y101" t="s">
        <v>97</v>
      </c>
      <c r="Z101" s="27"/>
      <c r="AB101" s="18"/>
      <c r="AD101" t="s">
        <v>338</v>
      </c>
      <c r="AE101" t="s">
        <v>339</v>
      </c>
      <c r="AF101" t="s">
        <v>109</v>
      </c>
      <c r="AG101">
        <v>30530</v>
      </c>
      <c r="AH101" s="18">
        <f t="shared" si="2"/>
        <v>1</v>
      </c>
    </row>
    <row r="102" spans="4:34" x14ac:dyDescent="0.35">
      <c r="D102" t="s">
        <v>340</v>
      </c>
      <c r="E102" s="38">
        <v>46034</v>
      </c>
      <c r="F102" s="38">
        <v>46034</v>
      </c>
      <c r="G102" t="s">
        <v>93</v>
      </c>
      <c r="H102" t="s">
        <v>93</v>
      </c>
      <c r="I102">
        <v>862.13</v>
      </c>
      <c r="J102">
        <v>94.834299999999999</v>
      </c>
      <c r="K102">
        <v>68.970399999999998</v>
      </c>
      <c r="L102">
        <v>25.863899999999997</v>
      </c>
      <c r="P102"/>
      <c r="T102" t="s">
        <v>94</v>
      </c>
      <c r="U102" s="17" t="s">
        <v>95</v>
      </c>
      <c r="V102" t="s">
        <v>106</v>
      </c>
      <c r="Y102" t="s">
        <v>97</v>
      </c>
      <c r="Z102" s="27"/>
      <c r="AB102" s="18"/>
      <c r="AD102" t="s">
        <v>341</v>
      </c>
      <c r="AE102" t="s">
        <v>342</v>
      </c>
      <c r="AF102" t="s">
        <v>109</v>
      </c>
      <c r="AG102">
        <v>30550</v>
      </c>
      <c r="AH102" s="18">
        <f t="shared" si="2"/>
        <v>1</v>
      </c>
    </row>
    <row r="103" spans="4:34" x14ac:dyDescent="0.35">
      <c r="D103" t="s">
        <v>343</v>
      </c>
      <c r="E103" s="38">
        <v>46035</v>
      </c>
      <c r="F103" s="38">
        <v>46035</v>
      </c>
      <c r="G103" t="s">
        <v>93</v>
      </c>
      <c r="H103" t="s">
        <v>93</v>
      </c>
      <c r="I103">
        <v>4229.78</v>
      </c>
      <c r="J103">
        <v>549.87139999999999</v>
      </c>
      <c r="K103">
        <v>422.97799999999995</v>
      </c>
      <c r="L103">
        <v>126.89339999999999</v>
      </c>
      <c r="P103"/>
      <c r="T103" t="s">
        <v>94</v>
      </c>
      <c r="U103" s="17" t="s">
        <v>95</v>
      </c>
      <c r="V103" t="s">
        <v>106</v>
      </c>
      <c r="X103" s="27"/>
      <c r="Y103" t="s">
        <v>97</v>
      </c>
      <c r="AA103" s="18"/>
      <c r="AD103" t="s">
        <v>344</v>
      </c>
      <c r="AE103" t="s">
        <v>345</v>
      </c>
      <c r="AF103" t="s">
        <v>109</v>
      </c>
      <c r="AG103">
        <v>30559</v>
      </c>
      <c r="AH103" s="18">
        <f t="shared" si="2"/>
        <v>1</v>
      </c>
    </row>
    <row r="104" spans="4:34" x14ac:dyDescent="0.35">
      <c r="D104" t="s">
        <v>346</v>
      </c>
      <c r="E104" s="38">
        <v>46035</v>
      </c>
      <c r="F104" s="38">
        <v>46035</v>
      </c>
      <c r="G104" t="s">
        <v>93</v>
      </c>
      <c r="H104" t="s">
        <v>93</v>
      </c>
      <c r="I104">
        <v>1898.87</v>
      </c>
      <c r="J104">
        <v>341.79659999999996</v>
      </c>
      <c r="K104">
        <v>284.83049999999997</v>
      </c>
      <c r="L104">
        <v>56.966099999999997</v>
      </c>
      <c r="P104"/>
      <c r="T104" t="s">
        <v>94</v>
      </c>
      <c r="U104" s="17" t="s">
        <v>95</v>
      </c>
      <c r="V104" t="s">
        <v>106</v>
      </c>
      <c r="Y104" t="s">
        <v>97</v>
      </c>
      <c r="Z104" s="27"/>
      <c r="AB104" s="18"/>
      <c r="AD104" t="s">
        <v>347</v>
      </c>
      <c r="AE104" t="s">
        <v>348</v>
      </c>
      <c r="AF104" t="s">
        <v>109</v>
      </c>
      <c r="AG104">
        <v>30530</v>
      </c>
      <c r="AH104" s="18">
        <f t="shared" si="2"/>
        <v>1</v>
      </c>
    </row>
    <row r="105" spans="4:34" x14ac:dyDescent="0.35">
      <c r="D105" t="s">
        <v>349</v>
      </c>
      <c r="E105" s="38">
        <v>46035</v>
      </c>
      <c r="F105" s="38">
        <v>46035</v>
      </c>
      <c r="G105" t="s">
        <v>93</v>
      </c>
      <c r="H105" t="s">
        <v>93</v>
      </c>
      <c r="I105">
        <v>9673.5499999999993</v>
      </c>
      <c r="J105">
        <v>870.61950000000002</v>
      </c>
      <c r="K105">
        <v>580.41300000000001</v>
      </c>
      <c r="L105">
        <v>290.20649999999995</v>
      </c>
      <c r="N105" s="63"/>
      <c r="P105"/>
      <c r="T105" t="s">
        <v>94</v>
      </c>
      <c r="U105" s="17" t="s">
        <v>95</v>
      </c>
      <c r="V105" t="s">
        <v>106</v>
      </c>
      <c r="Y105" t="s">
        <v>97</v>
      </c>
      <c r="Z105" s="27"/>
      <c r="AB105" s="18"/>
      <c r="AD105" t="s">
        <v>350</v>
      </c>
      <c r="AE105" t="s">
        <v>351</v>
      </c>
      <c r="AF105" t="s">
        <v>100</v>
      </c>
      <c r="AG105">
        <v>30004</v>
      </c>
      <c r="AH105" s="18">
        <f t="shared" ref="AH105:AH136" si="3">+MONTH(E105)</f>
        <v>1</v>
      </c>
    </row>
    <row r="106" spans="4:34" x14ac:dyDescent="0.35">
      <c r="D106" t="s">
        <v>352</v>
      </c>
      <c r="E106" s="38">
        <v>46035</v>
      </c>
      <c r="F106" s="38">
        <v>46035</v>
      </c>
      <c r="G106" t="s">
        <v>93</v>
      </c>
      <c r="H106" t="s">
        <v>93</v>
      </c>
      <c r="I106">
        <v>2775.28</v>
      </c>
      <c r="J106">
        <v>333.03360000000004</v>
      </c>
      <c r="K106">
        <v>277.52800000000002</v>
      </c>
      <c r="L106">
        <v>55.505600000000008</v>
      </c>
      <c r="P106"/>
      <c r="T106" t="s">
        <v>94</v>
      </c>
      <c r="U106" s="17" t="s">
        <v>95</v>
      </c>
      <c r="V106" t="s">
        <v>106</v>
      </c>
      <c r="Y106" t="s">
        <v>97</v>
      </c>
      <c r="Z106" s="27"/>
      <c r="AB106" s="18"/>
      <c r="AD106" t="s">
        <v>353</v>
      </c>
      <c r="AE106" t="s">
        <v>354</v>
      </c>
      <c r="AF106" t="s">
        <v>109</v>
      </c>
      <c r="AG106">
        <v>30870</v>
      </c>
      <c r="AH106" s="18">
        <f t="shared" si="3"/>
        <v>1</v>
      </c>
    </row>
    <row r="107" spans="4:34" x14ac:dyDescent="0.35">
      <c r="D107" t="s">
        <v>355</v>
      </c>
      <c r="E107" s="38">
        <v>46035</v>
      </c>
      <c r="F107" s="38">
        <v>46035</v>
      </c>
      <c r="G107" t="s">
        <v>93</v>
      </c>
      <c r="H107" t="s">
        <v>93</v>
      </c>
      <c r="I107">
        <v>565.35</v>
      </c>
      <c r="J107">
        <v>101.76299999999999</v>
      </c>
      <c r="K107">
        <v>84.802499999999995</v>
      </c>
      <c r="L107">
        <v>16.9605</v>
      </c>
      <c r="P107"/>
      <c r="T107" t="s">
        <v>94</v>
      </c>
      <c r="U107" s="17" t="s">
        <v>95</v>
      </c>
      <c r="V107" t="s">
        <v>106</v>
      </c>
      <c r="Y107" t="s">
        <v>97</v>
      </c>
      <c r="Z107" s="27"/>
      <c r="AB107" s="18"/>
      <c r="AD107" t="s">
        <v>356</v>
      </c>
      <c r="AE107" t="s">
        <v>357</v>
      </c>
      <c r="AF107" t="s">
        <v>109</v>
      </c>
      <c r="AG107">
        <v>30600</v>
      </c>
      <c r="AH107" s="18">
        <f t="shared" si="3"/>
        <v>1</v>
      </c>
    </row>
    <row r="108" spans="4:34" x14ac:dyDescent="0.35">
      <c r="D108" t="s">
        <v>358</v>
      </c>
      <c r="E108" s="38">
        <v>46035</v>
      </c>
      <c r="F108" s="38">
        <v>46035</v>
      </c>
      <c r="G108" t="s">
        <v>93</v>
      </c>
      <c r="H108" t="s">
        <v>93</v>
      </c>
      <c r="I108">
        <v>27443.14</v>
      </c>
      <c r="J108">
        <v>3018.7453999999998</v>
      </c>
      <c r="K108">
        <v>2469.8825999999999</v>
      </c>
      <c r="L108">
        <v>548.86279999999999</v>
      </c>
      <c r="P108"/>
      <c r="T108" t="s">
        <v>94</v>
      </c>
      <c r="U108" s="17" t="s">
        <v>95</v>
      </c>
      <c r="V108" t="s">
        <v>111</v>
      </c>
      <c r="Y108" t="s">
        <v>97</v>
      </c>
      <c r="Z108" s="27"/>
      <c r="AB108" s="18"/>
      <c r="AD108" t="s">
        <v>359</v>
      </c>
      <c r="AE108" t="s">
        <v>360</v>
      </c>
      <c r="AF108" t="s">
        <v>109</v>
      </c>
      <c r="AG108">
        <v>30600</v>
      </c>
      <c r="AH108" s="18">
        <f t="shared" si="3"/>
        <v>1</v>
      </c>
    </row>
    <row r="109" spans="4:34" x14ac:dyDescent="0.35">
      <c r="D109" t="s">
        <v>361</v>
      </c>
      <c r="E109" s="38">
        <v>46036</v>
      </c>
      <c r="F109" s="38">
        <v>46036</v>
      </c>
      <c r="G109" t="s">
        <v>93</v>
      </c>
      <c r="H109" t="s">
        <v>93</v>
      </c>
      <c r="I109">
        <v>29357.73</v>
      </c>
      <c r="J109">
        <v>3229.3503000000001</v>
      </c>
      <c r="K109">
        <v>2348.6183999999998</v>
      </c>
      <c r="L109">
        <v>880.7319</v>
      </c>
      <c r="P109"/>
      <c r="T109" t="s">
        <v>94</v>
      </c>
      <c r="U109" s="17" t="s">
        <v>95</v>
      </c>
      <c r="V109" t="s">
        <v>106</v>
      </c>
      <c r="Y109" t="s">
        <v>97</v>
      </c>
      <c r="Z109" s="27"/>
      <c r="AB109" s="18"/>
      <c r="AD109" t="s">
        <v>362</v>
      </c>
      <c r="AE109" t="s">
        <v>363</v>
      </c>
      <c r="AF109" t="s">
        <v>100</v>
      </c>
      <c r="AG109">
        <v>30540</v>
      </c>
      <c r="AH109" s="18">
        <f t="shared" si="3"/>
        <v>1</v>
      </c>
    </row>
    <row r="110" spans="4:34" x14ac:dyDescent="0.35">
      <c r="D110" t="s">
        <v>364</v>
      </c>
      <c r="E110" s="38">
        <v>46036</v>
      </c>
      <c r="F110" s="38">
        <v>46036</v>
      </c>
      <c r="G110" t="s">
        <v>93</v>
      </c>
      <c r="H110" t="s">
        <v>93</v>
      </c>
      <c r="I110">
        <v>38890.86</v>
      </c>
      <c r="J110">
        <v>4666.9031999999997</v>
      </c>
      <c r="K110">
        <v>3500.1774</v>
      </c>
      <c r="L110">
        <v>1166.7257999999999</v>
      </c>
      <c r="P110"/>
      <c r="T110" t="s">
        <v>94</v>
      </c>
      <c r="U110" s="17" t="s">
        <v>95</v>
      </c>
      <c r="V110" t="s">
        <v>106</v>
      </c>
      <c r="Y110" t="s">
        <v>97</v>
      </c>
      <c r="Z110" s="27"/>
      <c r="AB110" s="18"/>
      <c r="AD110" t="s">
        <v>365</v>
      </c>
      <c r="AE110" t="s">
        <v>366</v>
      </c>
      <c r="AF110" t="s">
        <v>100</v>
      </c>
      <c r="AG110">
        <v>30559</v>
      </c>
      <c r="AH110" s="18">
        <f t="shared" si="3"/>
        <v>1</v>
      </c>
    </row>
    <row r="111" spans="4:34" x14ac:dyDescent="0.35">
      <c r="D111" t="s">
        <v>117</v>
      </c>
      <c r="E111" s="38">
        <v>46036</v>
      </c>
      <c r="F111" s="38">
        <v>46036</v>
      </c>
      <c r="G111" t="s">
        <v>93</v>
      </c>
      <c r="H111" t="s">
        <v>93</v>
      </c>
      <c r="I111">
        <v>220635.06</v>
      </c>
      <c r="J111">
        <v>26476.207200000001</v>
      </c>
      <c r="K111">
        <v>22063.506000000001</v>
      </c>
      <c r="L111">
        <v>4412.7012000000004</v>
      </c>
      <c r="P111"/>
      <c r="T111" t="s">
        <v>94</v>
      </c>
      <c r="U111" s="17" t="s">
        <v>95</v>
      </c>
      <c r="V111" t="s">
        <v>106</v>
      </c>
      <c r="Y111" t="s">
        <v>97</v>
      </c>
      <c r="Z111" s="27"/>
      <c r="AB111" s="18"/>
      <c r="AD111" t="s">
        <v>367</v>
      </c>
      <c r="AE111" t="s">
        <v>368</v>
      </c>
      <c r="AF111" t="s">
        <v>100</v>
      </c>
      <c r="AG111">
        <v>30530</v>
      </c>
      <c r="AH111" s="18">
        <f t="shared" si="3"/>
        <v>1</v>
      </c>
    </row>
    <row r="112" spans="4:34" x14ac:dyDescent="0.35">
      <c r="D112" t="s">
        <v>369</v>
      </c>
      <c r="E112" s="38">
        <v>46036</v>
      </c>
      <c r="F112" s="38">
        <v>46036</v>
      </c>
      <c r="G112" t="s">
        <v>93</v>
      </c>
      <c r="H112" t="s">
        <v>93</v>
      </c>
      <c r="I112">
        <v>31712.959999999999</v>
      </c>
      <c r="J112">
        <v>2854.1664000000001</v>
      </c>
      <c r="K112">
        <v>1902.7776000000001</v>
      </c>
      <c r="L112">
        <v>951.38879999999995</v>
      </c>
      <c r="P112"/>
      <c r="T112" t="s">
        <v>94</v>
      </c>
      <c r="U112" s="17" t="s">
        <v>95</v>
      </c>
      <c r="V112" t="s">
        <v>106</v>
      </c>
      <c r="Y112" t="s">
        <v>97</v>
      </c>
      <c r="Z112" s="27"/>
      <c r="AB112" s="18"/>
      <c r="AD112" t="s">
        <v>370</v>
      </c>
      <c r="AE112" t="s">
        <v>371</v>
      </c>
      <c r="AF112" t="s">
        <v>100</v>
      </c>
      <c r="AG112">
        <v>30550</v>
      </c>
      <c r="AH112" s="18">
        <f t="shared" si="3"/>
        <v>1</v>
      </c>
    </row>
    <row r="113" spans="4:34" x14ac:dyDescent="0.35">
      <c r="D113" t="s">
        <v>372</v>
      </c>
      <c r="E113" s="38">
        <v>46036</v>
      </c>
      <c r="F113" s="38">
        <v>46036</v>
      </c>
      <c r="G113" t="s">
        <v>93</v>
      </c>
      <c r="H113" t="s">
        <v>93</v>
      </c>
      <c r="I113">
        <v>5203.95</v>
      </c>
      <c r="J113">
        <v>728.55299999999988</v>
      </c>
      <c r="K113">
        <v>624.47399999999993</v>
      </c>
      <c r="L113">
        <v>104.07899999999999</v>
      </c>
      <c r="P113"/>
      <c r="T113" t="s">
        <v>94</v>
      </c>
      <c r="U113" s="17" t="s">
        <v>95</v>
      </c>
      <c r="V113" t="s">
        <v>111</v>
      </c>
      <c r="Y113" t="s">
        <v>97</v>
      </c>
      <c r="Z113" s="27"/>
      <c r="AB113" s="18"/>
      <c r="AD113" t="s">
        <v>373</v>
      </c>
      <c r="AE113" t="s">
        <v>374</v>
      </c>
      <c r="AF113" t="s">
        <v>109</v>
      </c>
      <c r="AG113">
        <v>30009</v>
      </c>
      <c r="AH113" s="18">
        <f t="shared" si="3"/>
        <v>1</v>
      </c>
    </row>
    <row r="114" spans="4:34" x14ac:dyDescent="0.35">
      <c r="D114" t="s">
        <v>375</v>
      </c>
      <c r="E114" s="38">
        <v>46036</v>
      </c>
      <c r="F114" s="38">
        <v>46036</v>
      </c>
      <c r="G114" t="s">
        <v>93</v>
      </c>
      <c r="H114" t="s">
        <v>93</v>
      </c>
      <c r="I114">
        <v>12343.86</v>
      </c>
      <c r="J114">
        <v>1357.8246000000001</v>
      </c>
      <c r="K114">
        <v>987.50880000000006</v>
      </c>
      <c r="L114">
        <v>370.31580000000002</v>
      </c>
      <c r="P114"/>
      <c r="T114" t="s">
        <v>94</v>
      </c>
      <c r="U114" s="17" t="s">
        <v>95</v>
      </c>
      <c r="V114" t="s">
        <v>106</v>
      </c>
      <c r="Y114" t="s">
        <v>97</v>
      </c>
      <c r="Z114" s="27"/>
      <c r="AB114" s="18"/>
      <c r="AD114" t="s">
        <v>376</v>
      </c>
      <c r="AE114" t="s">
        <v>377</v>
      </c>
      <c r="AF114" t="s">
        <v>109</v>
      </c>
      <c r="AG114">
        <v>30530</v>
      </c>
      <c r="AH114" s="18">
        <f t="shared" si="3"/>
        <v>1</v>
      </c>
    </row>
    <row r="115" spans="4:34" x14ac:dyDescent="0.35">
      <c r="D115" t="s">
        <v>378</v>
      </c>
      <c r="E115" s="38">
        <v>46036</v>
      </c>
      <c r="F115" s="38">
        <v>46036</v>
      </c>
      <c r="G115" t="s">
        <v>93</v>
      </c>
      <c r="H115" t="s">
        <v>93</v>
      </c>
      <c r="I115">
        <v>13970.23</v>
      </c>
      <c r="J115">
        <v>1816.1298999999999</v>
      </c>
      <c r="K115">
        <v>1397.0229999999999</v>
      </c>
      <c r="L115">
        <v>419.1069</v>
      </c>
      <c r="P115"/>
      <c r="T115" t="s">
        <v>94</v>
      </c>
      <c r="U115" s="17" t="s">
        <v>95</v>
      </c>
      <c r="V115" t="s">
        <v>106</v>
      </c>
      <c r="Y115" t="s">
        <v>97</v>
      </c>
      <c r="Z115" s="27"/>
      <c r="AB115" s="18"/>
      <c r="AD115" t="s">
        <v>379</v>
      </c>
      <c r="AE115" t="s">
        <v>380</v>
      </c>
      <c r="AF115" t="s">
        <v>109</v>
      </c>
      <c r="AG115">
        <v>30550</v>
      </c>
      <c r="AH115" s="18">
        <f t="shared" si="3"/>
        <v>1</v>
      </c>
    </row>
    <row r="116" spans="4:34" x14ac:dyDescent="0.35">
      <c r="D116" t="s">
        <v>381</v>
      </c>
      <c r="E116" s="38">
        <v>46037</v>
      </c>
      <c r="F116" s="38">
        <v>46037</v>
      </c>
      <c r="G116" t="s">
        <v>93</v>
      </c>
      <c r="H116" t="s">
        <v>93</v>
      </c>
      <c r="I116">
        <v>2047.58</v>
      </c>
      <c r="J116">
        <v>225.2338</v>
      </c>
      <c r="K116">
        <v>163.8064</v>
      </c>
      <c r="L116">
        <v>61.427399999999999</v>
      </c>
      <c r="P116"/>
      <c r="T116" t="s">
        <v>94</v>
      </c>
      <c r="U116" s="17" t="s">
        <v>95</v>
      </c>
      <c r="V116" t="s">
        <v>106</v>
      </c>
      <c r="Y116" t="s">
        <v>97</v>
      </c>
      <c r="Z116" s="27"/>
      <c r="AB116" s="18"/>
      <c r="AD116" t="s">
        <v>382</v>
      </c>
      <c r="AE116" t="s">
        <v>383</v>
      </c>
      <c r="AF116" t="s">
        <v>109</v>
      </c>
      <c r="AG116">
        <v>30550</v>
      </c>
      <c r="AH116" s="18">
        <f t="shared" si="3"/>
        <v>1</v>
      </c>
    </row>
    <row r="117" spans="4:34" x14ac:dyDescent="0.35">
      <c r="D117" t="s">
        <v>141</v>
      </c>
      <c r="E117" s="38">
        <v>46037</v>
      </c>
      <c r="F117" s="38">
        <v>46037</v>
      </c>
      <c r="G117" t="s">
        <v>93</v>
      </c>
      <c r="H117" t="s">
        <v>93</v>
      </c>
      <c r="I117">
        <v>3747.89</v>
      </c>
      <c r="J117">
        <v>412.26789999999994</v>
      </c>
      <c r="K117">
        <v>299.83119999999997</v>
      </c>
      <c r="L117">
        <v>112.43669999999999</v>
      </c>
      <c r="P117"/>
      <c r="T117" t="s">
        <v>94</v>
      </c>
      <c r="U117" s="17" t="s">
        <v>95</v>
      </c>
      <c r="V117" t="s">
        <v>106</v>
      </c>
      <c r="Y117" t="s">
        <v>97</v>
      </c>
      <c r="Z117" s="27"/>
      <c r="AB117" s="18"/>
      <c r="AD117" t="s">
        <v>142</v>
      </c>
      <c r="AE117" t="s">
        <v>143</v>
      </c>
      <c r="AF117" t="s">
        <v>109</v>
      </c>
      <c r="AG117">
        <v>30550</v>
      </c>
      <c r="AH117" s="18">
        <f t="shared" si="3"/>
        <v>1</v>
      </c>
    </row>
    <row r="118" spans="4:34" x14ac:dyDescent="0.35">
      <c r="D118" t="s">
        <v>384</v>
      </c>
      <c r="E118" s="38">
        <v>46037</v>
      </c>
      <c r="F118" s="38">
        <v>46037</v>
      </c>
      <c r="G118" t="s">
        <v>93</v>
      </c>
      <c r="H118" t="s">
        <v>93</v>
      </c>
      <c r="I118">
        <v>2039.7</v>
      </c>
      <c r="J118">
        <v>224.36700000000002</v>
      </c>
      <c r="K118">
        <v>163.17600000000002</v>
      </c>
      <c r="L118">
        <v>61.191000000000003</v>
      </c>
      <c r="P118"/>
      <c r="T118" t="s">
        <v>94</v>
      </c>
      <c r="U118" s="17" t="s">
        <v>95</v>
      </c>
      <c r="V118" t="s">
        <v>106</v>
      </c>
      <c r="Y118" t="s">
        <v>97</v>
      </c>
      <c r="Z118" s="27"/>
      <c r="AB118" s="18"/>
      <c r="AD118" t="s">
        <v>385</v>
      </c>
      <c r="AE118" t="s">
        <v>386</v>
      </c>
      <c r="AF118" t="s">
        <v>109</v>
      </c>
      <c r="AG118">
        <v>30540</v>
      </c>
      <c r="AH118" s="18">
        <f t="shared" si="3"/>
        <v>1</v>
      </c>
    </row>
    <row r="119" spans="4:34" x14ac:dyDescent="0.35">
      <c r="D119" t="s">
        <v>387</v>
      </c>
      <c r="E119" s="38">
        <v>46037</v>
      </c>
      <c r="F119" s="38">
        <v>46037</v>
      </c>
      <c r="G119" t="s">
        <v>93</v>
      </c>
      <c r="H119" t="s">
        <v>93</v>
      </c>
      <c r="I119">
        <v>40993.699999999997</v>
      </c>
      <c r="J119">
        <v>4509.3069999999998</v>
      </c>
      <c r="K119">
        <v>3279.4959999999996</v>
      </c>
      <c r="L119">
        <v>1229.8109999999999</v>
      </c>
      <c r="P119"/>
      <c r="T119" t="s">
        <v>94</v>
      </c>
      <c r="U119" s="17" t="s">
        <v>95</v>
      </c>
      <c r="V119" t="s">
        <v>106</v>
      </c>
      <c r="Y119" t="s">
        <v>97</v>
      </c>
      <c r="Z119" s="27"/>
      <c r="AB119" s="18"/>
      <c r="AD119" t="s">
        <v>388</v>
      </c>
      <c r="AE119" t="s">
        <v>389</v>
      </c>
      <c r="AF119" t="s">
        <v>109</v>
      </c>
      <c r="AG119">
        <v>30530</v>
      </c>
      <c r="AH119" s="18">
        <f t="shared" si="3"/>
        <v>1</v>
      </c>
    </row>
    <row r="120" spans="4:34" x14ac:dyDescent="0.35">
      <c r="D120" t="s">
        <v>390</v>
      </c>
      <c r="E120" s="38">
        <v>46037</v>
      </c>
      <c r="F120" s="38">
        <v>46037</v>
      </c>
      <c r="G120" t="s">
        <v>93</v>
      </c>
      <c r="H120" t="s">
        <v>93</v>
      </c>
      <c r="I120">
        <v>8734.5</v>
      </c>
      <c r="J120">
        <v>873.45</v>
      </c>
      <c r="K120">
        <v>698.76</v>
      </c>
      <c r="L120">
        <v>174.69</v>
      </c>
      <c r="P120"/>
      <c r="T120" t="s">
        <v>94</v>
      </c>
      <c r="U120" s="17" t="s">
        <v>95</v>
      </c>
      <c r="V120" t="s">
        <v>111</v>
      </c>
      <c r="Y120" t="s">
        <v>97</v>
      </c>
      <c r="Z120" s="27"/>
      <c r="AB120" s="18"/>
      <c r="AD120" t="s">
        <v>391</v>
      </c>
      <c r="AE120" t="s">
        <v>392</v>
      </c>
      <c r="AF120" t="s">
        <v>109</v>
      </c>
      <c r="AG120">
        <v>30550</v>
      </c>
      <c r="AH120" s="18">
        <f t="shared" si="3"/>
        <v>1</v>
      </c>
    </row>
    <row r="121" spans="4:34" x14ac:dyDescent="0.35">
      <c r="D121" t="s">
        <v>393</v>
      </c>
      <c r="E121" s="38">
        <v>46037</v>
      </c>
      <c r="F121" s="38">
        <v>46037</v>
      </c>
      <c r="G121" t="s">
        <v>93</v>
      </c>
      <c r="H121" t="s">
        <v>93</v>
      </c>
      <c r="I121">
        <v>1038.47</v>
      </c>
      <c r="J121">
        <v>62.308199999999999</v>
      </c>
      <c r="K121">
        <v>41.538800000000002</v>
      </c>
      <c r="L121">
        <v>20.769400000000001</v>
      </c>
      <c r="P121"/>
      <c r="T121" t="s">
        <v>94</v>
      </c>
      <c r="U121" s="17" t="s">
        <v>95</v>
      </c>
      <c r="V121" t="s">
        <v>96</v>
      </c>
      <c r="Y121" t="s">
        <v>97</v>
      </c>
      <c r="Z121" s="27"/>
      <c r="AB121" s="18"/>
      <c r="AD121" t="s">
        <v>102</v>
      </c>
      <c r="AE121" t="s">
        <v>103</v>
      </c>
      <c r="AF121" t="s">
        <v>100</v>
      </c>
      <c r="AG121">
        <v>31320</v>
      </c>
      <c r="AH121" s="18">
        <f t="shared" si="3"/>
        <v>1</v>
      </c>
    </row>
    <row r="122" spans="4:34" x14ac:dyDescent="0.35">
      <c r="D122" t="s">
        <v>394</v>
      </c>
      <c r="E122" s="38">
        <v>46037</v>
      </c>
      <c r="F122" s="38">
        <v>46037</v>
      </c>
      <c r="G122" t="s">
        <v>93</v>
      </c>
      <c r="H122" t="s">
        <v>93</v>
      </c>
      <c r="I122">
        <v>1497.05</v>
      </c>
      <c r="J122">
        <v>164.6755</v>
      </c>
      <c r="K122">
        <v>119.764</v>
      </c>
      <c r="L122">
        <v>44.911499999999997</v>
      </c>
      <c r="P122"/>
      <c r="T122" t="s">
        <v>94</v>
      </c>
      <c r="U122" s="17" t="s">
        <v>95</v>
      </c>
      <c r="V122" t="s">
        <v>106</v>
      </c>
      <c r="Y122" t="s">
        <v>97</v>
      </c>
      <c r="Z122" s="27"/>
      <c r="AB122" s="18"/>
      <c r="AD122" t="s">
        <v>395</v>
      </c>
      <c r="AE122" t="s">
        <v>396</v>
      </c>
      <c r="AF122" t="s">
        <v>109</v>
      </c>
      <c r="AG122">
        <v>30550</v>
      </c>
      <c r="AH122" s="18">
        <f t="shared" si="3"/>
        <v>1</v>
      </c>
    </row>
    <row r="123" spans="4:34" x14ac:dyDescent="0.35">
      <c r="D123" t="s">
        <v>397</v>
      </c>
      <c r="E123" s="38">
        <v>46037</v>
      </c>
      <c r="F123" s="38">
        <v>46037</v>
      </c>
      <c r="G123" t="s">
        <v>93</v>
      </c>
      <c r="H123" t="s">
        <v>93</v>
      </c>
      <c r="I123">
        <v>1554.14</v>
      </c>
      <c r="J123">
        <v>170.9554</v>
      </c>
      <c r="K123">
        <v>124.33120000000001</v>
      </c>
      <c r="L123">
        <v>46.624200000000002</v>
      </c>
      <c r="P123"/>
      <c r="T123" t="s">
        <v>94</v>
      </c>
      <c r="U123" s="17" t="s">
        <v>95</v>
      </c>
      <c r="V123" t="s">
        <v>106</v>
      </c>
      <c r="Y123" t="s">
        <v>97</v>
      </c>
      <c r="Z123" s="27"/>
      <c r="AB123" s="18"/>
      <c r="AD123" t="s">
        <v>398</v>
      </c>
      <c r="AE123" t="s">
        <v>399</v>
      </c>
      <c r="AF123" t="s">
        <v>109</v>
      </c>
      <c r="AG123">
        <v>30559</v>
      </c>
      <c r="AH123" s="18">
        <f t="shared" si="3"/>
        <v>1</v>
      </c>
    </row>
    <row r="124" spans="4:34" x14ac:dyDescent="0.35">
      <c r="D124" t="s">
        <v>400</v>
      </c>
      <c r="E124" s="38">
        <v>46037</v>
      </c>
      <c r="F124" s="38">
        <v>46037</v>
      </c>
      <c r="G124" t="s">
        <v>93</v>
      </c>
      <c r="H124" t="s">
        <v>93</v>
      </c>
      <c r="I124">
        <v>3422.54</v>
      </c>
      <c r="J124">
        <v>383.32447999999999</v>
      </c>
      <c r="K124">
        <v>280.64828</v>
      </c>
      <c r="L124">
        <v>102.67619999999999</v>
      </c>
      <c r="P124"/>
      <c r="T124" t="s">
        <v>94</v>
      </c>
      <c r="U124" s="17" t="s">
        <v>95</v>
      </c>
      <c r="V124" t="s">
        <v>106</v>
      </c>
      <c r="Y124" t="s">
        <v>97</v>
      </c>
      <c r="Z124" s="27"/>
      <c r="AB124" s="18"/>
      <c r="AD124" t="s">
        <v>401</v>
      </c>
      <c r="AE124" t="s">
        <v>402</v>
      </c>
      <c r="AF124" t="s">
        <v>109</v>
      </c>
      <c r="AG124">
        <v>30550</v>
      </c>
      <c r="AH124" s="18">
        <f t="shared" si="3"/>
        <v>1</v>
      </c>
    </row>
    <row r="125" spans="4:34" x14ac:dyDescent="0.35">
      <c r="D125" t="s">
        <v>403</v>
      </c>
      <c r="E125" s="38">
        <v>46037</v>
      </c>
      <c r="F125" s="38">
        <v>46037</v>
      </c>
      <c r="G125" t="s">
        <v>93</v>
      </c>
      <c r="H125" t="s">
        <v>93</v>
      </c>
      <c r="I125">
        <v>4646.67</v>
      </c>
      <c r="J125">
        <v>464.66700000000003</v>
      </c>
      <c r="K125">
        <v>371.73360000000002</v>
      </c>
      <c r="L125">
        <v>92.933400000000006</v>
      </c>
      <c r="P125"/>
      <c r="T125" t="s">
        <v>94</v>
      </c>
      <c r="U125" s="17" t="s">
        <v>95</v>
      </c>
      <c r="V125" t="s">
        <v>106</v>
      </c>
      <c r="Y125" t="s">
        <v>97</v>
      </c>
      <c r="Z125" s="27"/>
      <c r="AB125" s="18"/>
      <c r="AD125" t="s">
        <v>404</v>
      </c>
      <c r="AE125" t="s">
        <v>405</v>
      </c>
      <c r="AF125" t="s">
        <v>109</v>
      </c>
      <c r="AG125">
        <v>30550</v>
      </c>
      <c r="AH125" s="18">
        <f t="shared" si="3"/>
        <v>1</v>
      </c>
    </row>
    <row r="126" spans="4:34" x14ac:dyDescent="0.35">
      <c r="D126" t="s">
        <v>406</v>
      </c>
      <c r="E126" s="38">
        <v>46037</v>
      </c>
      <c r="F126" s="38">
        <v>46037</v>
      </c>
      <c r="G126" t="s">
        <v>93</v>
      </c>
      <c r="H126" t="s">
        <v>93</v>
      </c>
      <c r="I126">
        <v>16700.03</v>
      </c>
      <c r="J126">
        <v>2004.0036</v>
      </c>
      <c r="K126">
        <v>1670.0029999999999</v>
      </c>
      <c r="L126">
        <v>334.00059999999996</v>
      </c>
      <c r="P126"/>
      <c r="T126" t="s">
        <v>94</v>
      </c>
      <c r="U126" s="17" t="s">
        <v>95</v>
      </c>
      <c r="V126" t="s">
        <v>111</v>
      </c>
      <c r="Y126" t="s">
        <v>97</v>
      </c>
      <c r="Z126" s="27"/>
      <c r="AB126" s="18"/>
      <c r="AD126" t="s">
        <v>407</v>
      </c>
      <c r="AE126" t="s">
        <v>408</v>
      </c>
      <c r="AF126" t="s">
        <v>109</v>
      </c>
      <c r="AG126">
        <v>30530</v>
      </c>
      <c r="AH126" s="18">
        <f t="shared" si="3"/>
        <v>1</v>
      </c>
    </row>
    <row r="127" spans="4:34" x14ac:dyDescent="0.35">
      <c r="D127" t="s">
        <v>409</v>
      </c>
      <c r="E127" s="38">
        <v>46038</v>
      </c>
      <c r="F127" s="38">
        <v>46038</v>
      </c>
      <c r="G127" t="s">
        <v>93</v>
      </c>
      <c r="H127" t="s">
        <v>93</v>
      </c>
      <c r="I127">
        <v>1601.39</v>
      </c>
      <c r="J127">
        <v>160.13900000000001</v>
      </c>
      <c r="K127">
        <v>128.1112</v>
      </c>
      <c r="L127">
        <v>32.027799999999999</v>
      </c>
      <c r="P127"/>
      <c r="T127" t="s">
        <v>94</v>
      </c>
      <c r="U127" s="17" t="s">
        <v>95</v>
      </c>
      <c r="V127" t="s">
        <v>111</v>
      </c>
      <c r="Y127" t="s">
        <v>97</v>
      </c>
      <c r="Z127" s="27"/>
      <c r="AB127" s="18"/>
      <c r="AD127" t="s">
        <v>410</v>
      </c>
      <c r="AE127" t="s">
        <v>411</v>
      </c>
      <c r="AF127" t="s">
        <v>109</v>
      </c>
      <c r="AG127">
        <v>30559</v>
      </c>
      <c r="AH127" s="18">
        <f t="shared" si="3"/>
        <v>1</v>
      </c>
    </row>
    <row r="128" spans="4:34" x14ac:dyDescent="0.35">
      <c r="D128" t="s">
        <v>412</v>
      </c>
      <c r="E128" s="38">
        <v>46038</v>
      </c>
      <c r="F128" s="38">
        <v>46038</v>
      </c>
      <c r="G128" t="s">
        <v>93</v>
      </c>
      <c r="H128" t="s">
        <v>93</v>
      </c>
      <c r="I128">
        <v>2602.62</v>
      </c>
      <c r="J128">
        <v>286.28819999999996</v>
      </c>
      <c r="K128">
        <v>208.20959999999999</v>
      </c>
      <c r="L128">
        <v>78.078599999999994</v>
      </c>
      <c r="P128"/>
      <c r="T128" t="s">
        <v>94</v>
      </c>
      <c r="U128" s="17" t="s">
        <v>95</v>
      </c>
      <c r="V128" t="s">
        <v>106</v>
      </c>
      <c r="Y128" t="s">
        <v>97</v>
      </c>
      <c r="Z128" s="27"/>
      <c r="AB128" s="18"/>
      <c r="AD128" t="s">
        <v>413</v>
      </c>
      <c r="AE128" t="s">
        <v>414</v>
      </c>
      <c r="AF128" t="s">
        <v>109</v>
      </c>
      <c r="AG128">
        <v>30550</v>
      </c>
      <c r="AH128" s="18">
        <f t="shared" si="3"/>
        <v>1</v>
      </c>
    </row>
    <row r="129" spans="4:34" x14ac:dyDescent="0.35">
      <c r="D129" t="s">
        <v>415</v>
      </c>
      <c r="E129" s="38">
        <v>46038</v>
      </c>
      <c r="F129" s="38">
        <v>46038</v>
      </c>
      <c r="G129" t="s">
        <v>93</v>
      </c>
      <c r="H129" t="s">
        <v>93</v>
      </c>
      <c r="I129">
        <v>4071.75</v>
      </c>
      <c r="J129">
        <v>447.89249999999998</v>
      </c>
      <c r="K129">
        <v>325.74</v>
      </c>
      <c r="L129">
        <v>122.15249999999999</v>
      </c>
      <c r="P129"/>
      <c r="T129" t="s">
        <v>94</v>
      </c>
      <c r="U129" s="17" t="s">
        <v>95</v>
      </c>
      <c r="V129" t="s">
        <v>106</v>
      </c>
      <c r="Y129" t="s">
        <v>97</v>
      </c>
      <c r="Z129" s="27"/>
      <c r="AB129" s="18"/>
      <c r="AD129" t="s">
        <v>416</v>
      </c>
      <c r="AE129" t="s">
        <v>417</v>
      </c>
      <c r="AF129" t="s">
        <v>109</v>
      </c>
      <c r="AG129">
        <v>30540</v>
      </c>
      <c r="AH129" s="18">
        <f t="shared" si="3"/>
        <v>1</v>
      </c>
    </row>
    <row r="130" spans="4:34" x14ac:dyDescent="0.35">
      <c r="D130" t="s">
        <v>418</v>
      </c>
      <c r="E130" s="38">
        <v>46038</v>
      </c>
      <c r="F130" s="38">
        <v>46038</v>
      </c>
      <c r="G130" t="s">
        <v>93</v>
      </c>
      <c r="H130" t="s">
        <v>93</v>
      </c>
      <c r="I130">
        <v>36711.69</v>
      </c>
      <c r="J130">
        <v>3671.1690000000003</v>
      </c>
      <c r="K130">
        <v>2936.9352000000003</v>
      </c>
      <c r="L130">
        <v>734.23380000000009</v>
      </c>
      <c r="P130"/>
      <c r="T130" t="s">
        <v>94</v>
      </c>
      <c r="U130" s="17" t="s">
        <v>95</v>
      </c>
      <c r="V130" t="s">
        <v>111</v>
      </c>
      <c r="Y130" t="s">
        <v>97</v>
      </c>
      <c r="Z130" s="27"/>
      <c r="AB130" s="18"/>
      <c r="AD130" t="s">
        <v>419</v>
      </c>
      <c r="AE130" t="s">
        <v>420</v>
      </c>
      <c r="AF130" t="s">
        <v>100</v>
      </c>
      <c r="AG130">
        <v>30550</v>
      </c>
      <c r="AH130" s="18">
        <f t="shared" si="3"/>
        <v>1</v>
      </c>
    </row>
    <row r="131" spans="4:34" x14ac:dyDescent="0.35">
      <c r="D131" t="s">
        <v>421</v>
      </c>
      <c r="E131" s="38">
        <v>46038</v>
      </c>
      <c r="F131" s="38">
        <v>46038</v>
      </c>
      <c r="G131" t="s">
        <v>93</v>
      </c>
      <c r="H131" t="s">
        <v>93</v>
      </c>
      <c r="I131">
        <v>6006.38</v>
      </c>
      <c r="J131">
        <v>600.63800000000003</v>
      </c>
      <c r="K131">
        <v>480.5104</v>
      </c>
      <c r="L131">
        <v>120.1276</v>
      </c>
      <c r="P131"/>
      <c r="T131" t="s">
        <v>94</v>
      </c>
      <c r="U131" s="17" t="s">
        <v>95</v>
      </c>
      <c r="V131" t="s">
        <v>106</v>
      </c>
      <c r="Y131" t="s">
        <v>97</v>
      </c>
      <c r="Z131" s="27"/>
      <c r="AB131" s="18"/>
      <c r="AD131" t="s">
        <v>422</v>
      </c>
      <c r="AE131" t="s">
        <v>423</v>
      </c>
      <c r="AF131" t="s">
        <v>100</v>
      </c>
      <c r="AG131">
        <v>30550</v>
      </c>
      <c r="AH131" s="18">
        <f t="shared" si="3"/>
        <v>1</v>
      </c>
    </row>
    <row r="132" spans="4:34" x14ac:dyDescent="0.35">
      <c r="D132" t="s">
        <v>424</v>
      </c>
      <c r="E132" s="38">
        <v>46038</v>
      </c>
      <c r="F132" s="38">
        <v>46038</v>
      </c>
      <c r="G132" t="s">
        <v>93</v>
      </c>
      <c r="H132" t="s">
        <v>93</v>
      </c>
      <c r="I132">
        <v>21544.01</v>
      </c>
      <c r="J132">
        <v>3877.9217999999996</v>
      </c>
      <c r="K132">
        <v>3447.0415999999996</v>
      </c>
      <c r="L132">
        <v>430.8802</v>
      </c>
      <c r="P132"/>
      <c r="T132" t="s">
        <v>94</v>
      </c>
      <c r="U132" s="17" t="s">
        <v>95</v>
      </c>
      <c r="V132" t="s">
        <v>111</v>
      </c>
      <c r="Y132" t="s">
        <v>97</v>
      </c>
      <c r="Z132" s="27"/>
      <c r="AB132" s="18"/>
      <c r="AD132" t="s">
        <v>425</v>
      </c>
      <c r="AE132" t="s">
        <v>426</v>
      </c>
      <c r="AF132" t="s">
        <v>100</v>
      </c>
      <c r="AG132">
        <v>30004</v>
      </c>
      <c r="AH132" s="18">
        <f t="shared" si="3"/>
        <v>1</v>
      </c>
    </row>
    <row r="133" spans="4:34" x14ac:dyDescent="0.35">
      <c r="D133" t="s">
        <v>427</v>
      </c>
      <c r="E133" s="38">
        <v>46038</v>
      </c>
      <c r="F133" s="38">
        <v>46038</v>
      </c>
      <c r="G133" t="s">
        <v>93</v>
      </c>
      <c r="H133" t="s">
        <v>93</v>
      </c>
      <c r="I133">
        <v>117611.95</v>
      </c>
      <c r="J133">
        <v>16700.8969</v>
      </c>
      <c r="K133">
        <v>14348.657899999998</v>
      </c>
      <c r="L133">
        <v>2352.239</v>
      </c>
      <c r="P133"/>
      <c r="T133" t="s">
        <v>94</v>
      </c>
      <c r="U133" s="17" t="s">
        <v>95</v>
      </c>
      <c r="V133" t="s">
        <v>111</v>
      </c>
      <c r="Y133" t="s">
        <v>97</v>
      </c>
      <c r="Z133" s="27"/>
      <c r="AB133" s="18"/>
      <c r="AD133" t="s">
        <v>428</v>
      </c>
      <c r="AE133" t="s">
        <v>429</v>
      </c>
      <c r="AF133" t="s">
        <v>100</v>
      </c>
      <c r="AG133">
        <v>30004</v>
      </c>
      <c r="AH133" s="18">
        <f t="shared" si="3"/>
        <v>1</v>
      </c>
    </row>
    <row r="134" spans="4:34" x14ac:dyDescent="0.35">
      <c r="D134" t="s">
        <v>430</v>
      </c>
      <c r="E134" s="38">
        <v>46038</v>
      </c>
      <c r="F134" s="38">
        <v>46038</v>
      </c>
      <c r="G134" t="s">
        <v>93</v>
      </c>
      <c r="H134" t="s">
        <v>93</v>
      </c>
      <c r="I134">
        <v>35049.86</v>
      </c>
      <c r="J134">
        <v>3855.4845999999998</v>
      </c>
      <c r="K134">
        <v>3154.4874</v>
      </c>
      <c r="L134">
        <v>700.99720000000002</v>
      </c>
      <c r="P134"/>
      <c r="T134" t="s">
        <v>94</v>
      </c>
      <c r="U134" s="17" t="s">
        <v>95</v>
      </c>
      <c r="V134" t="s">
        <v>111</v>
      </c>
      <c r="Y134" t="s">
        <v>97</v>
      </c>
      <c r="Z134" s="27"/>
      <c r="AB134" s="18"/>
      <c r="AD134" t="s">
        <v>431</v>
      </c>
      <c r="AE134" t="s">
        <v>432</v>
      </c>
      <c r="AF134" t="s">
        <v>109</v>
      </c>
      <c r="AG134">
        <v>30550</v>
      </c>
      <c r="AH134" s="18">
        <f t="shared" si="3"/>
        <v>1</v>
      </c>
    </row>
    <row r="135" spans="4:34" x14ac:dyDescent="0.35">
      <c r="D135" t="s">
        <v>433</v>
      </c>
      <c r="E135" s="38">
        <v>46038</v>
      </c>
      <c r="F135" s="38">
        <v>46038</v>
      </c>
      <c r="G135" t="s">
        <v>93</v>
      </c>
      <c r="H135" t="s">
        <v>93</v>
      </c>
      <c r="I135">
        <v>7403.4</v>
      </c>
      <c r="J135">
        <v>814.37399999999991</v>
      </c>
      <c r="K135">
        <v>666.30599999999993</v>
      </c>
      <c r="L135">
        <v>148.06799999999998</v>
      </c>
      <c r="P135"/>
      <c r="T135" t="s">
        <v>94</v>
      </c>
      <c r="U135" s="17" t="s">
        <v>95</v>
      </c>
      <c r="V135" t="s">
        <v>111</v>
      </c>
      <c r="Y135" t="s">
        <v>97</v>
      </c>
      <c r="Z135" s="27"/>
      <c r="AB135" s="18"/>
      <c r="AD135" t="s">
        <v>434</v>
      </c>
      <c r="AE135" t="s">
        <v>435</v>
      </c>
      <c r="AF135" t="s">
        <v>109</v>
      </c>
      <c r="AG135">
        <v>30550</v>
      </c>
      <c r="AH135" s="18">
        <f t="shared" si="3"/>
        <v>1</v>
      </c>
    </row>
    <row r="136" spans="4:34" x14ac:dyDescent="0.35">
      <c r="D136" t="s">
        <v>436</v>
      </c>
      <c r="E136" s="38">
        <v>46038</v>
      </c>
      <c r="F136" s="38">
        <v>46038</v>
      </c>
      <c r="G136" t="s">
        <v>93</v>
      </c>
      <c r="H136" t="s">
        <v>93</v>
      </c>
      <c r="I136">
        <v>5950.49</v>
      </c>
      <c r="J136">
        <v>1071.0881999999999</v>
      </c>
      <c r="K136">
        <v>892.57349999999997</v>
      </c>
      <c r="L136">
        <v>178.51469999999998</v>
      </c>
      <c r="P136"/>
      <c r="T136" t="s">
        <v>94</v>
      </c>
      <c r="U136" s="17" t="s">
        <v>95</v>
      </c>
      <c r="V136" t="s">
        <v>106</v>
      </c>
      <c r="Y136" t="s">
        <v>97</v>
      </c>
      <c r="Z136" s="27"/>
      <c r="AB136" s="18"/>
      <c r="AD136" t="s">
        <v>437</v>
      </c>
      <c r="AE136" t="s">
        <v>438</v>
      </c>
      <c r="AF136" t="s">
        <v>109</v>
      </c>
      <c r="AG136">
        <v>30530</v>
      </c>
      <c r="AH136" s="18">
        <f t="shared" si="3"/>
        <v>1</v>
      </c>
    </row>
    <row r="137" spans="4:34" x14ac:dyDescent="0.35">
      <c r="D137" t="s">
        <v>439</v>
      </c>
      <c r="E137" s="38">
        <v>46038</v>
      </c>
      <c r="F137" s="38">
        <v>46038</v>
      </c>
      <c r="G137" t="s">
        <v>93</v>
      </c>
      <c r="H137" t="s">
        <v>93</v>
      </c>
      <c r="I137">
        <v>6216.2</v>
      </c>
      <c r="J137">
        <v>683.78199999999993</v>
      </c>
      <c r="K137">
        <v>497.29599999999999</v>
      </c>
      <c r="L137">
        <v>186.48599999999999</v>
      </c>
      <c r="P137"/>
      <c r="T137" t="s">
        <v>94</v>
      </c>
      <c r="U137" s="17" t="s">
        <v>95</v>
      </c>
      <c r="V137" t="s">
        <v>106</v>
      </c>
      <c r="Y137" t="s">
        <v>97</v>
      </c>
      <c r="Z137" s="27"/>
      <c r="AB137" s="18"/>
      <c r="AD137" t="s">
        <v>440</v>
      </c>
      <c r="AE137" t="s">
        <v>441</v>
      </c>
      <c r="AF137" t="s">
        <v>109</v>
      </c>
      <c r="AG137">
        <v>30530</v>
      </c>
      <c r="AH137" s="18">
        <f t="shared" ref="AH137:AH168" si="4">+MONTH(E137)</f>
        <v>1</v>
      </c>
    </row>
    <row r="138" spans="4:34" x14ac:dyDescent="0.35">
      <c r="D138" t="s">
        <v>442</v>
      </c>
      <c r="E138" s="38">
        <v>46038</v>
      </c>
      <c r="F138" s="38">
        <v>46038</v>
      </c>
      <c r="G138" t="s">
        <v>93</v>
      </c>
      <c r="H138" t="s">
        <v>93</v>
      </c>
      <c r="I138">
        <v>9537.36</v>
      </c>
      <c r="J138">
        <v>1049.1096000000002</v>
      </c>
      <c r="K138">
        <v>762.98880000000008</v>
      </c>
      <c r="L138">
        <v>286.12080000000003</v>
      </c>
      <c r="P138"/>
      <c r="T138" t="s">
        <v>94</v>
      </c>
      <c r="U138" s="17" t="s">
        <v>95</v>
      </c>
      <c r="V138" t="s">
        <v>106</v>
      </c>
      <c r="Y138" t="s">
        <v>97</v>
      </c>
      <c r="Z138" s="27"/>
      <c r="AB138" s="18"/>
      <c r="AD138" t="s">
        <v>443</v>
      </c>
      <c r="AE138" t="s">
        <v>444</v>
      </c>
      <c r="AF138" t="s">
        <v>109</v>
      </c>
      <c r="AG138">
        <v>30559</v>
      </c>
      <c r="AH138" s="18">
        <f t="shared" si="4"/>
        <v>1</v>
      </c>
    </row>
    <row r="139" spans="4:34" x14ac:dyDescent="0.35">
      <c r="D139" t="s">
        <v>445</v>
      </c>
      <c r="E139" s="38">
        <v>46038</v>
      </c>
      <c r="F139" s="38">
        <v>46038</v>
      </c>
      <c r="G139" t="s">
        <v>93</v>
      </c>
      <c r="H139" t="s">
        <v>93</v>
      </c>
      <c r="I139">
        <v>7019.51</v>
      </c>
      <c r="J139">
        <v>1052.9265</v>
      </c>
      <c r="K139">
        <v>842.34119999999996</v>
      </c>
      <c r="L139">
        <v>210.58529999999999</v>
      </c>
      <c r="P139"/>
      <c r="T139" t="s">
        <v>94</v>
      </c>
      <c r="U139" s="17" t="s">
        <v>95</v>
      </c>
      <c r="V139" t="s">
        <v>106</v>
      </c>
      <c r="Y139" t="s">
        <v>97</v>
      </c>
      <c r="Z139" s="27"/>
      <c r="AB139" s="18"/>
      <c r="AD139" t="s">
        <v>446</v>
      </c>
      <c r="AE139" t="s">
        <v>447</v>
      </c>
      <c r="AF139" t="s">
        <v>109</v>
      </c>
      <c r="AG139">
        <v>30550</v>
      </c>
      <c r="AH139" s="18">
        <f t="shared" si="4"/>
        <v>1</v>
      </c>
    </row>
    <row r="140" spans="4:34" x14ac:dyDescent="0.35">
      <c r="D140" t="s">
        <v>448</v>
      </c>
      <c r="E140" s="38">
        <v>46038</v>
      </c>
      <c r="F140" s="38">
        <v>46038</v>
      </c>
      <c r="G140" t="s">
        <v>93</v>
      </c>
      <c r="H140" t="s">
        <v>93</v>
      </c>
      <c r="I140">
        <v>29283.24</v>
      </c>
      <c r="J140">
        <v>3221.1564000000003</v>
      </c>
      <c r="K140">
        <v>2635.4916000000003</v>
      </c>
      <c r="L140">
        <v>585.66480000000001</v>
      </c>
      <c r="P140"/>
      <c r="T140" t="s">
        <v>94</v>
      </c>
      <c r="U140" s="17" t="s">
        <v>95</v>
      </c>
      <c r="V140" t="s">
        <v>111</v>
      </c>
      <c r="Y140" t="s">
        <v>97</v>
      </c>
      <c r="Z140" s="27"/>
      <c r="AB140" s="18"/>
      <c r="AD140" t="s">
        <v>449</v>
      </c>
      <c r="AE140" t="s">
        <v>450</v>
      </c>
      <c r="AF140" t="s">
        <v>109</v>
      </c>
      <c r="AG140">
        <v>30400</v>
      </c>
      <c r="AH140" s="18">
        <f t="shared" si="4"/>
        <v>1</v>
      </c>
    </row>
    <row r="141" spans="4:34" x14ac:dyDescent="0.35">
      <c r="D141" t="s">
        <v>451</v>
      </c>
      <c r="E141" s="38">
        <v>46038</v>
      </c>
      <c r="F141" s="38">
        <v>46038</v>
      </c>
      <c r="G141" t="s">
        <v>93</v>
      </c>
      <c r="H141" t="s">
        <v>93</v>
      </c>
      <c r="I141">
        <v>23572.52</v>
      </c>
      <c r="J141">
        <v>3064.4276</v>
      </c>
      <c r="K141">
        <v>2357.252</v>
      </c>
      <c r="L141">
        <v>707.17560000000003</v>
      </c>
      <c r="P141"/>
      <c r="T141" t="s">
        <v>94</v>
      </c>
      <c r="U141" s="17" t="s">
        <v>95</v>
      </c>
      <c r="V141" t="s">
        <v>106</v>
      </c>
      <c r="Y141" t="s">
        <v>97</v>
      </c>
      <c r="Z141" s="27"/>
      <c r="AB141" s="18"/>
      <c r="AD141" t="s">
        <v>452</v>
      </c>
      <c r="AE141" t="s">
        <v>453</v>
      </c>
      <c r="AF141" t="s">
        <v>100</v>
      </c>
      <c r="AG141">
        <v>30530</v>
      </c>
      <c r="AH141" s="18">
        <f t="shared" si="4"/>
        <v>1</v>
      </c>
    </row>
    <row r="142" spans="4:34" x14ac:dyDescent="0.35">
      <c r="D142" t="s">
        <v>454</v>
      </c>
      <c r="E142" s="38">
        <v>46041</v>
      </c>
      <c r="F142" s="38">
        <v>46041</v>
      </c>
      <c r="G142" t="s">
        <v>93</v>
      </c>
      <c r="H142" t="s">
        <v>93</v>
      </c>
      <c r="I142">
        <v>1612.25</v>
      </c>
      <c r="J142">
        <v>177.3475</v>
      </c>
      <c r="K142">
        <v>128.97999999999999</v>
      </c>
      <c r="L142">
        <v>48.3675</v>
      </c>
      <c r="P142"/>
      <c r="T142" t="s">
        <v>94</v>
      </c>
      <c r="U142" s="17" t="s">
        <v>95</v>
      </c>
      <c r="V142" t="s">
        <v>106</v>
      </c>
      <c r="Y142" t="s">
        <v>97</v>
      </c>
      <c r="Z142" s="27"/>
      <c r="AB142" s="18"/>
      <c r="AD142" t="s">
        <v>455</v>
      </c>
      <c r="AE142" t="s">
        <v>456</v>
      </c>
      <c r="AF142" t="s">
        <v>109</v>
      </c>
      <c r="AG142">
        <v>30550</v>
      </c>
      <c r="AH142" s="18">
        <f t="shared" si="4"/>
        <v>1</v>
      </c>
    </row>
    <row r="143" spans="4:34" x14ac:dyDescent="0.35">
      <c r="D143" t="s">
        <v>457</v>
      </c>
      <c r="E143" s="38">
        <v>46041</v>
      </c>
      <c r="F143" s="38">
        <v>46041</v>
      </c>
      <c r="G143" t="s">
        <v>93</v>
      </c>
      <c r="H143" t="s">
        <v>93</v>
      </c>
      <c r="I143">
        <v>2979.83</v>
      </c>
      <c r="J143">
        <v>297.983</v>
      </c>
      <c r="K143">
        <v>238.38639999999998</v>
      </c>
      <c r="L143">
        <v>59.596600000000002</v>
      </c>
      <c r="P143"/>
      <c r="T143" t="s">
        <v>94</v>
      </c>
      <c r="U143" s="17" t="s">
        <v>95</v>
      </c>
      <c r="V143" t="s">
        <v>111</v>
      </c>
      <c r="Y143" t="s">
        <v>97</v>
      </c>
      <c r="Z143" s="27"/>
      <c r="AB143" s="18"/>
      <c r="AD143" t="s">
        <v>458</v>
      </c>
      <c r="AE143" t="s">
        <v>459</v>
      </c>
      <c r="AF143" t="s">
        <v>109</v>
      </c>
      <c r="AG143">
        <v>30550</v>
      </c>
      <c r="AH143" s="18">
        <f t="shared" si="4"/>
        <v>1</v>
      </c>
    </row>
    <row r="144" spans="4:34" x14ac:dyDescent="0.35">
      <c r="D144" t="s">
        <v>460</v>
      </c>
      <c r="E144" s="38">
        <v>46041</v>
      </c>
      <c r="F144" s="38">
        <v>46041</v>
      </c>
      <c r="G144" t="s">
        <v>93</v>
      </c>
      <c r="H144" t="s">
        <v>93</v>
      </c>
      <c r="I144">
        <v>34907.519999999997</v>
      </c>
      <c r="J144">
        <v>3490.752</v>
      </c>
      <c r="K144">
        <v>2792.6016</v>
      </c>
      <c r="L144">
        <v>698.15039999999999</v>
      </c>
      <c r="P144"/>
      <c r="T144" t="s">
        <v>94</v>
      </c>
      <c r="U144" s="17" t="s">
        <v>95</v>
      </c>
      <c r="V144" t="s">
        <v>106</v>
      </c>
      <c r="Y144" t="s">
        <v>97</v>
      </c>
      <c r="Z144" s="27"/>
      <c r="AB144" s="18"/>
      <c r="AD144" t="s">
        <v>461</v>
      </c>
      <c r="AE144" t="s">
        <v>462</v>
      </c>
      <c r="AF144" t="s">
        <v>109</v>
      </c>
      <c r="AG144">
        <v>30530</v>
      </c>
      <c r="AH144" s="18">
        <f t="shared" si="4"/>
        <v>1</v>
      </c>
    </row>
    <row r="145" spans="4:34" x14ac:dyDescent="0.35">
      <c r="D145" t="s">
        <v>463</v>
      </c>
      <c r="E145" s="38">
        <v>46041</v>
      </c>
      <c r="F145" s="38">
        <v>46041</v>
      </c>
      <c r="G145" t="s">
        <v>93</v>
      </c>
      <c r="H145" t="s">
        <v>93</v>
      </c>
      <c r="I145">
        <v>16966.23</v>
      </c>
      <c r="J145">
        <v>2035.9475999999997</v>
      </c>
      <c r="K145">
        <v>1696.6229999999998</v>
      </c>
      <c r="L145">
        <v>339.32459999999998</v>
      </c>
      <c r="P145"/>
      <c r="T145" t="s">
        <v>94</v>
      </c>
      <c r="U145" s="17" t="s">
        <v>95</v>
      </c>
      <c r="V145" t="s">
        <v>106</v>
      </c>
      <c r="Y145" t="s">
        <v>97</v>
      </c>
      <c r="Z145" s="27"/>
      <c r="AB145" s="18"/>
      <c r="AD145" t="s">
        <v>464</v>
      </c>
      <c r="AE145" t="s">
        <v>465</v>
      </c>
      <c r="AF145" t="s">
        <v>109</v>
      </c>
      <c r="AG145">
        <v>30530</v>
      </c>
      <c r="AH145" s="18">
        <f t="shared" si="4"/>
        <v>1</v>
      </c>
    </row>
    <row r="146" spans="4:34" x14ac:dyDescent="0.35">
      <c r="D146" t="s">
        <v>466</v>
      </c>
      <c r="E146" s="38">
        <v>46041</v>
      </c>
      <c r="F146" s="38">
        <v>46041</v>
      </c>
      <c r="G146" t="s">
        <v>93</v>
      </c>
      <c r="H146" t="s">
        <v>93</v>
      </c>
      <c r="I146">
        <v>27124.11</v>
      </c>
      <c r="J146">
        <v>2983.6520999999998</v>
      </c>
      <c r="K146">
        <v>2441.1698999999999</v>
      </c>
      <c r="L146">
        <v>542.48220000000003</v>
      </c>
      <c r="P146"/>
      <c r="T146" t="s">
        <v>94</v>
      </c>
      <c r="U146" s="17" t="s">
        <v>95</v>
      </c>
      <c r="V146" t="s">
        <v>111</v>
      </c>
      <c r="Y146" t="s">
        <v>97</v>
      </c>
      <c r="Z146" s="27"/>
      <c r="AB146" s="18"/>
      <c r="AD146" t="s">
        <v>467</v>
      </c>
      <c r="AE146" t="s">
        <v>468</v>
      </c>
      <c r="AF146" t="s">
        <v>109</v>
      </c>
      <c r="AG146">
        <v>30530</v>
      </c>
      <c r="AH146" s="18">
        <f t="shared" si="4"/>
        <v>1</v>
      </c>
    </row>
    <row r="147" spans="4:34" x14ac:dyDescent="0.35">
      <c r="D147" t="s">
        <v>469</v>
      </c>
      <c r="E147" s="38">
        <v>46041</v>
      </c>
      <c r="F147" s="38">
        <v>46041</v>
      </c>
      <c r="G147" t="s">
        <v>93</v>
      </c>
      <c r="H147" t="s">
        <v>93</v>
      </c>
      <c r="I147">
        <v>649.4</v>
      </c>
      <c r="J147">
        <v>84.421999999999997</v>
      </c>
      <c r="K147">
        <v>71.433999999999997</v>
      </c>
      <c r="L147">
        <v>12.988</v>
      </c>
      <c r="P147"/>
      <c r="T147" t="s">
        <v>94</v>
      </c>
      <c r="U147" s="17" t="s">
        <v>95</v>
      </c>
      <c r="V147" t="s">
        <v>111</v>
      </c>
      <c r="Y147" t="s">
        <v>97</v>
      </c>
      <c r="Z147" s="27"/>
      <c r="AB147" s="18"/>
      <c r="AD147" t="s">
        <v>470</v>
      </c>
      <c r="AE147" t="s">
        <v>471</v>
      </c>
      <c r="AF147" t="s">
        <v>109</v>
      </c>
      <c r="AG147">
        <v>30530</v>
      </c>
      <c r="AH147" s="18">
        <f t="shared" si="4"/>
        <v>1</v>
      </c>
    </row>
    <row r="148" spans="4:34" x14ac:dyDescent="0.35">
      <c r="D148" t="s">
        <v>472</v>
      </c>
      <c r="E148" s="38">
        <v>46041</v>
      </c>
      <c r="F148" s="38">
        <v>46041</v>
      </c>
      <c r="G148" t="s">
        <v>93</v>
      </c>
      <c r="H148" t="s">
        <v>93</v>
      </c>
      <c r="I148">
        <v>9562.25</v>
      </c>
      <c r="J148">
        <v>1051.8475000000001</v>
      </c>
      <c r="K148">
        <v>764.98</v>
      </c>
      <c r="L148">
        <v>286.86750000000001</v>
      </c>
      <c r="P148"/>
      <c r="T148" t="s">
        <v>94</v>
      </c>
      <c r="U148" s="17" t="s">
        <v>95</v>
      </c>
      <c r="V148" t="s">
        <v>106</v>
      </c>
      <c r="Y148" t="s">
        <v>97</v>
      </c>
      <c r="Z148" s="27"/>
      <c r="AB148" s="18"/>
      <c r="AD148" t="s">
        <v>473</v>
      </c>
      <c r="AE148" t="s">
        <v>474</v>
      </c>
      <c r="AF148" t="s">
        <v>109</v>
      </c>
      <c r="AG148">
        <v>30530</v>
      </c>
      <c r="AH148" s="18">
        <f t="shared" si="4"/>
        <v>1</v>
      </c>
    </row>
    <row r="149" spans="4:34" x14ac:dyDescent="0.35">
      <c r="D149" t="s">
        <v>475</v>
      </c>
      <c r="E149" s="38">
        <v>46041</v>
      </c>
      <c r="F149" s="38">
        <v>46041</v>
      </c>
      <c r="G149" t="s">
        <v>93</v>
      </c>
      <c r="H149" t="s">
        <v>93</v>
      </c>
      <c r="I149">
        <v>2368.91</v>
      </c>
      <c r="J149">
        <v>307.95830000000001</v>
      </c>
      <c r="K149">
        <v>236.89099999999999</v>
      </c>
      <c r="L149">
        <v>71.067299999999989</v>
      </c>
      <c r="P149"/>
      <c r="T149" t="s">
        <v>94</v>
      </c>
      <c r="U149" s="17" t="s">
        <v>95</v>
      </c>
      <c r="V149" t="s">
        <v>106</v>
      </c>
      <c r="Y149" t="s">
        <v>97</v>
      </c>
      <c r="Z149" s="27"/>
      <c r="AB149" s="18"/>
      <c r="AD149" t="s">
        <v>476</v>
      </c>
      <c r="AE149" t="s">
        <v>477</v>
      </c>
      <c r="AF149" t="s">
        <v>109</v>
      </c>
      <c r="AG149">
        <v>30509</v>
      </c>
      <c r="AH149" s="18">
        <f t="shared" si="4"/>
        <v>1</v>
      </c>
    </row>
    <row r="150" spans="4:34" x14ac:dyDescent="0.35">
      <c r="D150" t="s">
        <v>478</v>
      </c>
      <c r="E150" s="38">
        <v>46041</v>
      </c>
      <c r="F150" s="38">
        <v>46041</v>
      </c>
      <c r="G150" t="s">
        <v>93</v>
      </c>
      <c r="H150" t="s">
        <v>93</v>
      </c>
      <c r="I150">
        <v>3923.14</v>
      </c>
      <c r="J150">
        <v>313.85120000000001</v>
      </c>
      <c r="K150">
        <v>235.38839999999999</v>
      </c>
      <c r="L150">
        <v>78.462800000000001</v>
      </c>
      <c r="P150"/>
      <c r="T150" t="s">
        <v>94</v>
      </c>
      <c r="U150" s="17" t="s">
        <v>95</v>
      </c>
      <c r="V150" t="s">
        <v>96</v>
      </c>
      <c r="Y150" t="s">
        <v>97</v>
      </c>
      <c r="Z150" s="27"/>
      <c r="AB150" s="18"/>
      <c r="AD150" t="s">
        <v>479</v>
      </c>
      <c r="AE150" t="s">
        <v>480</v>
      </c>
      <c r="AF150" t="s">
        <v>109</v>
      </c>
      <c r="AG150">
        <v>30600</v>
      </c>
      <c r="AH150" s="18">
        <f t="shared" si="4"/>
        <v>1</v>
      </c>
    </row>
    <row r="151" spans="4:34" x14ac:dyDescent="0.35">
      <c r="D151" t="s">
        <v>481</v>
      </c>
      <c r="E151" s="38">
        <v>46041</v>
      </c>
      <c r="F151" s="38">
        <v>46041</v>
      </c>
      <c r="G151" t="s">
        <v>93</v>
      </c>
      <c r="H151" t="s">
        <v>93</v>
      </c>
      <c r="I151">
        <v>1330.16</v>
      </c>
      <c r="J151">
        <v>146.3176</v>
      </c>
      <c r="K151">
        <v>106.4128</v>
      </c>
      <c r="L151">
        <v>39.904800000000002</v>
      </c>
      <c r="P151"/>
      <c r="T151" t="s">
        <v>94</v>
      </c>
      <c r="U151" s="17" t="s">
        <v>95</v>
      </c>
      <c r="V151" t="s">
        <v>106</v>
      </c>
      <c r="Y151" t="s">
        <v>97</v>
      </c>
      <c r="Z151" s="27"/>
      <c r="AB151" s="18"/>
      <c r="AD151" t="s">
        <v>482</v>
      </c>
      <c r="AE151" t="s">
        <v>483</v>
      </c>
      <c r="AF151" t="s">
        <v>109</v>
      </c>
      <c r="AG151">
        <v>30550</v>
      </c>
      <c r="AH151" s="18">
        <f t="shared" si="4"/>
        <v>1</v>
      </c>
    </row>
    <row r="152" spans="4:34" x14ac:dyDescent="0.35">
      <c r="D152" t="s">
        <v>484</v>
      </c>
      <c r="E152" s="38">
        <v>46041</v>
      </c>
      <c r="F152" s="38">
        <v>46041</v>
      </c>
      <c r="G152" t="s">
        <v>93</v>
      </c>
      <c r="H152" t="s">
        <v>93</v>
      </c>
      <c r="I152">
        <v>140908.57</v>
      </c>
      <c r="J152">
        <v>11272.685600000001</v>
      </c>
      <c r="K152">
        <v>8454.5141999999996</v>
      </c>
      <c r="L152">
        <v>2818.1714000000002</v>
      </c>
      <c r="P152"/>
      <c r="T152" t="s">
        <v>94</v>
      </c>
      <c r="U152" s="17" t="s">
        <v>95</v>
      </c>
      <c r="V152" t="s">
        <v>111</v>
      </c>
      <c r="Y152" t="s">
        <v>97</v>
      </c>
      <c r="Z152" s="27"/>
      <c r="AB152" s="18"/>
      <c r="AD152" t="s">
        <v>485</v>
      </c>
      <c r="AE152" t="s">
        <v>486</v>
      </c>
      <c r="AF152" t="s">
        <v>100</v>
      </c>
      <c r="AG152">
        <v>30420</v>
      </c>
      <c r="AH152" s="18">
        <f t="shared" si="4"/>
        <v>1</v>
      </c>
    </row>
    <row r="153" spans="4:34" x14ac:dyDescent="0.35">
      <c r="D153" t="s">
        <v>487</v>
      </c>
      <c r="E153" s="38">
        <v>46041</v>
      </c>
      <c r="F153" s="38">
        <v>46041</v>
      </c>
      <c r="G153" t="s">
        <v>93</v>
      </c>
      <c r="H153" t="s">
        <v>93</v>
      </c>
      <c r="I153">
        <v>86465.44</v>
      </c>
      <c r="J153">
        <v>9511.1984000000011</v>
      </c>
      <c r="K153">
        <v>6917.2352000000001</v>
      </c>
      <c r="L153">
        <v>2593.9632000000001</v>
      </c>
      <c r="P153"/>
      <c r="T153" t="s">
        <v>94</v>
      </c>
      <c r="U153" s="17" t="s">
        <v>95</v>
      </c>
      <c r="V153" t="s">
        <v>106</v>
      </c>
      <c r="Y153" t="s">
        <v>97</v>
      </c>
      <c r="Z153" s="27"/>
      <c r="AB153" s="18"/>
      <c r="AD153" t="s">
        <v>488</v>
      </c>
      <c r="AE153" t="s">
        <v>489</v>
      </c>
      <c r="AF153" t="s">
        <v>100</v>
      </c>
      <c r="AG153">
        <v>30191</v>
      </c>
      <c r="AH153" s="18">
        <f t="shared" si="4"/>
        <v>1</v>
      </c>
    </row>
    <row r="154" spans="4:34" x14ac:dyDescent="0.35">
      <c r="D154" t="s">
        <v>490</v>
      </c>
      <c r="E154" s="38">
        <v>46041</v>
      </c>
      <c r="F154" s="38">
        <v>46041</v>
      </c>
      <c r="G154" t="s">
        <v>93</v>
      </c>
      <c r="H154" t="s">
        <v>93</v>
      </c>
      <c r="I154">
        <v>29087.4</v>
      </c>
      <c r="J154">
        <v>2908.7400000000002</v>
      </c>
      <c r="K154">
        <v>2326.9920000000002</v>
      </c>
      <c r="L154">
        <v>581.74800000000005</v>
      </c>
      <c r="P154"/>
      <c r="T154" t="s">
        <v>94</v>
      </c>
      <c r="U154" s="17" t="s">
        <v>95</v>
      </c>
      <c r="V154" t="s">
        <v>111</v>
      </c>
      <c r="Y154" t="s">
        <v>97</v>
      </c>
      <c r="Z154" s="27"/>
      <c r="AB154" s="18"/>
      <c r="AD154" t="s">
        <v>491</v>
      </c>
      <c r="AE154" t="s">
        <v>492</v>
      </c>
      <c r="AF154" t="s">
        <v>100</v>
      </c>
      <c r="AG154">
        <v>30550</v>
      </c>
      <c r="AH154" s="18">
        <f t="shared" si="4"/>
        <v>1</v>
      </c>
    </row>
    <row r="155" spans="4:34" x14ac:dyDescent="0.35">
      <c r="D155" t="s">
        <v>493</v>
      </c>
      <c r="E155" s="38">
        <v>46041</v>
      </c>
      <c r="F155" s="38">
        <v>46041</v>
      </c>
      <c r="G155" t="s">
        <v>93</v>
      </c>
      <c r="H155" t="s">
        <v>93</v>
      </c>
      <c r="I155">
        <v>22365.4</v>
      </c>
      <c r="J155">
        <v>2907.5020000000004</v>
      </c>
      <c r="K155">
        <v>2460.1940000000004</v>
      </c>
      <c r="L155">
        <v>447.30800000000005</v>
      </c>
      <c r="P155"/>
      <c r="T155" t="s">
        <v>94</v>
      </c>
      <c r="U155" s="17" t="s">
        <v>95</v>
      </c>
      <c r="V155" t="s">
        <v>106</v>
      </c>
      <c r="Y155" t="s">
        <v>97</v>
      </c>
      <c r="Z155" s="27"/>
      <c r="AB155" s="18"/>
      <c r="AD155" t="s">
        <v>494</v>
      </c>
      <c r="AE155" t="s">
        <v>495</v>
      </c>
      <c r="AF155" t="s">
        <v>109</v>
      </c>
      <c r="AG155">
        <v>16350</v>
      </c>
      <c r="AH155" s="18">
        <f t="shared" si="4"/>
        <v>1</v>
      </c>
    </row>
    <row r="156" spans="4:34" x14ac:dyDescent="0.35">
      <c r="D156" t="s">
        <v>496</v>
      </c>
      <c r="E156" s="38">
        <v>46041</v>
      </c>
      <c r="F156" s="38">
        <v>46041</v>
      </c>
      <c r="G156" t="s">
        <v>93</v>
      </c>
      <c r="H156" t="s">
        <v>93</v>
      </c>
      <c r="I156">
        <v>105695.63</v>
      </c>
      <c r="J156">
        <v>8455.6504000000004</v>
      </c>
      <c r="K156">
        <v>6341.7377999999999</v>
      </c>
      <c r="L156">
        <v>2113.9126000000001</v>
      </c>
      <c r="P156"/>
      <c r="T156" t="s">
        <v>94</v>
      </c>
      <c r="U156" s="17" t="s">
        <v>95</v>
      </c>
      <c r="V156" t="s">
        <v>111</v>
      </c>
      <c r="Y156" t="s">
        <v>97</v>
      </c>
      <c r="Z156" s="27"/>
      <c r="AB156" s="18"/>
      <c r="AD156" t="s">
        <v>497</v>
      </c>
      <c r="AE156" t="s">
        <v>498</v>
      </c>
      <c r="AF156" t="s">
        <v>100</v>
      </c>
      <c r="AG156">
        <v>30550</v>
      </c>
      <c r="AH156" s="18">
        <f t="shared" si="4"/>
        <v>1</v>
      </c>
    </row>
    <row r="157" spans="4:34" x14ac:dyDescent="0.35">
      <c r="D157" t="s">
        <v>499</v>
      </c>
      <c r="E157" s="38">
        <v>46041</v>
      </c>
      <c r="F157" s="38">
        <v>46041</v>
      </c>
      <c r="G157" t="s">
        <v>93</v>
      </c>
      <c r="H157" t="s">
        <v>93</v>
      </c>
      <c r="I157">
        <v>3517.01</v>
      </c>
      <c r="J157">
        <v>316.53089999999997</v>
      </c>
      <c r="K157">
        <v>211.0206</v>
      </c>
      <c r="L157">
        <v>105.5103</v>
      </c>
      <c r="P157"/>
      <c r="T157" t="s">
        <v>94</v>
      </c>
      <c r="U157" s="17" t="s">
        <v>95</v>
      </c>
      <c r="V157" t="s">
        <v>106</v>
      </c>
      <c r="Y157" t="s">
        <v>97</v>
      </c>
      <c r="Z157" s="27"/>
      <c r="AB157" s="18"/>
      <c r="AD157" t="s">
        <v>500</v>
      </c>
      <c r="AE157" t="s">
        <v>501</v>
      </c>
      <c r="AF157" t="s">
        <v>109</v>
      </c>
      <c r="AG157">
        <v>30530</v>
      </c>
      <c r="AH157" s="18">
        <f t="shared" si="4"/>
        <v>1</v>
      </c>
    </row>
    <row r="158" spans="4:34" x14ac:dyDescent="0.35">
      <c r="D158" t="s">
        <v>502</v>
      </c>
      <c r="E158" s="38">
        <v>46041</v>
      </c>
      <c r="F158" s="38">
        <v>46041</v>
      </c>
      <c r="G158" t="s">
        <v>93</v>
      </c>
      <c r="H158" t="s">
        <v>93</v>
      </c>
      <c r="I158">
        <v>114229.67</v>
      </c>
      <c r="J158">
        <v>12736.608205</v>
      </c>
      <c r="K158">
        <v>10452.014805000001</v>
      </c>
      <c r="L158">
        <v>2284.5934000000002</v>
      </c>
      <c r="P158"/>
      <c r="T158" t="s">
        <v>94</v>
      </c>
      <c r="U158" s="17" t="s">
        <v>95</v>
      </c>
      <c r="V158" t="s">
        <v>111</v>
      </c>
      <c r="Y158" t="s">
        <v>97</v>
      </c>
      <c r="Z158" s="27"/>
      <c r="AB158" s="18"/>
      <c r="AD158" t="s">
        <v>503</v>
      </c>
      <c r="AE158" t="s">
        <v>504</v>
      </c>
      <c r="AF158" t="s">
        <v>100</v>
      </c>
      <c r="AG158">
        <v>30540</v>
      </c>
      <c r="AH158" s="18">
        <f t="shared" si="4"/>
        <v>1</v>
      </c>
    </row>
    <row r="159" spans="4:34" x14ac:dyDescent="0.35">
      <c r="D159" t="s">
        <v>505</v>
      </c>
      <c r="E159" s="38">
        <v>46041</v>
      </c>
      <c r="F159" s="38">
        <v>46041</v>
      </c>
      <c r="G159" t="s">
        <v>93</v>
      </c>
      <c r="H159" t="s">
        <v>93</v>
      </c>
      <c r="I159">
        <v>4241.3100000000004</v>
      </c>
      <c r="J159">
        <v>466.54410000000007</v>
      </c>
      <c r="K159">
        <v>339.30480000000006</v>
      </c>
      <c r="L159">
        <v>127.23930000000001</v>
      </c>
      <c r="P159"/>
      <c r="T159" t="s">
        <v>94</v>
      </c>
      <c r="U159" s="17" t="s">
        <v>95</v>
      </c>
      <c r="V159" t="s">
        <v>106</v>
      </c>
      <c r="Y159" t="s">
        <v>97</v>
      </c>
      <c r="Z159" s="27"/>
      <c r="AB159" s="18"/>
      <c r="AD159" t="s">
        <v>506</v>
      </c>
      <c r="AE159" t="s">
        <v>507</v>
      </c>
      <c r="AF159" t="s">
        <v>109</v>
      </c>
      <c r="AG159">
        <v>30559</v>
      </c>
      <c r="AH159" s="18">
        <f t="shared" si="4"/>
        <v>1</v>
      </c>
    </row>
    <row r="160" spans="4:34" x14ac:dyDescent="0.35">
      <c r="D160" t="s">
        <v>508</v>
      </c>
      <c r="E160" s="38">
        <v>46041</v>
      </c>
      <c r="F160" s="38">
        <v>46041</v>
      </c>
      <c r="G160" t="s">
        <v>93</v>
      </c>
      <c r="H160" t="s">
        <v>93</v>
      </c>
      <c r="I160">
        <v>3709.96</v>
      </c>
      <c r="J160">
        <v>408.09559999999999</v>
      </c>
      <c r="K160">
        <v>296.79680000000002</v>
      </c>
      <c r="L160">
        <v>111.2988</v>
      </c>
      <c r="P160"/>
      <c r="T160" t="s">
        <v>94</v>
      </c>
      <c r="U160" s="17" t="s">
        <v>95</v>
      </c>
      <c r="V160" t="s">
        <v>106</v>
      </c>
      <c r="Y160" t="s">
        <v>97</v>
      </c>
      <c r="Z160" s="27"/>
      <c r="AB160" s="18"/>
      <c r="AD160" t="s">
        <v>509</v>
      </c>
      <c r="AE160" t="s">
        <v>510</v>
      </c>
      <c r="AF160" t="s">
        <v>109</v>
      </c>
      <c r="AG160">
        <v>30530</v>
      </c>
      <c r="AH160" s="18">
        <f t="shared" si="4"/>
        <v>1</v>
      </c>
    </row>
    <row r="161" spans="4:34" x14ac:dyDescent="0.35">
      <c r="D161" t="s">
        <v>511</v>
      </c>
      <c r="E161" s="38">
        <v>46041</v>
      </c>
      <c r="F161" s="38">
        <v>46041</v>
      </c>
      <c r="G161" t="s">
        <v>93</v>
      </c>
      <c r="H161" t="s">
        <v>93</v>
      </c>
      <c r="I161">
        <v>7355.54</v>
      </c>
      <c r="J161">
        <v>809.10940000000005</v>
      </c>
      <c r="K161">
        <v>588.44320000000005</v>
      </c>
      <c r="L161">
        <v>220.6662</v>
      </c>
      <c r="P161"/>
      <c r="T161" t="s">
        <v>94</v>
      </c>
      <c r="U161" s="17" t="s">
        <v>95</v>
      </c>
      <c r="V161" t="s">
        <v>106</v>
      </c>
      <c r="Y161" t="s">
        <v>97</v>
      </c>
      <c r="Z161" s="27"/>
      <c r="AB161" s="18"/>
      <c r="AD161" t="s">
        <v>512</v>
      </c>
      <c r="AE161" t="s">
        <v>513</v>
      </c>
      <c r="AF161" t="s">
        <v>109</v>
      </c>
      <c r="AG161">
        <v>30540</v>
      </c>
      <c r="AH161" s="18">
        <f t="shared" si="4"/>
        <v>1</v>
      </c>
    </row>
    <row r="162" spans="4:34" x14ac:dyDescent="0.35">
      <c r="D162" t="s">
        <v>514</v>
      </c>
      <c r="E162" s="38">
        <v>46041</v>
      </c>
      <c r="F162" s="38">
        <v>46041</v>
      </c>
      <c r="G162" t="s">
        <v>93</v>
      </c>
      <c r="H162" t="s">
        <v>93</v>
      </c>
      <c r="I162">
        <v>6480.11</v>
      </c>
      <c r="J162">
        <v>712.81209999999987</v>
      </c>
      <c r="K162">
        <v>518.40879999999993</v>
      </c>
      <c r="L162">
        <v>194.40329999999997</v>
      </c>
      <c r="P162"/>
      <c r="T162" t="s">
        <v>94</v>
      </c>
      <c r="U162" s="17" t="s">
        <v>95</v>
      </c>
      <c r="V162" t="s">
        <v>106</v>
      </c>
      <c r="Y162" t="s">
        <v>97</v>
      </c>
      <c r="Z162" s="27"/>
      <c r="AB162" s="18"/>
      <c r="AD162" t="s">
        <v>515</v>
      </c>
      <c r="AE162" t="s">
        <v>516</v>
      </c>
      <c r="AF162" t="s">
        <v>109</v>
      </c>
      <c r="AG162">
        <v>30550</v>
      </c>
      <c r="AH162" s="18">
        <f t="shared" si="4"/>
        <v>1</v>
      </c>
    </row>
    <row r="163" spans="4:34" x14ac:dyDescent="0.35">
      <c r="D163" t="s">
        <v>517</v>
      </c>
      <c r="E163" s="38">
        <v>46041</v>
      </c>
      <c r="F163" s="38">
        <v>46041</v>
      </c>
      <c r="G163" t="s">
        <v>93</v>
      </c>
      <c r="H163" t="s">
        <v>93</v>
      </c>
      <c r="I163">
        <v>58908.84</v>
      </c>
      <c r="J163">
        <v>6479.9723999999997</v>
      </c>
      <c r="K163">
        <v>5301.7955999999995</v>
      </c>
      <c r="L163">
        <v>1178.1768</v>
      </c>
      <c r="P163"/>
      <c r="T163" t="s">
        <v>94</v>
      </c>
      <c r="U163" s="17" t="s">
        <v>95</v>
      </c>
      <c r="V163" t="s">
        <v>106</v>
      </c>
      <c r="Y163" t="s">
        <v>97</v>
      </c>
      <c r="Z163" s="27"/>
      <c r="AB163" s="18"/>
      <c r="AD163" t="s">
        <v>518</v>
      </c>
      <c r="AE163" t="s">
        <v>519</v>
      </c>
      <c r="AF163" t="s">
        <v>100</v>
      </c>
      <c r="AG163">
        <v>30530</v>
      </c>
      <c r="AH163" s="18">
        <f t="shared" si="4"/>
        <v>1</v>
      </c>
    </row>
    <row r="164" spans="4:34" x14ac:dyDescent="0.35">
      <c r="D164" t="s">
        <v>520</v>
      </c>
      <c r="E164" s="38">
        <v>46041</v>
      </c>
      <c r="F164" s="38">
        <v>46041</v>
      </c>
      <c r="G164" t="s">
        <v>93</v>
      </c>
      <c r="H164" t="s">
        <v>93</v>
      </c>
      <c r="I164">
        <v>1362.1</v>
      </c>
      <c r="J164">
        <v>149.83099999999999</v>
      </c>
      <c r="K164">
        <v>108.96799999999999</v>
      </c>
      <c r="L164">
        <v>40.862999999999992</v>
      </c>
      <c r="P164"/>
      <c r="T164" t="s">
        <v>94</v>
      </c>
      <c r="U164" s="17" t="s">
        <v>95</v>
      </c>
      <c r="V164" t="s">
        <v>106</v>
      </c>
      <c r="Y164" t="s">
        <v>97</v>
      </c>
      <c r="Z164" s="27"/>
      <c r="AB164" s="18"/>
      <c r="AD164" t="s">
        <v>521</v>
      </c>
      <c r="AE164" t="s">
        <v>522</v>
      </c>
      <c r="AF164" t="s">
        <v>109</v>
      </c>
      <c r="AG164">
        <v>30550</v>
      </c>
      <c r="AH164" s="18">
        <f t="shared" si="4"/>
        <v>1</v>
      </c>
    </row>
    <row r="165" spans="4:34" x14ac:dyDescent="0.35">
      <c r="D165" t="s">
        <v>523</v>
      </c>
      <c r="E165" s="38">
        <v>46041</v>
      </c>
      <c r="F165" s="38">
        <v>46041</v>
      </c>
      <c r="G165" t="s">
        <v>93</v>
      </c>
      <c r="H165" t="s">
        <v>93</v>
      </c>
      <c r="I165">
        <v>3232.96</v>
      </c>
      <c r="J165">
        <v>355.62559999999996</v>
      </c>
      <c r="K165">
        <v>258.63679999999999</v>
      </c>
      <c r="L165">
        <v>96.988799999999998</v>
      </c>
      <c r="P165"/>
      <c r="T165" t="s">
        <v>94</v>
      </c>
      <c r="U165" s="17" t="s">
        <v>95</v>
      </c>
      <c r="V165" t="s">
        <v>106</v>
      </c>
      <c r="Y165" t="s">
        <v>97</v>
      </c>
      <c r="Z165" s="27"/>
      <c r="AB165" s="18"/>
      <c r="AD165" t="s">
        <v>524</v>
      </c>
      <c r="AE165" t="s">
        <v>525</v>
      </c>
      <c r="AF165" t="s">
        <v>109</v>
      </c>
      <c r="AG165">
        <v>30550</v>
      </c>
      <c r="AH165" s="18">
        <f t="shared" si="4"/>
        <v>1</v>
      </c>
    </row>
    <row r="166" spans="4:34" x14ac:dyDescent="0.35">
      <c r="D166" t="s">
        <v>526</v>
      </c>
      <c r="E166" s="38">
        <v>46041</v>
      </c>
      <c r="F166" s="38">
        <v>46041</v>
      </c>
      <c r="G166" t="s">
        <v>93</v>
      </c>
      <c r="H166" t="s">
        <v>93</v>
      </c>
      <c r="I166">
        <v>17036.43</v>
      </c>
      <c r="J166">
        <v>1899.5619449999999</v>
      </c>
      <c r="K166">
        <v>1558.833345</v>
      </c>
      <c r="L166">
        <v>340.72860000000003</v>
      </c>
      <c r="P166"/>
      <c r="T166" t="s">
        <v>94</v>
      </c>
      <c r="U166" s="17" t="s">
        <v>95</v>
      </c>
      <c r="V166" t="s">
        <v>111</v>
      </c>
      <c r="Y166" t="s">
        <v>97</v>
      </c>
      <c r="Z166" s="27"/>
      <c r="AB166" s="18"/>
      <c r="AD166" t="s">
        <v>527</v>
      </c>
      <c r="AE166" t="s">
        <v>528</v>
      </c>
      <c r="AF166" t="s">
        <v>100</v>
      </c>
      <c r="AG166">
        <v>30560</v>
      </c>
      <c r="AH166" s="18">
        <f t="shared" si="4"/>
        <v>1</v>
      </c>
    </row>
    <row r="167" spans="4:34" x14ac:dyDescent="0.35">
      <c r="D167" t="s">
        <v>529</v>
      </c>
      <c r="E167" s="38">
        <v>46041</v>
      </c>
      <c r="F167" s="38">
        <v>46041</v>
      </c>
      <c r="G167" t="s">
        <v>93</v>
      </c>
      <c r="H167" t="s">
        <v>93</v>
      </c>
      <c r="I167">
        <v>28517.65</v>
      </c>
      <c r="J167">
        <v>3179.7179750000005</v>
      </c>
      <c r="K167">
        <v>2609.3649750000004</v>
      </c>
      <c r="L167">
        <v>570.35300000000007</v>
      </c>
      <c r="P167"/>
      <c r="T167" t="s">
        <v>94</v>
      </c>
      <c r="U167" s="17" t="s">
        <v>95</v>
      </c>
      <c r="V167" t="s">
        <v>111</v>
      </c>
      <c r="Y167" t="s">
        <v>97</v>
      </c>
      <c r="Z167" s="27"/>
      <c r="AB167" s="18"/>
      <c r="AD167" t="s">
        <v>530</v>
      </c>
      <c r="AE167" t="s">
        <v>531</v>
      </c>
      <c r="AF167" t="s">
        <v>100</v>
      </c>
      <c r="AG167">
        <v>30550</v>
      </c>
      <c r="AH167" s="18">
        <f t="shared" si="4"/>
        <v>1</v>
      </c>
    </row>
    <row r="168" spans="4:34" x14ac:dyDescent="0.35">
      <c r="D168" t="s">
        <v>532</v>
      </c>
      <c r="E168" s="38">
        <v>46041</v>
      </c>
      <c r="F168" s="38">
        <v>46041</v>
      </c>
      <c r="G168" t="s">
        <v>93</v>
      </c>
      <c r="H168" t="s">
        <v>93</v>
      </c>
      <c r="I168">
        <v>7462.48</v>
      </c>
      <c r="J168">
        <v>671.6232</v>
      </c>
      <c r="K168">
        <v>447.74879999999996</v>
      </c>
      <c r="L168">
        <v>223.87439999999998</v>
      </c>
      <c r="P168"/>
      <c r="T168" t="s">
        <v>94</v>
      </c>
      <c r="U168" s="17" t="s">
        <v>95</v>
      </c>
      <c r="V168" t="s">
        <v>106</v>
      </c>
      <c r="Y168" t="s">
        <v>97</v>
      </c>
      <c r="Z168" s="27"/>
      <c r="AB168" s="18"/>
      <c r="AD168" t="s">
        <v>533</v>
      </c>
      <c r="AE168" t="s">
        <v>534</v>
      </c>
      <c r="AF168" t="s">
        <v>109</v>
      </c>
      <c r="AG168">
        <v>30540</v>
      </c>
      <c r="AH168" s="18">
        <f t="shared" si="4"/>
        <v>1</v>
      </c>
    </row>
    <row r="169" spans="4:34" x14ac:dyDescent="0.35">
      <c r="D169" t="s">
        <v>535</v>
      </c>
      <c r="E169" s="38">
        <v>46041</v>
      </c>
      <c r="F169" s="38">
        <v>46041</v>
      </c>
      <c r="G169" t="s">
        <v>93</v>
      </c>
      <c r="H169" t="s">
        <v>93</v>
      </c>
      <c r="I169">
        <v>47745.29</v>
      </c>
      <c r="J169">
        <v>4774.5290000000005</v>
      </c>
      <c r="K169">
        <v>3819.6232</v>
      </c>
      <c r="L169">
        <v>954.9058</v>
      </c>
      <c r="P169"/>
      <c r="T169" t="s">
        <v>94</v>
      </c>
      <c r="U169" s="17" t="s">
        <v>95</v>
      </c>
      <c r="V169" t="s">
        <v>111</v>
      </c>
      <c r="Y169" t="s">
        <v>97</v>
      </c>
      <c r="Z169" s="27"/>
      <c r="AB169" s="18"/>
      <c r="AD169" t="s">
        <v>536</v>
      </c>
      <c r="AE169" t="s">
        <v>537</v>
      </c>
      <c r="AF169" t="s">
        <v>100</v>
      </c>
      <c r="AG169">
        <v>30550</v>
      </c>
      <c r="AH169" s="18">
        <f t="shared" ref="AH169:AH200" si="5">+MONTH(E169)</f>
        <v>1</v>
      </c>
    </row>
    <row r="170" spans="4:34" x14ac:dyDescent="0.35">
      <c r="D170" t="s">
        <v>538</v>
      </c>
      <c r="E170" s="38">
        <v>46041</v>
      </c>
      <c r="F170" s="38">
        <v>46041</v>
      </c>
      <c r="G170" t="s">
        <v>93</v>
      </c>
      <c r="H170" t="s">
        <v>93</v>
      </c>
      <c r="I170">
        <v>42864.59</v>
      </c>
      <c r="J170">
        <v>4286.4589999999998</v>
      </c>
      <c r="K170">
        <v>3429.1671999999999</v>
      </c>
      <c r="L170">
        <v>857.29179999999997</v>
      </c>
      <c r="P170"/>
      <c r="T170" t="s">
        <v>94</v>
      </c>
      <c r="U170" s="17" t="s">
        <v>95</v>
      </c>
      <c r="V170" t="s">
        <v>111</v>
      </c>
      <c r="Y170" t="s">
        <v>97</v>
      </c>
      <c r="Z170" s="27"/>
      <c r="AB170" s="18"/>
      <c r="AD170" t="s">
        <v>539</v>
      </c>
      <c r="AE170" t="s">
        <v>540</v>
      </c>
      <c r="AF170" t="s">
        <v>109</v>
      </c>
      <c r="AG170">
        <v>30550</v>
      </c>
      <c r="AH170" s="18">
        <f t="shared" si="5"/>
        <v>1</v>
      </c>
    </row>
    <row r="171" spans="4:34" x14ac:dyDescent="0.35">
      <c r="D171" t="s">
        <v>541</v>
      </c>
      <c r="E171" s="38">
        <v>46041</v>
      </c>
      <c r="F171" s="38">
        <v>46041</v>
      </c>
      <c r="G171" t="s">
        <v>93</v>
      </c>
      <c r="H171" t="s">
        <v>93</v>
      </c>
      <c r="I171">
        <v>2698.65</v>
      </c>
      <c r="J171">
        <v>323.83800000000002</v>
      </c>
      <c r="K171">
        <v>242.87850000000003</v>
      </c>
      <c r="L171">
        <v>80.959500000000006</v>
      </c>
      <c r="P171"/>
      <c r="T171" t="s">
        <v>94</v>
      </c>
      <c r="U171" s="17" t="s">
        <v>95</v>
      </c>
      <c r="V171" t="s">
        <v>106</v>
      </c>
      <c r="Y171" t="s">
        <v>97</v>
      </c>
      <c r="Z171" s="27"/>
      <c r="AB171" s="18"/>
      <c r="AD171" t="s">
        <v>542</v>
      </c>
      <c r="AE171" t="s">
        <v>543</v>
      </c>
      <c r="AF171" t="s">
        <v>109</v>
      </c>
      <c r="AG171">
        <v>30530</v>
      </c>
      <c r="AH171" s="18">
        <f t="shared" si="5"/>
        <v>1</v>
      </c>
    </row>
    <row r="172" spans="4:34" x14ac:dyDescent="0.35">
      <c r="D172" t="s">
        <v>544</v>
      </c>
      <c r="E172" s="38">
        <v>46042</v>
      </c>
      <c r="F172" s="38">
        <v>46042</v>
      </c>
      <c r="G172" t="s">
        <v>93</v>
      </c>
      <c r="H172" t="s">
        <v>93</v>
      </c>
      <c r="I172">
        <v>29272.98</v>
      </c>
      <c r="J172">
        <v>2634.5682000000002</v>
      </c>
      <c r="K172">
        <v>2049.1086</v>
      </c>
      <c r="L172">
        <v>585.45960000000002</v>
      </c>
      <c r="P172"/>
      <c r="T172" t="s">
        <v>94</v>
      </c>
      <c r="U172" s="17" t="s">
        <v>95</v>
      </c>
      <c r="V172" t="s">
        <v>111</v>
      </c>
      <c r="Y172" t="s">
        <v>97</v>
      </c>
      <c r="Z172" s="27"/>
      <c r="AB172" s="18"/>
      <c r="AD172" t="s">
        <v>545</v>
      </c>
      <c r="AE172" t="s">
        <v>546</v>
      </c>
      <c r="AF172" t="s">
        <v>100</v>
      </c>
      <c r="AG172">
        <v>28043</v>
      </c>
      <c r="AH172" s="18">
        <f t="shared" si="5"/>
        <v>1</v>
      </c>
    </row>
    <row r="173" spans="4:34" x14ac:dyDescent="0.35">
      <c r="D173" t="s">
        <v>547</v>
      </c>
      <c r="E173" s="38">
        <v>46042</v>
      </c>
      <c r="F173" s="38">
        <v>46042</v>
      </c>
      <c r="G173" t="s">
        <v>93</v>
      </c>
      <c r="H173" t="s">
        <v>93</v>
      </c>
      <c r="I173">
        <v>3667.07</v>
      </c>
      <c r="J173">
        <v>440.04840000000002</v>
      </c>
      <c r="K173">
        <v>330.03630000000004</v>
      </c>
      <c r="L173">
        <v>110.0121</v>
      </c>
      <c r="P173"/>
      <c r="T173" t="s">
        <v>94</v>
      </c>
      <c r="U173" s="17" t="s">
        <v>95</v>
      </c>
      <c r="V173" t="s">
        <v>106</v>
      </c>
      <c r="Y173" t="s">
        <v>97</v>
      </c>
      <c r="Z173" s="27"/>
      <c r="AB173" s="18"/>
      <c r="AD173" t="s">
        <v>548</v>
      </c>
      <c r="AE173" t="s">
        <v>549</v>
      </c>
      <c r="AF173" t="s">
        <v>109</v>
      </c>
      <c r="AG173">
        <v>30559</v>
      </c>
      <c r="AH173" s="18">
        <f t="shared" si="5"/>
        <v>1</v>
      </c>
    </row>
    <row r="174" spans="4:34" x14ac:dyDescent="0.35">
      <c r="D174" t="s">
        <v>550</v>
      </c>
      <c r="E174" s="38">
        <v>46042</v>
      </c>
      <c r="F174" s="38">
        <v>46042</v>
      </c>
      <c r="G174" t="s">
        <v>93</v>
      </c>
      <c r="H174" t="s">
        <v>93</v>
      </c>
      <c r="I174">
        <v>2550.27</v>
      </c>
      <c r="J174">
        <v>255.02700000000002</v>
      </c>
      <c r="K174">
        <v>204.02160000000001</v>
      </c>
      <c r="L174">
        <v>51.005400000000002</v>
      </c>
      <c r="P174"/>
      <c r="T174" t="s">
        <v>94</v>
      </c>
      <c r="U174" s="17" t="s">
        <v>95</v>
      </c>
      <c r="V174" t="s">
        <v>106</v>
      </c>
      <c r="Y174" t="s">
        <v>97</v>
      </c>
      <c r="Z174" s="27"/>
      <c r="AB174" s="18"/>
      <c r="AD174" t="s">
        <v>551</v>
      </c>
      <c r="AE174" t="s">
        <v>552</v>
      </c>
      <c r="AF174" t="s">
        <v>109</v>
      </c>
      <c r="AG174">
        <v>30609</v>
      </c>
      <c r="AH174" s="18">
        <f t="shared" si="5"/>
        <v>1</v>
      </c>
    </row>
    <row r="175" spans="4:34" x14ac:dyDescent="0.35">
      <c r="D175" t="s">
        <v>553</v>
      </c>
      <c r="E175" s="38">
        <v>46042</v>
      </c>
      <c r="F175" s="38">
        <v>46042</v>
      </c>
      <c r="G175" t="s">
        <v>93</v>
      </c>
      <c r="H175" t="s">
        <v>93</v>
      </c>
      <c r="I175">
        <v>1897.24</v>
      </c>
      <c r="J175">
        <v>227.6688</v>
      </c>
      <c r="K175">
        <v>170.7516</v>
      </c>
      <c r="L175">
        <v>56.917200000000001</v>
      </c>
      <c r="P175"/>
      <c r="T175" t="s">
        <v>94</v>
      </c>
      <c r="U175" s="17" t="s">
        <v>95</v>
      </c>
      <c r="V175" t="s">
        <v>106</v>
      </c>
      <c r="Y175" t="s">
        <v>97</v>
      </c>
      <c r="Z175" s="27"/>
      <c r="AB175" s="18"/>
      <c r="AD175" t="s">
        <v>554</v>
      </c>
      <c r="AE175" t="s">
        <v>555</v>
      </c>
      <c r="AF175" t="s">
        <v>109</v>
      </c>
      <c r="AG175">
        <v>30559</v>
      </c>
      <c r="AH175" s="18">
        <f t="shared" si="5"/>
        <v>1</v>
      </c>
    </row>
    <row r="176" spans="4:34" x14ac:dyDescent="0.35">
      <c r="D176" t="s">
        <v>556</v>
      </c>
      <c r="E176" s="38">
        <v>46042</v>
      </c>
      <c r="F176" s="38">
        <v>46042</v>
      </c>
      <c r="G176" t="s">
        <v>93</v>
      </c>
      <c r="H176" t="s">
        <v>93</v>
      </c>
      <c r="I176">
        <v>16008.48</v>
      </c>
      <c r="J176">
        <v>1600.848</v>
      </c>
      <c r="K176">
        <v>1280.6784</v>
      </c>
      <c r="L176">
        <v>320.1696</v>
      </c>
      <c r="P176"/>
      <c r="T176" t="s">
        <v>94</v>
      </c>
      <c r="U176" s="17" t="s">
        <v>95</v>
      </c>
      <c r="V176" t="s">
        <v>106</v>
      </c>
      <c r="Y176" t="s">
        <v>97</v>
      </c>
      <c r="Z176" s="27"/>
      <c r="AB176" s="18"/>
      <c r="AD176" t="s">
        <v>557</v>
      </c>
      <c r="AE176" t="s">
        <v>558</v>
      </c>
      <c r="AF176" t="s">
        <v>109</v>
      </c>
      <c r="AG176">
        <v>30500</v>
      </c>
      <c r="AH176" s="18">
        <f t="shared" si="5"/>
        <v>1</v>
      </c>
    </row>
    <row r="177" spans="4:34" x14ac:dyDescent="0.35">
      <c r="D177" t="s">
        <v>559</v>
      </c>
      <c r="E177" s="38">
        <v>46042</v>
      </c>
      <c r="F177" s="38">
        <v>46042</v>
      </c>
      <c r="G177" t="s">
        <v>93</v>
      </c>
      <c r="H177" t="s">
        <v>93</v>
      </c>
      <c r="I177">
        <v>769589.92</v>
      </c>
      <c r="J177">
        <f>K177+L177</f>
        <v>138526.1856</v>
      </c>
      <c r="K177">
        <v>115438.488</v>
      </c>
      <c r="L177">
        <v>23087.6976</v>
      </c>
      <c r="M177" s="17" t="s">
        <v>718</v>
      </c>
      <c r="P177" s="39">
        <v>130830.2956</v>
      </c>
      <c r="T177" t="s">
        <v>94</v>
      </c>
      <c r="U177" s="17" t="s">
        <v>95</v>
      </c>
      <c r="V177" t="s">
        <v>106</v>
      </c>
      <c r="Y177" t="s">
        <v>97</v>
      </c>
      <c r="Z177" s="27"/>
      <c r="AB177" s="18"/>
      <c r="AD177" t="s">
        <v>560</v>
      </c>
      <c r="AE177" t="s">
        <v>561</v>
      </c>
      <c r="AF177" t="s">
        <v>100</v>
      </c>
      <c r="AG177">
        <v>30840</v>
      </c>
      <c r="AH177" s="18">
        <f t="shared" si="5"/>
        <v>1</v>
      </c>
    </row>
    <row r="178" spans="4:34" x14ac:dyDescent="0.35">
      <c r="D178" t="s">
        <v>562</v>
      </c>
      <c r="E178" s="38">
        <v>46042</v>
      </c>
      <c r="F178" s="38">
        <v>46042</v>
      </c>
      <c r="G178" t="s">
        <v>93</v>
      </c>
      <c r="H178" t="s">
        <v>93</v>
      </c>
      <c r="I178">
        <v>287104.96000000002</v>
      </c>
      <c r="J178">
        <f>K178+L178</f>
        <v>66034.140800000008</v>
      </c>
      <c r="K178">
        <v>57420.992000000006</v>
      </c>
      <c r="L178">
        <v>8613.1488000000008</v>
      </c>
      <c r="M178" s="17" t="s">
        <v>718</v>
      </c>
      <c r="P178" s="39">
        <v>63163.090800000005</v>
      </c>
      <c r="T178" t="s">
        <v>94</v>
      </c>
      <c r="U178" s="17" t="s">
        <v>95</v>
      </c>
      <c r="V178" t="s">
        <v>106</v>
      </c>
      <c r="Y178" t="s">
        <v>97</v>
      </c>
      <c r="Z178" s="27"/>
      <c r="AB178" s="18"/>
      <c r="AD178" t="s">
        <v>563</v>
      </c>
      <c r="AE178" t="s">
        <v>564</v>
      </c>
      <c r="AF178" t="s">
        <v>100</v>
      </c>
      <c r="AG178">
        <v>30840</v>
      </c>
      <c r="AH178" s="18">
        <f t="shared" si="5"/>
        <v>1</v>
      </c>
    </row>
    <row r="179" spans="4:34" x14ac:dyDescent="0.35">
      <c r="D179" t="s">
        <v>565</v>
      </c>
      <c r="E179" s="38">
        <v>46042</v>
      </c>
      <c r="F179" s="38">
        <v>46042</v>
      </c>
      <c r="G179" t="s">
        <v>93</v>
      </c>
      <c r="H179" t="s">
        <v>93</v>
      </c>
      <c r="I179">
        <v>1494124.27</v>
      </c>
      <c r="J179">
        <f>K179+L179</f>
        <v>44823.7281</v>
      </c>
      <c r="K179">
        <v>0</v>
      </c>
      <c r="L179">
        <v>44823.7281</v>
      </c>
      <c r="M179" s="17" t="s">
        <v>718</v>
      </c>
      <c r="P179" s="39">
        <v>29882.488100000002</v>
      </c>
      <c r="T179" t="s">
        <v>94</v>
      </c>
      <c r="U179" s="17" t="s">
        <v>95</v>
      </c>
      <c r="V179" t="s">
        <v>106</v>
      </c>
      <c r="Y179" t="s">
        <v>97</v>
      </c>
      <c r="Z179" s="27"/>
      <c r="AB179" s="18"/>
      <c r="AD179" t="s">
        <v>566</v>
      </c>
      <c r="AE179" t="s">
        <v>567</v>
      </c>
      <c r="AF179" t="s">
        <v>100</v>
      </c>
      <c r="AG179">
        <v>30840</v>
      </c>
      <c r="AH179" s="18">
        <f t="shared" si="5"/>
        <v>1</v>
      </c>
    </row>
    <row r="180" spans="4:34" x14ac:dyDescent="0.35">
      <c r="D180" t="s">
        <v>568</v>
      </c>
      <c r="E180" s="38">
        <v>46042</v>
      </c>
      <c r="F180" s="38">
        <v>46042</v>
      </c>
      <c r="G180" t="s">
        <v>93</v>
      </c>
      <c r="H180" t="s">
        <v>93</v>
      </c>
      <c r="I180">
        <v>19654.61</v>
      </c>
      <c r="J180">
        <v>2358.5532000000003</v>
      </c>
      <c r="K180">
        <v>1965.461</v>
      </c>
      <c r="L180">
        <v>393.09220000000005</v>
      </c>
      <c r="P180"/>
      <c r="T180" t="s">
        <v>94</v>
      </c>
      <c r="U180" s="17" t="s">
        <v>95</v>
      </c>
      <c r="V180" t="s">
        <v>111</v>
      </c>
      <c r="Y180" t="s">
        <v>97</v>
      </c>
      <c r="Z180" s="27"/>
      <c r="AB180" s="18"/>
      <c r="AD180" t="s">
        <v>569</v>
      </c>
      <c r="AE180" t="s">
        <v>570</v>
      </c>
      <c r="AF180" t="s">
        <v>109</v>
      </c>
      <c r="AG180">
        <v>30627</v>
      </c>
      <c r="AH180" s="18">
        <f t="shared" si="5"/>
        <v>1</v>
      </c>
    </row>
    <row r="181" spans="4:34" x14ac:dyDescent="0.35">
      <c r="D181" t="s">
        <v>571</v>
      </c>
      <c r="E181" s="38">
        <v>46042</v>
      </c>
      <c r="F181" s="38">
        <v>46042</v>
      </c>
      <c r="G181" t="s">
        <v>93</v>
      </c>
      <c r="H181" t="s">
        <v>93</v>
      </c>
      <c r="I181">
        <v>97031.51</v>
      </c>
      <c r="J181">
        <f>K181+L181</f>
        <v>2910.9452999999999</v>
      </c>
      <c r="K181">
        <v>0</v>
      </c>
      <c r="L181">
        <v>2910.9452999999999</v>
      </c>
      <c r="M181" s="17" t="s">
        <v>718</v>
      </c>
      <c r="P181" s="39">
        <v>1940.6352999999999</v>
      </c>
      <c r="T181" t="s">
        <v>94</v>
      </c>
      <c r="U181" s="17" t="s">
        <v>95</v>
      </c>
      <c r="V181" t="s">
        <v>106</v>
      </c>
      <c r="Y181" t="s">
        <v>97</v>
      </c>
      <c r="Z181" s="27"/>
      <c r="AB181" s="18"/>
      <c r="AD181" t="s">
        <v>572</v>
      </c>
      <c r="AE181" t="s">
        <v>573</v>
      </c>
      <c r="AF181" t="s">
        <v>100</v>
      </c>
      <c r="AG181">
        <v>30840</v>
      </c>
      <c r="AH181" s="18">
        <f t="shared" si="5"/>
        <v>1</v>
      </c>
    </row>
    <row r="182" spans="4:34" x14ac:dyDescent="0.35">
      <c r="D182" t="s">
        <v>574</v>
      </c>
      <c r="E182" s="38">
        <v>46042</v>
      </c>
      <c r="F182" s="38">
        <v>46042</v>
      </c>
      <c r="G182" t="s">
        <v>93</v>
      </c>
      <c r="H182" t="s">
        <v>93</v>
      </c>
      <c r="I182">
        <v>341197.96</v>
      </c>
      <c r="J182">
        <f>K182+L182</f>
        <v>75063.551200000002</v>
      </c>
      <c r="K182">
        <v>64827.612400000005</v>
      </c>
      <c r="L182">
        <v>10235.9388</v>
      </c>
      <c r="M182" s="17" t="s">
        <v>718</v>
      </c>
      <c r="P182" s="39">
        <v>71651.581200000001</v>
      </c>
      <c r="T182" t="s">
        <v>94</v>
      </c>
      <c r="U182" s="17" t="s">
        <v>95</v>
      </c>
      <c r="V182" t="s">
        <v>106</v>
      </c>
      <c r="Y182" t="s">
        <v>97</v>
      </c>
      <c r="Z182" s="27"/>
      <c r="AB182" s="18"/>
      <c r="AD182" t="s">
        <v>563</v>
      </c>
      <c r="AE182" t="s">
        <v>575</v>
      </c>
      <c r="AF182" t="s">
        <v>100</v>
      </c>
      <c r="AG182">
        <v>30840</v>
      </c>
      <c r="AH182" s="18">
        <f t="shared" si="5"/>
        <v>1</v>
      </c>
    </row>
    <row r="183" spans="4:34" x14ac:dyDescent="0.35">
      <c r="D183" t="s">
        <v>576</v>
      </c>
      <c r="E183" s="38">
        <v>46042</v>
      </c>
      <c r="F183" s="38">
        <v>46042</v>
      </c>
      <c r="G183" t="s">
        <v>93</v>
      </c>
      <c r="H183" t="s">
        <v>93</v>
      </c>
      <c r="I183">
        <v>31482.23</v>
      </c>
      <c r="J183">
        <f>K183+L183</f>
        <v>3463.0452999999998</v>
      </c>
      <c r="K183">
        <v>2518.5783999999999</v>
      </c>
      <c r="L183">
        <v>944.4668999999999</v>
      </c>
      <c r="M183" s="17" t="s">
        <v>718</v>
      </c>
      <c r="P183" s="39">
        <v>3148.2252999999996</v>
      </c>
      <c r="T183" t="s">
        <v>94</v>
      </c>
      <c r="U183" s="17" t="s">
        <v>95</v>
      </c>
      <c r="V183" t="s">
        <v>106</v>
      </c>
      <c r="Y183" t="s">
        <v>97</v>
      </c>
      <c r="Z183" s="27"/>
      <c r="AB183" s="18"/>
      <c r="AD183" t="s">
        <v>577</v>
      </c>
      <c r="AE183" t="s">
        <v>578</v>
      </c>
      <c r="AF183" t="s">
        <v>100</v>
      </c>
      <c r="AG183">
        <v>30840</v>
      </c>
      <c r="AH183" s="18">
        <f t="shared" si="5"/>
        <v>1</v>
      </c>
    </row>
    <row r="184" spans="4:34" x14ac:dyDescent="0.35">
      <c r="D184" t="s">
        <v>579</v>
      </c>
      <c r="E184" s="38">
        <v>46044</v>
      </c>
      <c r="F184" s="38">
        <v>46044</v>
      </c>
      <c r="G184" t="s">
        <v>93</v>
      </c>
      <c r="H184" t="s">
        <v>93</v>
      </c>
      <c r="I184">
        <v>5321.27</v>
      </c>
      <c r="J184">
        <v>585.33969999999999</v>
      </c>
      <c r="K184">
        <v>425.70160000000004</v>
      </c>
      <c r="L184">
        <v>159.63810000000001</v>
      </c>
      <c r="P184"/>
      <c r="T184" t="s">
        <v>94</v>
      </c>
      <c r="U184" s="17" t="s">
        <v>95</v>
      </c>
      <c r="V184" t="s">
        <v>106</v>
      </c>
      <c r="Y184" t="s">
        <v>97</v>
      </c>
      <c r="Z184" s="27"/>
      <c r="AB184" s="18"/>
      <c r="AD184" t="s">
        <v>580</v>
      </c>
      <c r="AE184" t="s">
        <v>581</v>
      </c>
      <c r="AF184" t="s">
        <v>109</v>
      </c>
      <c r="AG184">
        <v>30550</v>
      </c>
      <c r="AH184" s="18">
        <f t="shared" si="5"/>
        <v>1</v>
      </c>
    </row>
    <row r="185" spans="4:34" x14ac:dyDescent="0.35">
      <c r="D185" t="s">
        <v>582</v>
      </c>
      <c r="E185" s="38">
        <v>46044</v>
      </c>
      <c r="F185" s="38">
        <v>46044</v>
      </c>
      <c r="G185" t="s">
        <v>93</v>
      </c>
      <c r="H185" t="s">
        <v>93</v>
      </c>
      <c r="I185">
        <v>9046.2900000000009</v>
      </c>
      <c r="J185">
        <v>633.24030000000005</v>
      </c>
      <c r="K185">
        <v>361.85160000000002</v>
      </c>
      <c r="L185">
        <v>271.38870000000003</v>
      </c>
      <c r="P185"/>
      <c r="T185" t="s">
        <v>94</v>
      </c>
      <c r="U185" s="17" t="s">
        <v>95</v>
      </c>
      <c r="V185" t="s">
        <v>106</v>
      </c>
      <c r="Y185" t="s">
        <v>97</v>
      </c>
      <c r="Z185" s="27"/>
      <c r="AB185" s="18"/>
      <c r="AD185" t="s">
        <v>583</v>
      </c>
      <c r="AE185" t="s">
        <v>584</v>
      </c>
      <c r="AF185" t="s">
        <v>109</v>
      </c>
      <c r="AG185">
        <v>31180</v>
      </c>
      <c r="AH185" s="18">
        <f t="shared" si="5"/>
        <v>1</v>
      </c>
    </row>
    <row r="186" spans="4:34" x14ac:dyDescent="0.35">
      <c r="D186" t="s">
        <v>585</v>
      </c>
      <c r="E186" s="38">
        <v>46044</v>
      </c>
      <c r="F186" s="38">
        <v>46044</v>
      </c>
      <c r="G186" t="s">
        <v>93</v>
      </c>
      <c r="H186" t="s">
        <v>93</v>
      </c>
      <c r="I186">
        <v>8386.11</v>
      </c>
      <c r="J186">
        <v>587.0277000000001</v>
      </c>
      <c r="K186">
        <v>419.30550000000005</v>
      </c>
      <c r="L186">
        <v>167.72220000000002</v>
      </c>
      <c r="P186"/>
      <c r="T186" t="s">
        <v>94</v>
      </c>
      <c r="U186" s="17" t="s">
        <v>95</v>
      </c>
      <c r="V186" t="s">
        <v>111</v>
      </c>
      <c r="Y186" t="s">
        <v>97</v>
      </c>
      <c r="Z186" s="27"/>
      <c r="AB186" s="18"/>
      <c r="AD186" t="s">
        <v>586</v>
      </c>
      <c r="AE186" t="s">
        <v>587</v>
      </c>
      <c r="AF186" t="s">
        <v>109</v>
      </c>
      <c r="AG186">
        <v>30550</v>
      </c>
      <c r="AH186" s="18">
        <f t="shared" si="5"/>
        <v>1</v>
      </c>
    </row>
    <row r="187" spans="4:34" x14ac:dyDescent="0.35">
      <c r="D187" t="s">
        <v>588</v>
      </c>
      <c r="E187" s="38">
        <v>46044</v>
      </c>
      <c r="F187" s="38">
        <v>46044</v>
      </c>
      <c r="G187" t="s">
        <v>93</v>
      </c>
      <c r="H187" t="s">
        <v>93</v>
      </c>
      <c r="I187">
        <v>39246.47</v>
      </c>
      <c r="J187">
        <v>3139.7175999999999</v>
      </c>
      <c r="K187">
        <v>2354.7882</v>
      </c>
      <c r="L187">
        <v>784.92939999999999</v>
      </c>
      <c r="P187"/>
      <c r="T187" t="s">
        <v>94</v>
      </c>
      <c r="U187" s="17" t="s">
        <v>95</v>
      </c>
      <c r="V187" t="s">
        <v>111</v>
      </c>
      <c r="Y187" t="s">
        <v>97</v>
      </c>
      <c r="Z187" s="27"/>
      <c r="AB187" s="18"/>
      <c r="AD187" t="s">
        <v>589</v>
      </c>
      <c r="AE187" t="s">
        <v>590</v>
      </c>
      <c r="AF187" t="s">
        <v>100</v>
      </c>
      <c r="AG187">
        <v>30550</v>
      </c>
      <c r="AH187" s="18">
        <f t="shared" si="5"/>
        <v>1</v>
      </c>
    </row>
    <row r="188" spans="4:34" x14ac:dyDescent="0.35">
      <c r="D188" t="s">
        <v>591</v>
      </c>
      <c r="E188" s="38">
        <v>46044</v>
      </c>
      <c r="F188" s="38">
        <v>46044</v>
      </c>
      <c r="G188" t="s">
        <v>93</v>
      </c>
      <c r="H188" t="s">
        <v>93</v>
      </c>
      <c r="I188">
        <v>60628.32</v>
      </c>
      <c r="J188">
        <v>7275.3983999999991</v>
      </c>
      <c r="K188">
        <v>6062.8319999999994</v>
      </c>
      <c r="L188">
        <v>1212.5663999999999</v>
      </c>
      <c r="P188"/>
      <c r="T188" t="s">
        <v>94</v>
      </c>
      <c r="U188" s="17" t="s">
        <v>95</v>
      </c>
      <c r="V188" t="s">
        <v>106</v>
      </c>
      <c r="Y188" t="s">
        <v>97</v>
      </c>
      <c r="Z188" s="27"/>
      <c r="AB188" s="18"/>
      <c r="AD188" t="s">
        <v>592</v>
      </c>
      <c r="AE188" t="s">
        <v>593</v>
      </c>
      <c r="AF188" t="s">
        <v>109</v>
      </c>
      <c r="AG188">
        <v>30550</v>
      </c>
      <c r="AH188" s="18">
        <f t="shared" si="5"/>
        <v>1</v>
      </c>
    </row>
    <row r="189" spans="4:34" x14ac:dyDescent="0.35">
      <c r="D189" t="s">
        <v>594</v>
      </c>
      <c r="E189" s="38">
        <v>46044</v>
      </c>
      <c r="F189" s="38">
        <v>46044</v>
      </c>
      <c r="G189" t="s">
        <v>93</v>
      </c>
      <c r="H189" t="s">
        <v>93</v>
      </c>
      <c r="I189">
        <v>48204.32</v>
      </c>
      <c r="J189">
        <v>4820.4319999999998</v>
      </c>
      <c r="K189">
        <v>3856.3456000000001</v>
      </c>
      <c r="L189">
        <v>964.08640000000003</v>
      </c>
      <c r="P189"/>
      <c r="T189" t="s">
        <v>94</v>
      </c>
      <c r="U189" s="17" t="s">
        <v>95</v>
      </c>
      <c r="V189" t="s">
        <v>106</v>
      </c>
      <c r="Y189" t="s">
        <v>97</v>
      </c>
      <c r="Z189" s="27"/>
      <c r="AB189" s="18"/>
      <c r="AD189" t="s">
        <v>595</v>
      </c>
      <c r="AE189" t="s">
        <v>596</v>
      </c>
      <c r="AF189" t="s">
        <v>100</v>
      </c>
      <c r="AG189">
        <v>30559</v>
      </c>
      <c r="AH189" s="18">
        <f t="shared" si="5"/>
        <v>1</v>
      </c>
    </row>
    <row r="190" spans="4:34" x14ac:dyDescent="0.35">
      <c r="D190" t="s">
        <v>597</v>
      </c>
      <c r="E190" s="38">
        <v>46044</v>
      </c>
      <c r="F190" s="38">
        <v>46044</v>
      </c>
      <c r="G190" t="s">
        <v>93</v>
      </c>
      <c r="H190" t="s">
        <v>93</v>
      </c>
      <c r="I190">
        <v>23380.69</v>
      </c>
      <c r="J190">
        <v>2338.069</v>
      </c>
      <c r="K190">
        <v>1870.4551999999999</v>
      </c>
      <c r="L190">
        <v>467.61379999999997</v>
      </c>
      <c r="P190"/>
      <c r="T190" t="s">
        <v>94</v>
      </c>
      <c r="U190" s="17" t="s">
        <v>95</v>
      </c>
      <c r="V190" t="s">
        <v>106</v>
      </c>
      <c r="Y190" t="s">
        <v>97</v>
      </c>
      <c r="Z190" s="27"/>
      <c r="AB190" s="18"/>
      <c r="AD190" t="s">
        <v>598</v>
      </c>
      <c r="AE190" t="s">
        <v>599</v>
      </c>
      <c r="AF190" t="s">
        <v>109</v>
      </c>
      <c r="AG190">
        <v>30550</v>
      </c>
      <c r="AH190" s="18">
        <f t="shared" si="5"/>
        <v>1</v>
      </c>
    </row>
    <row r="191" spans="4:34" x14ac:dyDescent="0.35">
      <c r="D191" t="s">
        <v>600</v>
      </c>
      <c r="E191" s="38">
        <v>46044</v>
      </c>
      <c r="F191" s="38">
        <v>46044</v>
      </c>
      <c r="G191" t="s">
        <v>93</v>
      </c>
      <c r="H191" t="s">
        <v>93</v>
      </c>
      <c r="I191">
        <v>33394.769999999997</v>
      </c>
      <c r="J191">
        <v>3339.4769999999994</v>
      </c>
      <c r="K191">
        <v>2671.5815999999995</v>
      </c>
      <c r="L191">
        <v>667.8954</v>
      </c>
      <c r="P191"/>
      <c r="T191" t="s">
        <v>94</v>
      </c>
      <c r="U191" s="17" t="s">
        <v>95</v>
      </c>
      <c r="V191" t="s">
        <v>106</v>
      </c>
      <c r="Y191" t="s">
        <v>97</v>
      </c>
      <c r="Z191" s="27"/>
      <c r="AB191" s="18"/>
      <c r="AD191" t="s">
        <v>601</v>
      </c>
      <c r="AE191" t="s">
        <v>602</v>
      </c>
      <c r="AF191" t="s">
        <v>109</v>
      </c>
      <c r="AG191">
        <v>30550</v>
      </c>
      <c r="AH191" s="18">
        <f t="shared" si="5"/>
        <v>1</v>
      </c>
    </row>
    <row r="192" spans="4:34" x14ac:dyDescent="0.35">
      <c r="D192" t="s">
        <v>603</v>
      </c>
      <c r="E192" s="38">
        <v>46044</v>
      </c>
      <c r="F192" s="38">
        <v>46044</v>
      </c>
      <c r="G192" t="s">
        <v>93</v>
      </c>
      <c r="H192" t="s">
        <v>93</v>
      </c>
      <c r="I192">
        <v>53763.05</v>
      </c>
      <c r="J192">
        <v>8602.0880000000016</v>
      </c>
      <c r="K192">
        <v>7526.8270000000011</v>
      </c>
      <c r="L192">
        <v>1075.261</v>
      </c>
      <c r="P192"/>
      <c r="T192" t="s">
        <v>94</v>
      </c>
      <c r="U192" s="17" t="s">
        <v>95</v>
      </c>
      <c r="V192" t="s">
        <v>106</v>
      </c>
      <c r="Y192" t="s">
        <v>97</v>
      </c>
      <c r="Z192" s="27"/>
      <c r="AB192" s="18"/>
      <c r="AD192" t="s">
        <v>604</v>
      </c>
      <c r="AE192" t="s">
        <v>605</v>
      </c>
      <c r="AF192" t="s">
        <v>109</v>
      </c>
      <c r="AG192">
        <v>30550</v>
      </c>
      <c r="AH192" s="18">
        <f t="shared" si="5"/>
        <v>1</v>
      </c>
    </row>
    <row r="193" spans="4:34" x14ac:dyDescent="0.35">
      <c r="D193" t="s">
        <v>606</v>
      </c>
      <c r="E193" s="38">
        <v>46044</v>
      </c>
      <c r="F193" s="38">
        <v>46044</v>
      </c>
      <c r="G193" t="s">
        <v>93</v>
      </c>
      <c r="H193" t="s">
        <v>93</v>
      </c>
      <c r="I193">
        <v>9713.36</v>
      </c>
      <c r="J193">
        <v>1554.1376</v>
      </c>
      <c r="K193">
        <v>1359.8704</v>
      </c>
      <c r="L193">
        <v>194.2672</v>
      </c>
      <c r="P193"/>
      <c r="T193" t="s">
        <v>94</v>
      </c>
      <c r="U193" s="17" t="s">
        <v>95</v>
      </c>
      <c r="V193" t="s">
        <v>106</v>
      </c>
      <c r="Y193" t="s">
        <v>97</v>
      </c>
      <c r="Z193" s="27"/>
      <c r="AB193" s="18"/>
      <c r="AD193" t="s">
        <v>607</v>
      </c>
      <c r="AE193" t="s">
        <v>608</v>
      </c>
      <c r="AF193" t="s">
        <v>100</v>
      </c>
      <c r="AG193">
        <v>30550</v>
      </c>
      <c r="AH193" s="18">
        <f t="shared" si="5"/>
        <v>1</v>
      </c>
    </row>
    <row r="194" spans="4:34" x14ac:dyDescent="0.35">
      <c r="D194" t="s">
        <v>609</v>
      </c>
      <c r="E194" s="38">
        <v>46044</v>
      </c>
      <c r="F194" s="38">
        <v>46044</v>
      </c>
      <c r="G194" t="s">
        <v>93</v>
      </c>
      <c r="H194" t="s">
        <v>93</v>
      </c>
      <c r="I194">
        <v>12205.62</v>
      </c>
      <c r="J194">
        <v>1220.5620000000001</v>
      </c>
      <c r="K194">
        <v>976.44960000000003</v>
      </c>
      <c r="L194">
        <v>244.11240000000001</v>
      </c>
      <c r="P194"/>
      <c r="T194" t="s">
        <v>94</v>
      </c>
      <c r="U194" s="17" t="s">
        <v>95</v>
      </c>
      <c r="V194" t="s">
        <v>106</v>
      </c>
      <c r="Y194" t="s">
        <v>97</v>
      </c>
      <c r="Z194" s="27"/>
      <c r="AB194" s="18"/>
      <c r="AD194" t="s">
        <v>610</v>
      </c>
      <c r="AE194" t="s">
        <v>611</v>
      </c>
      <c r="AF194" t="s">
        <v>109</v>
      </c>
      <c r="AG194">
        <v>30550</v>
      </c>
      <c r="AH194" s="18">
        <f t="shared" si="5"/>
        <v>1</v>
      </c>
    </row>
    <row r="195" spans="4:34" x14ac:dyDescent="0.35">
      <c r="D195" t="s">
        <v>612</v>
      </c>
      <c r="E195" s="38">
        <v>46044</v>
      </c>
      <c r="F195" s="38">
        <v>46044</v>
      </c>
      <c r="G195" t="s">
        <v>93</v>
      </c>
      <c r="H195" t="s">
        <v>93</v>
      </c>
      <c r="I195">
        <v>22151.33</v>
      </c>
      <c r="J195">
        <v>2768.9162500000002</v>
      </c>
      <c r="K195">
        <v>2325.8896500000001</v>
      </c>
      <c r="L195">
        <v>443.02660000000003</v>
      </c>
      <c r="P195"/>
      <c r="T195" t="s">
        <v>94</v>
      </c>
      <c r="U195" s="17" t="s">
        <v>95</v>
      </c>
      <c r="V195" t="s">
        <v>106</v>
      </c>
      <c r="Y195" t="s">
        <v>97</v>
      </c>
      <c r="Z195" s="27"/>
      <c r="AB195" s="18"/>
      <c r="AD195" t="s">
        <v>613</v>
      </c>
      <c r="AE195" t="s">
        <v>614</v>
      </c>
      <c r="AF195" t="s">
        <v>100</v>
      </c>
      <c r="AG195">
        <v>30550</v>
      </c>
      <c r="AH195" s="18">
        <f t="shared" si="5"/>
        <v>1</v>
      </c>
    </row>
    <row r="196" spans="4:34" x14ac:dyDescent="0.35">
      <c r="D196" t="s">
        <v>615</v>
      </c>
      <c r="E196" s="38">
        <v>46044</v>
      </c>
      <c r="F196" s="38">
        <v>46044</v>
      </c>
      <c r="G196" t="s">
        <v>93</v>
      </c>
      <c r="H196" t="s">
        <v>93</v>
      </c>
      <c r="I196">
        <v>2950.41</v>
      </c>
      <c r="J196">
        <v>295.041</v>
      </c>
      <c r="K196">
        <v>236.03279999999998</v>
      </c>
      <c r="L196">
        <v>59.008199999999995</v>
      </c>
      <c r="P196"/>
      <c r="T196" t="s">
        <v>94</v>
      </c>
      <c r="U196" s="17" t="s">
        <v>95</v>
      </c>
      <c r="V196" t="s">
        <v>106</v>
      </c>
      <c r="Y196" t="s">
        <v>97</v>
      </c>
      <c r="Z196" s="27"/>
      <c r="AB196" s="18"/>
      <c r="AD196" t="s">
        <v>616</v>
      </c>
      <c r="AE196" t="s">
        <v>617</v>
      </c>
      <c r="AF196" t="s">
        <v>109</v>
      </c>
      <c r="AG196">
        <v>30110</v>
      </c>
      <c r="AH196" s="18">
        <f t="shared" si="5"/>
        <v>1</v>
      </c>
    </row>
    <row r="197" spans="4:34" x14ac:dyDescent="0.35">
      <c r="D197" t="s">
        <v>618</v>
      </c>
      <c r="E197" s="38">
        <v>46044</v>
      </c>
      <c r="F197" s="38">
        <v>46044</v>
      </c>
      <c r="G197" t="s">
        <v>93</v>
      </c>
      <c r="H197" t="s">
        <v>93</v>
      </c>
      <c r="I197">
        <v>46016</v>
      </c>
      <c r="J197">
        <v>5061.76</v>
      </c>
      <c r="K197">
        <v>3681.28</v>
      </c>
      <c r="L197">
        <v>1380.48</v>
      </c>
      <c r="P197"/>
      <c r="T197" t="s">
        <v>94</v>
      </c>
      <c r="U197" s="17" t="s">
        <v>95</v>
      </c>
      <c r="V197" t="s">
        <v>106</v>
      </c>
      <c r="Y197" t="s">
        <v>97</v>
      </c>
      <c r="Z197" s="27"/>
      <c r="AB197" s="18"/>
      <c r="AD197" t="s">
        <v>619</v>
      </c>
      <c r="AE197" t="s">
        <v>620</v>
      </c>
      <c r="AF197" t="s">
        <v>100</v>
      </c>
      <c r="AG197">
        <v>30170</v>
      </c>
      <c r="AH197" s="18">
        <f t="shared" si="5"/>
        <v>1</v>
      </c>
    </row>
    <row r="198" spans="4:34" x14ac:dyDescent="0.35">
      <c r="D198" t="s">
        <v>621</v>
      </c>
      <c r="E198" s="38">
        <v>46044</v>
      </c>
      <c r="F198" s="38">
        <v>46044</v>
      </c>
      <c r="G198" t="s">
        <v>93</v>
      </c>
      <c r="H198" t="s">
        <v>93</v>
      </c>
      <c r="I198">
        <v>43663.32</v>
      </c>
      <c r="J198">
        <v>5239.5983999999999</v>
      </c>
      <c r="K198">
        <v>3929.6988000000001</v>
      </c>
      <c r="L198">
        <v>1309.8996</v>
      </c>
      <c r="P198"/>
      <c r="T198" t="s">
        <v>94</v>
      </c>
      <c r="U198" s="17" t="s">
        <v>95</v>
      </c>
      <c r="V198" t="s">
        <v>111</v>
      </c>
      <c r="Y198" t="s">
        <v>97</v>
      </c>
      <c r="Z198" s="27"/>
      <c r="AB198" s="18"/>
      <c r="AD198" t="s">
        <v>622</v>
      </c>
      <c r="AE198" t="s">
        <v>623</v>
      </c>
      <c r="AF198" t="s">
        <v>100</v>
      </c>
      <c r="AG198">
        <v>30550</v>
      </c>
      <c r="AH198" s="18">
        <f t="shared" si="5"/>
        <v>1</v>
      </c>
    </row>
    <row r="199" spans="4:34" x14ac:dyDescent="0.35">
      <c r="D199" t="s">
        <v>624</v>
      </c>
      <c r="E199" s="38">
        <v>46045</v>
      </c>
      <c r="F199" s="38">
        <v>46045</v>
      </c>
      <c r="G199" t="s">
        <v>93</v>
      </c>
      <c r="H199" t="s">
        <v>93</v>
      </c>
      <c r="I199">
        <v>6881.37</v>
      </c>
      <c r="J199">
        <v>756.95069999999998</v>
      </c>
      <c r="K199">
        <v>550.50959999999998</v>
      </c>
      <c r="L199">
        <v>206.44109999999998</v>
      </c>
      <c r="P199"/>
      <c r="T199" t="s">
        <v>94</v>
      </c>
      <c r="U199" s="17" t="s">
        <v>95</v>
      </c>
      <c r="V199" t="s">
        <v>106</v>
      </c>
      <c r="Y199" t="s">
        <v>97</v>
      </c>
      <c r="Z199" s="27"/>
      <c r="AB199" s="18"/>
      <c r="AD199" t="s">
        <v>625</v>
      </c>
      <c r="AE199" t="s">
        <v>626</v>
      </c>
      <c r="AF199" t="s">
        <v>109</v>
      </c>
      <c r="AG199">
        <v>30877</v>
      </c>
      <c r="AH199" s="18">
        <f t="shared" si="5"/>
        <v>1</v>
      </c>
    </row>
    <row r="200" spans="4:34" x14ac:dyDescent="0.35">
      <c r="D200" t="s">
        <v>627</v>
      </c>
      <c r="E200" s="38">
        <v>46045</v>
      </c>
      <c r="F200" s="38">
        <v>46045</v>
      </c>
      <c r="G200" t="s">
        <v>93</v>
      </c>
      <c r="H200" t="s">
        <v>93</v>
      </c>
      <c r="I200">
        <v>9003.65</v>
      </c>
      <c r="J200">
        <v>990.40149999999994</v>
      </c>
      <c r="K200">
        <v>720.29199999999992</v>
      </c>
      <c r="L200">
        <v>270.10949999999997</v>
      </c>
      <c r="P200"/>
      <c r="T200" t="s">
        <v>94</v>
      </c>
      <c r="U200" s="17" t="s">
        <v>95</v>
      </c>
      <c r="V200" t="s">
        <v>106</v>
      </c>
      <c r="Y200" t="s">
        <v>97</v>
      </c>
      <c r="Z200" s="27"/>
      <c r="AB200" s="18"/>
      <c r="AD200" t="s">
        <v>628</v>
      </c>
      <c r="AE200" t="s">
        <v>629</v>
      </c>
      <c r="AF200" t="s">
        <v>109</v>
      </c>
      <c r="AG200">
        <v>30550</v>
      </c>
      <c r="AH200" s="18">
        <f t="shared" si="5"/>
        <v>1</v>
      </c>
    </row>
    <row r="201" spans="4:34" x14ac:dyDescent="0.35">
      <c r="D201" t="s">
        <v>630</v>
      </c>
      <c r="E201" s="38">
        <v>46045</v>
      </c>
      <c r="F201" s="38">
        <v>46045</v>
      </c>
      <c r="G201" t="s">
        <v>93</v>
      </c>
      <c r="H201" t="s">
        <v>93</v>
      </c>
      <c r="I201">
        <v>18305.64</v>
      </c>
      <c r="J201">
        <v>2013.6203999999998</v>
      </c>
      <c r="K201">
        <v>1464.4512</v>
      </c>
      <c r="L201">
        <v>549.16919999999993</v>
      </c>
      <c r="P201"/>
      <c r="T201" t="s">
        <v>94</v>
      </c>
      <c r="U201" s="17" t="s">
        <v>95</v>
      </c>
      <c r="V201" t="s">
        <v>106</v>
      </c>
      <c r="Y201" t="s">
        <v>97</v>
      </c>
      <c r="Z201" s="27"/>
      <c r="AB201" s="18"/>
      <c r="AD201" t="s">
        <v>631</v>
      </c>
      <c r="AE201" t="s">
        <v>632</v>
      </c>
      <c r="AF201" t="s">
        <v>100</v>
      </c>
      <c r="AG201">
        <v>30550</v>
      </c>
      <c r="AH201" s="18">
        <f t="shared" ref="AH201:AH218" si="6">+MONTH(E201)</f>
        <v>1</v>
      </c>
    </row>
    <row r="202" spans="4:34" x14ac:dyDescent="0.35">
      <c r="D202" t="s">
        <v>633</v>
      </c>
      <c r="E202" s="38">
        <v>46045</v>
      </c>
      <c r="F202" s="38">
        <v>46045</v>
      </c>
      <c r="G202" t="s">
        <v>93</v>
      </c>
      <c r="H202" t="s">
        <v>93</v>
      </c>
      <c r="I202">
        <v>9281.7099999999991</v>
      </c>
      <c r="J202">
        <v>1020.9880999999999</v>
      </c>
      <c r="K202">
        <v>742.53679999999997</v>
      </c>
      <c r="L202">
        <v>278.45129999999995</v>
      </c>
      <c r="P202"/>
      <c r="T202" t="s">
        <v>94</v>
      </c>
      <c r="U202" s="17" t="s">
        <v>95</v>
      </c>
      <c r="V202" t="s">
        <v>106</v>
      </c>
      <c r="Y202" t="s">
        <v>97</v>
      </c>
      <c r="Z202" s="27"/>
      <c r="AB202" s="18"/>
      <c r="AD202" t="s">
        <v>634</v>
      </c>
      <c r="AE202" t="s">
        <v>635</v>
      </c>
      <c r="AF202" t="s">
        <v>109</v>
      </c>
      <c r="AG202">
        <v>30550</v>
      </c>
      <c r="AH202" s="18">
        <f t="shared" si="6"/>
        <v>1</v>
      </c>
    </row>
    <row r="203" spans="4:34" x14ac:dyDescent="0.35">
      <c r="D203" t="s">
        <v>636</v>
      </c>
      <c r="E203" s="38">
        <v>46045</v>
      </c>
      <c r="F203" s="38">
        <v>46045</v>
      </c>
      <c r="G203" t="s">
        <v>93</v>
      </c>
      <c r="H203" t="s">
        <v>93</v>
      </c>
      <c r="I203">
        <v>511.23</v>
      </c>
      <c r="J203">
        <v>30.6738</v>
      </c>
      <c r="K203">
        <v>20.449200000000001</v>
      </c>
      <c r="L203">
        <v>10.224600000000001</v>
      </c>
      <c r="P203"/>
      <c r="T203" t="s">
        <v>94</v>
      </c>
      <c r="U203" s="17" t="s">
        <v>95</v>
      </c>
      <c r="V203" t="s">
        <v>96</v>
      </c>
      <c r="Y203" t="s">
        <v>97</v>
      </c>
      <c r="Z203" s="27"/>
      <c r="AB203" s="18"/>
      <c r="AD203" t="s">
        <v>102</v>
      </c>
      <c r="AE203" t="s">
        <v>103</v>
      </c>
      <c r="AF203" t="s">
        <v>100</v>
      </c>
      <c r="AG203">
        <v>31320</v>
      </c>
      <c r="AH203" s="18">
        <f t="shared" si="6"/>
        <v>1</v>
      </c>
    </row>
    <row r="204" spans="4:34" x14ac:dyDescent="0.35">
      <c r="D204" t="s">
        <v>637</v>
      </c>
      <c r="E204" s="38">
        <v>46045</v>
      </c>
      <c r="F204" s="38">
        <v>46045</v>
      </c>
      <c r="G204" t="s">
        <v>93</v>
      </c>
      <c r="H204" t="s">
        <v>93</v>
      </c>
      <c r="I204">
        <v>3628.99</v>
      </c>
      <c r="J204">
        <v>217.73939999999999</v>
      </c>
      <c r="K204">
        <v>145.15959999999998</v>
      </c>
      <c r="L204">
        <v>72.579799999999992</v>
      </c>
      <c r="P204"/>
      <c r="T204" t="s">
        <v>94</v>
      </c>
      <c r="U204" s="17" t="s">
        <v>95</v>
      </c>
      <c r="V204" t="s">
        <v>96</v>
      </c>
      <c r="Y204" t="s">
        <v>97</v>
      </c>
      <c r="Z204" s="27"/>
      <c r="AB204" s="18"/>
      <c r="AD204" t="s">
        <v>102</v>
      </c>
      <c r="AE204" t="s">
        <v>103</v>
      </c>
      <c r="AF204" t="s">
        <v>100</v>
      </c>
      <c r="AG204">
        <v>31320</v>
      </c>
      <c r="AH204" s="18">
        <f t="shared" si="6"/>
        <v>1</v>
      </c>
    </row>
    <row r="205" spans="4:34" x14ac:dyDescent="0.35">
      <c r="D205" t="s">
        <v>638</v>
      </c>
      <c r="E205" s="38">
        <v>46045</v>
      </c>
      <c r="F205" s="38">
        <v>46045</v>
      </c>
      <c r="G205" t="s">
        <v>93</v>
      </c>
      <c r="H205" t="s">
        <v>93</v>
      </c>
      <c r="I205">
        <v>7517.07</v>
      </c>
      <c r="J205">
        <v>1127.5605</v>
      </c>
      <c r="K205">
        <v>902.04840000000002</v>
      </c>
      <c r="L205">
        <v>225.51209999999998</v>
      </c>
      <c r="P205"/>
      <c r="T205" t="s">
        <v>94</v>
      </c>
      <c r="U205" s="17" t="s">
        <v>95</v>
      </c>
      <c r="V205" t="s">
        <v>106</v>
      </c>
      <c r="Y205" t="s">
        <v>97</v>
      </c>
      <c r="Z205" s="27"/>
      <c r="AB205" s="18"/>
      <c r="AD205" t="s">
        <v>639</v>
      </c>
      <c r="AE205" t="s">
        <v>640</v>
      </c>
      <c r="AF205" t="s">
        <v>109</v>
      </c>
      <c r="AG205">
        <v>30550</v>
      </c>
      <c r="AH205" s="18">
        <f t="shared" si="6"/>
        <v>1</v>
      </c>
    </row>
    <row r="206" spans="4:34" x14ac:dyDescent="0.35">
      <c r="D206" t="s">
        <v>641</v>
      </c>
      <c r="E206" s="38">
        <v>46048</v>
      </c>
      <c r="F206" s="38">
        <v>46048</v>
      </c>
      <c r="G206" t="s">
        <v>93</v>
      </c>
      <c r="H206" t="s">
        <v>93</v>
      </c>
      <c r="I206">
        <v>14576.02</v>
      </c>
      <c r="J206">
        <v>1457.6019999999999</v>
      </c>
      <c r="K206">
        <v>1166.0816</v>
      </c>
      <c r="L206">
        <v>291.5204</v>
      </c>
      <c r="P206"/>
      <c r="T206" t="s">
        <v>94</v>
      </c>
      <c r="U206" s="17" t="s">
        <v>95</v>
      </c>
      <c r="V206" t="s">
        <v>96</v>
      </c>
      <c r="Y206" t="s">
        <v>97</v>
      </c>
      <c r="Z206" s="27"/>
      <c r="AB206" s="18"/>
      <c r="AD206" t="s">
        <v>98</v>
      </c>
      <c r="AE206" t="s">
        <v>642</v>
      </c>
      <c r="AF206" t="s">
        <v>100</v>
      </c>
      <c r="AG206">
        <v>30360</v>
      </c>
      <c r="AH206" s="18">
        <f t="shared" si="6"/>
        <v>1</v>
      </c>
    </row>
    <row r="207" spans="4:34" x14ac:dyDescent="0.35">
      <c r="D207" t="s">
        <v>643</v>
      </c>
      <c r="E207" s="38">
        <v>46048</v>
      </c>
      <c r="F207" s="38">
        <v>46048</v>
      </c>
      <c r="G207" t="s">
        <v>93</v>
      </c>
      <c r="H207" t="s">
        <v>93</v>
      </c>
      <c r="I207">
        <v>44400.79</v>
      </c>
      <c r="J207">
        <v>4884.0869000000002</v>
      </c>
      <c r="K207">
        <v>3552.0632000000001</v>
      </c>
      <c r="L207">
        <v>1332.0237</v>
      </c>
      <c r="P207"/>
      <c r="T207" t="s">
        <v>94</v>
      </c>
      <c r="U207" s="17" t="s">
        <v>95</v>
      </c>
      <c r="V207" t="s">
        <v>106</v>
      </c>
      <c r="Y207" t="s">
        <v>97</v>
      </c>
      <c r="Z207" s="27"/>
      <c r="AB207" s="18"/>
      <c r="AD207" t="s">
        <v>644</v>
      </c>
      <c r="AE207" t="s">
        <v>645</v>
      </c>
      <c r="AF207" t="s">
        <v>100</v>
      </c>
      <c r="AG207">
        <v>3350</v>
      </c>
      <c r="AH207" s="18">
        <f t="shared" si="6"/>
        <v>1</v>
      </c>
    </row>
    <row r="208" spans="4:34" x14ac:dyDescent="0.35">
      <c r="D208" t="s">
        <v>646</v>
      </c>
      <c r="E208" s="38">
        <v>46048</v>
      </c>
      <c r="F208" s="38">
        <v>46048</v>
      </c>
      <c r="G208" t="s">
        <v>93</v>
      </c>
      <c r="H208" t="s">
        <v>93</v>
      </c>
      <c r="I208">
        <v>6567.81</v>
      </c>
      <c r="J208">
        <v>722.45910000000003</v>
      </c>
      <c r="K208">
        <v>525.4248</v>
      </c>
      <c r="L208">
        <v>197.0343</v>
      </c>
      <c r="P208"/>
      <c r="T208" t="s">
        <v>94</v>
      </c>
      <c r="U208" s="17" t="s">
        <v>95</v>
      </c>
      <c r="V208" t="s">
        <v>106</v>
      </c>
      <c r="Y208" t="s">
        <v>97</v>
      </c>
      <c r="Z208" s="27"/>
      <c r="AB208" s="18"/>
      <c r="AD208" t="s">
        <v>647</v>
      </c>
      <c r="AE208" t="s">
        <v>648</v>
      </c>
      <c r="AF208" t="s">
        <v>109</v>
      </c>
      <c r="AG208">
        <v>30550</v>
      </c>
      <c r="AH208" s="18">
        <f t="shared" si="6"/>
        <v>1</v>
      </c>
    </row>
    <row r="209" spans="4:34" x14ac:dyDescent="0.35">
      <c r="D209" t="s">
        <v>649</v>
      </c>
      <c r="E209" s="38">
        <v>46052</v>
      </c>
      <c r="F209" s="38">
        <v>46052</v>
      </c>
      <c r="G209" t="s">
        <v>93</v>
      </c>
      <c r="H209" t="s">
        <v>93</v>
      </c>
      <c r="I209">
        <v>3316.96</v>
      </c>
      <c r="J209">
        <v>199.01760000000002</v>
      </c>
      <c r="K209">
        <v>132.67840000000001</v>
      </c>
      <c r="L209">
        <v>66.339200000000005</v>
      </c>
      <c r="P209"/>
      <c r="T209" t="s">
        <v>94</v>
      </c>
      <c r="U209" s="17" t="s">
        <v>95</v>
      </c>
      <c r="V209" t="s">
        <v>96</v>
      </c>
      <c r="Y209" t="s">
        <v>97</v>
      </c>
      <c r="Z209" s="27"/>
      <c r="AB209" s="18"/>
      <c r="AD209" t="s">
        <v>102</v>
      </c>
      <c r="AE209" t="s">
        <v>103</v>
      </c>
      <c r="AF209" t="s">
        <v>100</v>
      </c>
      <c r="AG209">
        <v>31320</v>
      </c>
      <c r="AH209" s="18">
        <f t="shared" si="6"/>
        <v>1</v>
      </c>
    </row>
    <row r="210" spans="4:34" x14ac:dyDescent="0.35">
      <c r="D210" t="s">
        <v>650</v>
      </c>
      <c r="E210" s="38">
        <v>46052</v>
      </c>
      <c r="F210" s="38">
        <v>46052</v>
      </c>
      <c r="G210" t="s">
        <v>93</v>
      </c>
      <c r="H210" t="s">
        <v>93</v>
      </c>
      <c r="I210">
        <v>3959.95</v>
      </c>
      <c r="J210">
        <v>237.59699999999998</v>
      </c>
      <c r="K210">
        <v>158.398</v>
      </c>
      <c r="L210">
        <v>79.198999999999998</v>
      </c>
      <c r="P210"/>
      <c r="T210" t="s">
        <v>94</v>
      </c>
      <c r="U210" s="17" t="s">
        <v>95</v>
      </c>
      <c r="V210" t="s">
        <v>96</v>
      </c>
      <c r="Y210" t="s">
        <v>97</v>
      </c>
      <c r="Z210" s="27"/>
      <c r="AB210" s="18"/>
      <c r="AD210" t="s">
        <v>102</v>
      </c>
      <c r="AE210" t="s">
        <v>103</v>
      </c>
      <c r="AF210" t="s">
        <v>100</v>
      </c>
      <c r="AG210">
        <v>31320</v>
      </c>
      <c r="AH210" s="18">
        <f t="shared" si="6"/>
        <v>1</v>
      </c>
    </row>
    <row r="211" spans="4:34" x14ac:dyDescent="0.35">
      <c r="D211" t="s">
        <v>233</v>
      </c>
      <c r="E211" s="38">
        <v>46044</v>
      </c>
      <c r="F211" s="38">
        <v>46044</v>
      </c>
      <c r="G211" t="s">
        <v>93</v>
      </c>
      <c r="H211" t="s">
        <v>93</v>
      </c>
      <c r="I211">
        <v>119328.99</v>
      </c>
      <c r="J211">
        <v>13842.162839999999</v>
      </c>
      <c r="K211">
        <v>12648.872939999999</v>
      </c>
      <c r="L211">
        <v>1193.2899</v>
      </c>
      <c r="P211"/>
      <c r="T211" t="s">
        <v>94</v>
      </c>
      <c r="U211" s="17" t="s">
        <v>95</v>
      </c>
      <c r="V211" t="s">
        <v>228</v>
      </c>
      <c r="Y211" t="s">
        <v>97</v>
      </c>
      <c r="Z211" s="27"/>
      <c r="AB211" s="18"/>
      <c r="AD211" t="s">
        <v>234</v>
      </c>
      <c r="AE211" t="s">
        <v>235</v>
      </c>
      <c r="AF211" t="s">
        <v>100</v>
      </c>
      <c r="AG211">
        <v>30008</v>
      </c>
      <c r="AH211" s="18">
        <f t="shared" si="6"/>
        <v>1</v>
      </c>
    </row>
    <row r="212" spans="4:34" x14ac:dyDescent="0.35">
      <c r="D212" t="s">
        <v>236</v>
      </c>
      <c r="E212" s="38">
        <v>46044</v>
      </c>
      <c r="F212" s="38">
        <v>46044</v>
      </c>
      <c r="G212" t="s">
        <v>93</v>
      </c>
      <c r="H212" t="s">
        <v>93</v>
      </c>
      <c r="I212">
        <v>117078.09</v>
      </c>
      <c r="J212">
        <v>13229.82417</v>
      </c>
      <c r="K212">
        <v>12059.04327</v>
      </c>
      <c r="L212">
        <v>1170.7809</v>
      </c>
      <c r="P212"/>
      <c r="T212" t="s">
        <v>94</v>
      </c>
      <c r="U212" s="17" t="s">
        <v>95</v>
      </c>
      <c r="V212" t="s">
        <v>228</v>
      </c>
      <c r="Y212" t="s">
        <v>97</v>
      </c>
      <c r="Z212" s="27"/>
      <c r="AB212" s="18"/>
      <c r="AD212" t="s">
        <v>237</v>
      </c>
      <c r="AE212" t="s">
        <v>238</v>
      </c>
      <c r="AF212" t="s">
        <v>100</v>
      </c>
      <c r="AG212">
        <v>30008</v>
      </c>
      <c r="AH212" s="18">
        <f t="shared" si="6"/>
        <v>1</v>
      </c>
    </row>
    <row r="213" spans="4:34" x14ac:dyDescent="0.35">
      <c r="D213" t="s">
        <v>651</v>
      </c>
      <c r="E213" s="38">
        <v>46050</v>
      </c>
      <c r="F213" s="38">
        <v>46050</v>
      </c>
      <c r="G213" t="s">
        <v>93</v>
      </c>
      <c r="H213" t="s">
        <v>93</v>
      </c>
      <c r="I213">
        <v>65164.72</v>
      </c>
      <c r="J213">
        <v>8797.2371999999996</v>
      </c>
      <c r="K213">
        <v>8145.59</v>
      </c>
      <c r="L213">
        <v>651.6472</v>
      </c>
      <c r="P213"/>
      <c r="T213" t="s">
        <v>94</v>
      </c>
      <c r="U213" s="17" t="s">
        <v>95</v>
      </c>
      <c r="V213" t="s">
        <v>228</v>
      </c>
      <c r="Y213" t="s">
        <v>97</v>
      </c>
      <c r="Z213" s="27"/>
      <c r="AB213" s="18"/>
      <c r="AD213" t="s">
        <v>652</v>
      </c>
      <c r="AE213" t="s">
        <v>653</v>
      </c>
      <c r="AF213" t="s">
        <v>100</v>
      </c>
      <c r="AG213">
        <v>30550</v>
      </c>
      <c r="AH213" s="18">
        <f t="shared" si="6"/>
        <v>1</v>
      </c>
    </row>
    <row r="214" spans="4:34" x14ac:dyDescent="0.35">
      <c r="D214" t="s">
        <v>654</v>
      </c>
      <c r="E214" s="38">
        <v>46050</v>
      </c>
      <c r="F214" s="38">
        <v>46050</v>
      </c>
      <c r="G214" t="s">
        <v>93</v>
      </c>
      <c r="H214" t="s">
        <v>93</v>
      </c>
      <c r="I214">
        <v>33676.839999999997</v>
      </c>
      <c r="J214">
        <v>4125.4128999999994</v>
      </c>
      <c r="K214">
        <v>3788.6444999999994</v>
      </c>
      <c r="L214">
        <v>336.76839999999999</v>
      </c>
      <c r="P214"/>
      <c r="T214" t="s">
        <v>94</v>
      </c>
      <c r="U214" s="17" t="s">
        <v>95</v>
      </c>
      <c r="V214" t="s">
        <v>228</v>
      </c>
      <c r="Y214" t="s">
        <v>97</v>
      </c>
      <c r="Z214" s="27"/>
      <c r="AB214" s="18"/>
      <c r="AD214" t="s">
        <v>655</v>
      </c>
      <c r="AE214" t="s">
        <v>656</v>
      </c>
      <c r="AF214" t="s">
        <v>100</v>
      </c>
      <c r="AG214">
        <v>30550</v>
      </c>
      <c r="AH214" s="18">
        <f t="shared" si="6"/>
        <v>1</v>
      </c>
    </row>
    <row r="215" spans="4:34" x14ac:dyDescent="0.35">
      <c r="D215" s="60" t="s">
        <v>657</v>
      </c>
      <c r="E215" s="38">
        <v>46036</v>
      </c>
      <c r="F215" s="38">
        <v>46036</v>
      </c>
      <c r="G215" t="s">
        <v>93</v>
      </c>
      <c r="H215" t="s">
        <v>93</v>
      </c>
      <c r="I215">
        <v>7684.96</v>
      </c>
      <c r="J215">
        <v>845.34559999999999</v>
      </c>
      <c r="K215">
        <v>614.79679999999996</v>
      </c>
      <c r="L215">
        <v>230.5488</v>
      </c>
      <c r="P215"/>
      <c r="T215" t="s">
        <v>94</v>
      </c>
      <c r="U215" s="17" t="s">
        <v>95</v>
      </c>
      <c r="V215" t="s">
        <v>106</v>
      </c>
      <c r="Y215" t="s">
        <v>97</v>
      </c>
      <c r="Z215" s="27"/>
      <c r="AB215" s="18"/>
      <c r="AD215" t="s">
        <v>658</v>
      </c>
      <c r="AE215" t="s">
        <v>659</v>
      </c>
      <c r="AF215" t="s">
        <v>109</v>
      </c>
      <c r="AG215">
        <v>30562</v>
      </c>
      <c r="AH215" s="18">
        <f t="shared" si="6"/>
        <v>1</v>
      </c>
    </row>
    <row r="216" spans="4:34" x14ac:dyDescent="0.35">
      <c r="D216" s="60" t="s">
        <v>657</v>
      </c>
      <c r="E216" s="38">
        <v>46036</v>
      </c>
      <c r="F216" s="38">
        <v>46036</v>
      </c>
      <c r="G216" t="s">
        <v>93</v>
      </c>
      <c r="H216" t="s">
        <v>93</v>
      </c>
      <c r="I216">
        <v>7684.96</v>
      </c>
      <c r="J216">
        <v>845.34559999999999</v>
      </c>
      <c r="K216">
        <v>614.79679999999996</v>
      </c>
      <c r="L216">
        <v>230.5488</v>
      </c>
      <c r="P216"/>
      <c r="T216" t="s">
        <v>94</v>
      </c>
      <c r="U216" s="17" t="s">
        <v>95</v>
      </c>
      <c r="V216" t="s">
        <v>106</v>
      </c>
      <c r="Y216" t="s">
        <v>97</v>
      </c>
      <c r="Z216" s="27"/>
      <c r="AB216" s="18"/>
      <c r="AD216" t="s">
        <v>658</v>
      </c>
      <c r="AE216" t="s">
        <v>660</v>
      </c>
      <c r="AF216" t="s">
        <v>109</v>
      </c>
      <c r="AG216">
        <v>30562</v>
      </c>
      <c r="AH216" s="18">
        <f t="shared" si="6"/>
        <v>1</v>
      </c>
    </row>
    <row r="217" spans="4:34" x14ac:dyDescent="0.35">
      <c r="D217" s="60" t="s">
        <v>661</v>
      </c>
      <c r="E217" s="38">
        <v>46048</v>
      </c>
      <c r="F217" s="38">
        <v>46048</v>
      </c>
      <c r="G217" t="s">
        <v>93</v>
      </c>
      <c r="H217" t="s">
        <v>93</v>
      </c>
      <c r="I217">
        <v>81587.45</v>
      </c>
      <c r="J217">
        <v>9994.4626250000001</v>
      </c>
      <c r="K217">
        <v>9178.5881250000002</v>
      </c>
      <c r="L217">
        <v>815.87450000000001</v>
      </c>
      <c r="P217"/>
      <c r="T217" t="s">
        <v>94</v>
      </c>
      <c r="U217" s="17" t="s">
        <v>95</v>
      </c>
      <c r="V217" t="s">
        <v>228</v>
      </c>
      <c r="Y217" t="s">
        <v>97</v>
      </c>
      <c r="Z217" s="27"/>
      <c r="AB217" s="18"/>
      <c r="AD217" t="s">
        <v>662</v>
      </c>
      <c r="AE217" t="s">
        <v>663</v>
      </c>
      <c r="AF217" t="s">
        <v>100</v>
      </c>
      <c r="AG217">
        <v>30550</v>
      </c>
      <c r="AH217" s="18">
        <f t="shared" si="6"/>
        <v>1</v>
      </c>
    </row>
    <row r="218" spans="4:34" x14ac:dyDescent="0.35">
      <c r="D218" s="60" t="s">
        <v>661</v>
      </c>
      <c r="E218" s="38">
        <v>46049</v>
      </c>
      <c r="F218" s="38">
        <v>46049</v>
      </c>
      <c r="G218" t="s">
        <v>93</v>
      </c>
      <c r="H218" t="s">
        <v>93</v>
      </c>
      <c r="I218">
        <v>81587.45</v>
      </c>
      <c r="J218">
        <v>9994.4626250000001</v>
      </c>
      <c r="K218">
        <v>9178.5881250000002</v>
      </c>
      <c r="L218">
        <v>815.87450000000001</v>
      </c>
      <c r="P218"/>
      <c r="T218" t="s">
        <v>94</v>
      </c>
      <c r="U218" s="17" t="s">
        <v>95</v>
      </c>
      <c r="V218" t="s">
        <v>228</v>
      </c>
      <c r="Y218" t="s">
        <v>97</v>
      </c>
      <c r="Z218" s="27"/>
      <c r="AB218" s="18"/>
      <c r="AD218" t="s">
        <v>662</v>
      </c>
      <c r="AE218" t="s">
        <v>664</v>
      </c>
      <c r="AF218" t="s">
        <v>100</v>
      </c>
      <c r="AG218">
        <v>30550</v>
      </c>
      <c r="AH218" s="18">
        <f t="shared" si="6"/>
        <v>1</v>
      </c>
    </row>
  </sheetData>
  <sortState xmlns:xlrd2="http://schemas.microsoft.com/office/spreadsheetml/2017/richdata2" ref="A2:AO2">
    <sortCondition ref="D2"/>
    <sortCondition ref="F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9DD6-C334-4A49-A760-410EDB03B42A}">
  <sheetPr>
    <tabColor theme="3" tint="0.749992370372631"/>
  </sheetPr>
  <dimension ref="A1:N20"/>
  <sheetViews>
    <sheetView workbookViewId="0">
      <selection activeCell="D10" sqref="D10"/>
    </sheetView>
  </sheetViews>
  <sheetFormatPr baseColWidth="10" defaultColWidth="11.453125" defaultRowHeight="14.5" x14ac:dyDescent="0.35"/>
  <cols>
    <col min="1" max="1" width="18.7265625" bestFit="1" customWidth="1"/>
    <col min="2" max="2" width="19" bestFit="1" customWidth="1"/>
    <col min="3" max="3" width="28.1796875" bestFit="1" customWidth="1"/>
    <col min="4" max="4" width="33.54296875" bestFit="1" customWidth="1"/>
    <col min="5" max="5" width="31" bestFit="1" customWidth="1"/>
    <col min="6" max="6" width="28.26953125" customWidth="1"/>
    <col min="7" max="7" width="16.54296875" bestFit="1" customWidth="1"/>
    <col min="8" max="8" width="16.54296875" customWidth="1"/>
    <col min="9" max="9" width="18.7265625" bestFit="1" customWidth="1"/>
    <col min="10" max="10" width="19" bestFit="1" customWidth="1"/>
    <col min="11" max="11" width="28.1796875" bestFit="1" customWidth="1"/>
    <col min="12" max="12" width="33.54296875" bestFit="1" customWidth="1"/>
    <col min="13" max="13" width="31" bestFit="1" customWidth="1"/>
    <col min="14" max="26" width="28.26953125" bestFit="1" customWidth="1"/>
    <col min="27" max="27" width="23.81640625" bestFit="1" customWidth="1"/>
    <col min="28" max="28" width="28.26953125" bestFit="1" customWidth="1"/>
    <col min="29" max="29" width="33.26953125" bestFit="1" customWidth="1"/>
    <col min="30" max="62" width="28.26953125" bestFit="1" customWidth="1"/>
    <col min="63" max="63" width="22.81640625" bestFit="1" customWidth="1"/>
    <col min="64" max="64" width="27.26953125" bestFit="1" customWidth="1"/>
    <col min="65" max="65" width="32.26953125" bestFit="1" customWidth="1"/>
    <col min="66" max="98" width="28.26953125" bestFit="1" customWidth="1"/>
    <col min="99" max="99" width="22.453125" bestFit="1" customWidth="1"/>
    <col min="100" max="100" width="26.81640625" bestFit="1" customWidth="1"/>
    <col min="101" max="101" width="31.81640625" bestFit="1" customWidth="1"/>
    <col min="102" max="158" width="28.26953125" bestFit="1" customWidth="1"/>
    <col min="159" max="159" width="22.81640625" bestFit="1" customWidth="1"/>
    <col min="160" max="160" width="27.26953125" bestFit="1" customWidth="1"/>
    <col min="161" max="161" width="32.26953125" bestFit="1" customWidth="1"/>
    <col min="162" max="224" width="28.26953125" bestFit="1" customWidth="1"/>
    <col min="225" max="225" width="22.26953125" bestFit="1" customWidth="1"/>
    <col min="226" max="226" width="26.7265625" bestFit="1" customWidth="1"/>
    <col min="227" max="227" width="31.7265625" bestFit="1" customWidth="1"/>
    <col min="228" max="287" width="28.26953125" bestFit="1" customWidth="1"/>
    <col min="288" max="288" width="23.1796875" bestFit="1" customWidth="1"/>
    <col min="289" max="289" width="27.54296875" bestFit="1" customWidth="1"/>
    <col min="290" max="290" width="32.54296875" bestFit="1" customWidth="1"/>
    <col min="291" max="329" width="28.26953125" bestFit="1" customWidth="1"/>
    <col min="330" max="330" width="22.26953125" bestFit="1" customWidth="1"/>
    <col min="331" max="331" width="26.7265625" bestFit="1" customWidth="1"/>
    <col min="332" max="332" width="31.7265625" bestFit="1" customWidth="1"/>
    <col min="333" max="362" width="28.26953125" bestFit="1" customWidth="1"/>
    <col min="363" max="363" width="21.7265625" bestFit="1" customWidth="1"/>
    <col min="364" max="364" width="26" bestFit="1" customWidth="1"/>
    <col min="365" max="365" width="31" bestFit="1" customWidth="1"/>
    <col min="366" max="366" width="23.81640625" bestFit="1" customWidth="1"/>
    <col min="367" max="367" width="28.26953125" bestFit="1" customWidth="1"/>
    <col min="368" max="368" width="33.26953125" bestFit="1" customWidth="1"/>
    <col min="369" max="371" width="28.26953125" bestFit="1" customWidth="1"/>
    <col min="372" max="372" width="25" bestFit="1" customWidth="1"/>
    <col min="373" max="373" width="29.453125" bestFit="1" customWidth="1"/>
    <col min="374" max="374" width="34.453125" bestFit="1" customWidth="1"/>
    <col min="375" max="377" width="28.26953125" bestFit="1" customWidth="1"/>
    <col min="378" max="378" width="25" bestFit="1" customWidth="1"/>
    <col min="379" max="379" width="29.453125" bestFit="1" customWidth="1"/>
    <col min="380" max="380" width="34.453125" bestFit="1" customWidth="1"/>
    <col min="381" max="383" width="28.26953125" bestFit="1" customWidth="1"/>
    <col min="384" max="384" width="25" bestFit="1" customWidth="1"/>
    <col min="385" max="385" width="29.453125" bestFit="1" customWidth="1"/>
    <col min="386" max="386" width="34.453125" bestFit="1" customWidth="1"/>
    <col min="387" max="389" width="28.26953125" bestFit="1" customWidth="1"/>
    <col min="390" max="390" width="25" bestFit="1" customWidth="1"/>
    <col min="391" max="391" width="29.453125" bestFit="1" customWidth="1"/>
    <col min="392" max="392" width="34.453125" bestFit="1" customWidth="1"/>
    <col min="393" max="395" width="28.26953125" bestFit="1" customWidth="1"/>
    <col min="396" max="396" width="25" bestFit="1" customWidth="1"/>
    <col min="397" max="397" width="29.453125" bestFit="1" customWidth="1"/>
    <col min="398" max="398" width="34.453125" bestFit="1" customWidth="1"/>
    <col min="399" max="401" width="28.26953125" bestFit="1" customWidth="1"/>
    <col min="402" max="402" width="25" bestFit="1" customWidth="1"/>
    <col min="403" max="403" width="29.453125" bestFit="1" customWidth="1"/>
    <col min="404" max="404" width="34.453125" bestFit="1" customWidth="1"/>
    <col min="405" max="407" width="28.26953125" bestFit="1" customWidth="1"/>
    <col min="408" max="408" width="25" bestFit="1" customWidth="1"/>
    <col min="409" max="409" width="29.453125" bestFit="1" customWidth="1"/>
    <col min="410" max="410" width="34.453125" bestFit="1" customWidth="1"/>
    <col min="411" max="413" width="28.26953125" bestFit="1" customWidth="1"/>
    <col min="414" max="414" width="25" bestFit="1" customWidth="1"/>
    <col min="415" max="415" width="29.453125" bestFit="1" customWidth="1"/>
    <col min="416" max="416" width="34.453125" bestFit="1" customWidth="1"/>
    <col min="417" max="419" width="28.26953125" bestFit="1" customWidth="1"/>
    <col min="420" max="420" width="25" bestFit="1" customWidth="1"/>
    <col min="421" max="421" width="29.453125" bestFit="1" customWidth="1"/>
    <col min="422" max="422" width="34.453125" bestFit="1" customWidth="1"/>
    <col min="423" max="425" width="28.26953125" bestFit="1" customWidth="1"/>
    <col min="426" max="426" width="25" bestFit="1" customWidth="1"/>
    <col min="427" max="427" width="29.453125" bestFit="1" customWidth="1"/>
    <col min="428" max="428" width="34.453125" bestFit="1" customWidth="1"/>
    <col min="429" max="431" width="28.26953125" bestFit="1" customWidth="1"/>
    <col min="432" max="432" width="25" bestFit="1" customWidth="1"/>
    <col min="433" max="433" width="29.453125" bestFit="1" customWidth="1"/>
    <col min="434" max="434" width="34.453125" bestFit="1" customWidth="1"/>
    <col min="435" max="435" width="22.26953125" bestFit="1" customWidth="1"/>
    <col min="436" max="436" width="26.7265625" bestFit="1" customWidth="1"/>
    <col min="437" max="437" width="31.7265625" bestFit="1" customWidth="1"/>
    <col min="438" max="440" width="28.26953125" bestFit="1" customWidth="1"/>
    <col min="441" max="441" width="25.81640625" bestFit="1" customWidth="1"/>
    <col min="442" max="442" width="30.26953125" bestFit="1" customWidth="1"/>
    <col min="443" max="443" width="35.26953125" bestFit="1" customWidth="1"/>
    <col min="444" max="446" width="28.26953125" bestFit="1" customWidth="1"/>
    <col min="447" max="447" width="25.81640625" bestFit="1" customWidth="1"/>
    <col min="448" max="448" width="30.26953125" bestFit="1" customWidth="1"/>
    <col min="449" max="449" width="35.26953125" bestFit="1" customWidth="1"/>
    <col min="450" max="452" width="28.26953125" bestFit="1" customWidth="1"/>
    <col min="453" max="453" width="25.81640625" bestFit="1" customWidth="1"/>
    <col min="454" max="454" width="30.26953125" bestFit="1" customWidth="1"/>
    <col min="455" max="455" width="35.26953125" bestFit="1" customWidth="1"/>
    <col min="456" max="458" width="28.26953125" bestFit="1" customWidth="1"/>
    <col min="459" max="459" width="25.81640625" bestFit="1" customWidth="1"/>
    <col min="460" max="460" width="30.26953125" bestFit="1" customWidth="1"/>
    <col min="461" max="461" width="35.26953125" bestFit="1" customWidth="1"/>
    <col min="462" max="464" width="28.26953125" bestFit="1" customWidth="1"/>
    <col min="465" max="465" width="25.81640625" bestFit="1" customWidth="1"/>
    <col min="466" max="466" width="30.26953125" bestFit="1" customWidth="1"/>
    <col min="467" max="467" width="35.26953125" bestFit="1" customWidth="1"/>
    <col min="468" max="470" width="28.26953125" bestFit="1" customWidth="1"/>
    <col min="471" max="471" width="25.81640625" bestFit="1" customWidth="1"/>
    <col min="472" max="472" width="30.26953125" bestFit="1" customWidth="1"/>
    <col min="473" max="473" width="35.26953125" bestFit="1" customWidth="1"/>
    <col min="474" max="476" width="28.26953125" bestFit="1" customWidth="1"/>
    <col min="477" max="477" width="25.81640625" bestFit="1" customWidth="1"/>
    <col min="478" max="478" width="30.26953125" bestFit="1" customWidth="1"/>
    <col min="479" max="479" width="35.26953125" bestFit="1" customWidth="1"/>
    <col min="480" max="482" width="28.26953125" bestFit="1" customWidth="1"/>
    <col min="483" max="483" width="25.81640625" bestFit="1" customWidth="1"/>
    <col min="484" max="484" width="30.26953125" bestFit="1" customWidth="1"/>
    <col min="485" max="485" width="35.26953125" bestFit="1" customWidth="1"/>
    <col min="486" max="488" width="28.26953125" bestFit="1" customWidth="1"/>
    <col min="489" max="489" width="25.81640625" bestFit="1" customWidth="1"/>
    <col min="490" max="490" width="30.26953125" bestFit="1" customWidth="1"/>
    <col min="491" max="491" width="35.26953125" bestFit="1" customWidth="1"/>
    <col min="492" max="494" width="28.26953125" bestFit="1" customWidth="1"/>
    <col min="495" max="495" width="25.81640625" bestFit="1" customWidth="1"/>
    <col min="496" max="496" width="30.26953125" bestFit="1" customWidth="1"/>
    <col min="497" max="497" width="35.26953125" bestFit="1" customWidth="1"/>
    <col min="498" max="500" width="28.26953125" bestFit="1" customWidth="1"/>
    <col min="501" max="501" width="25.81640625" bestFit="1" customWidth="1"/>
    <col min="502" max="502" width="30.26953125" bestFit="1" customWidth="1"/>
    <col min="503" max="503" width="35.26953125" bestFit="1" customWidth="1"/>
    <col min="504" max="506" width="28.26953125" bestFit="1" customWidth="1"/>
    <col min="507" max="507" width="25.81640625" bestFit="1" customWidth="1"/>
    <col min="508" max="508" width="30.26953125" bestFit="1" customWidth="1"/>
    <col min="509" max="509" width="35.26953125" bestFit="1" customWidth="1"/>
    <col min="510" max="512" width="28.26953125" bestFit="1" customWidth="1"/>
    <col min="513" max="513" width="25.81640625" bestFit="1" customWidth="1"/>
    <col min="514" max="514" width="30.26953125" bestFit="1" customWidth="1"/>
    <col min="515" max="515" width="35.26953125" bestFit="1" customWidth="1"/>
    <col min="516" max="518" width="28.26953125" bestFit="1" customWidth="1"/>
    <col min="519" max="519" width="25.81640625" bestFit="1" customWidth="1"/>
    <col min="520" max="520" width="30.26953125" bestFit="1" customWidth="1"/>
    <col min="521" max="521" width="35.26953125" bestFit="1" customWidth="1"/>
    <col min="522" max="524" width="28.26953125" bestFit="1" customWidth="1"/>
    <col min="525" max="525" width="25.81640625" bestFit="1" customWidth="1"/>
    <col min="526" max="526" width="30.26953125" bestFit="1" customWidth="1"/>
    <col min="527" max="527" width="35.26953125" bestFit="1" customWidth="1"/>
    <col min="528" max="530" width="28.26953125" bestFit="1" customWidth="1"/>
    <col min="531" max="531" width="25.81640625" bestFit="1" customWidth="1"/>
    <col min="532" max="532" width="30.26953125" bestFit="1" customWidth="1"/>
    <col min="533" max="533" width="35.26953125" bestFit="1" customWidth="1"/>
    <col min="534" max="536" width="28.26953125" bestFit="1" customWidth="1"/>
    <col min="537" max="537" width="25.81640625" bestFit="1" customWidth="1"/>
    <col min="538" max="538" width="30.26953125" bestFit="1" customWidth="1"/>
    <col min="539" max="539" width="35.26953125" bestFit="1" customWidth="1"/>
    <col min="540" max="542" width="28.26953125" bestFit="1" customWidth="1"/>
    <col min="543" max="543" width="25.81640625" bestFit="1" customWidth="1"/>
    <col min="544" max="544" width="30.26953125" bestFit="1" customWidth="1"/>
    <col min="545" max="545" width="35.26953125" bestFit="1" customWidth="1"/>
    <col min="546" max="548" width="28.26953125" bestFit="1" customWidth="1"/>
    <col min="549" max="549" width="25.81640625" bestFit="1" customWidth="1"/>
    <col min="550" max="550" width="30.26953125" bestFit="1" customWidth="1"/>
    <col min="551" max="551" width="35.26953125" bestFit="1" customWidth="1"/>
    <col min="552" max="554" width="28.26953125" bestFit="1" customWidth="1"/>
    <col min="555" max="555" width="25.81640625" bestFit="1" customWidth="1"/>
    <col min="556" max="556" width="30.26953125" bestFit="1" customWidth="1"/>
    <col min="557" max="557" width="35.26953125" bestFit="1" customWidth="1"/>
    <col min="558" max="558" width="23.1796875" bestFit="1" customWidth="1"/>
    <col min="559" max="559" width="27.54296875" bestFit="1" customWidth="1"/>
    <col min="560" max="560" width="32.54296875" bestFit="1" customWidth="1"/>
    <col min="561" max="563" width="28.26953125" bestFit="1" customWidth="1"/>
    <col min="564" max="564" width="25" bestFit="1" customWidth="1"/>
    <col min="565" max="565" width="29.453125" bestFit="1" customWidth="1"/>
    <col min="566" max="566" width="34.453125" bestFit="1" customWidth="1"/>
    <col min="567" max="569" width="28.26953125" bestFit="1" customWidth="1"/>
    <col min="570" max="570" width="25" bestFit="1" customWidth="1"/>
    <col min="571" max="571" width="29.453125" bestFit="1" customWidth="1"/>
    <col min="572" max="572" width="34.453125" bestFit="1" customWidth="1"/>
    <col min="573" max="575" width="28.26953125" bestFit="1" customWidth="1"/>
    <col min="576" max="576" width="25" bestFit="1" customWidth="1"/>
    <col min="577" max="577" width="29.453125" bestFit="1" customWidth="1"/>
    <col min="578" max="578" width="34.453125" bestFit="1" customWidth="1"/>
    <col min="579" max="581" width="28.26953125" bestFit="1" customWidth="1"/>
    <col min="582" max="582" width="25" bestFit="1" customWidth="1"/>
    <col min="583" max="583" width="29.453125" bestFit="1" customWidth="1"/>
    <col min="584" max="584" width="34.453125" bestFit="1" customWidth="1"/>
    <col min="585" max="587" width="28.26953125" bestFit="1" customWidth="1"/>
    <col min="588" max="588" width="25" bestFit="1" customWidth="1"/>
    <col min="589" max="589" width="29.453125" bestFit="1" customWidth="1"/>
    <col min="590" max="590" width="34.453125" bestFit="1" customWidth="1"/>
    <col min="591" max="593" width="28.26953125" bestFit="1" customWidth="1"/>
    <col min="594" max="594" width="25" bestFit="1" customWidth="1"/>
    <col min="595" max="595" width="29.453125" bestFit="1" customWidth="1"/>
    <col min="596" max="596" width="34.453125" bestFit="1" customWidth="1"/>
    <col min="597" max="599" width="28.26953125" bestFit="1" customWidth="1"/>
    <col min="600" max="600" width="25" bestFit="1" customWidth="1"/>
    <col min="601" max="601" width="29.453125" bestFit="1" customWidth="1"/>
    <col min="602" max="602" width="34.453125" bestFit="1" customWidth="1"/>
    <col min="603" max="605" width="28.26953125" bestFit="1" customWidth="1"/>
    <col min="606" max="606" width="25" bestFit="1" customWidth="1"/>
    <col min="607" max="607" width="29.453125" bestFit="1" customWidth="1"/>
    <col min="608" max="608" width="34.453125" bestFit="1" customWidth="1"/>
    <col min="609" max="611" width="28.26953125" bestFit="1" customWidth="1"/>
    <col min="612" max="612" width="25" bestFit="1" customWidth="1"/>
    <col min="613" max="613" width="29.453125" bestFit="1" customWidth="1"/>
    <col min="614" max="614" width="34.453125" bestFit="1" customWidth="1"/>
    <col min="615" max="617" width="28.26953125" bestFit="1" customWidth="1"/>
    <col min="618" max="618" width="25" bestFit="1" customWidth="1"/>
    <col min="619" max="619" width="29.453125" bestFit="1" customWidth="1"/>
    <col min="620" max="620" width="34.453125" bestFit="1" customWidth="1"/>
    <col min="621" max="623" width="28.26953125" bestFit="1" customWidth="1"/>
    <col min="624" max="624" width="25" bestFit="1" customWidth="1"/>
    <col min="625" max="625" width="29.453125" bestFit="1" customWidth="1"/>
    <col min="626" max="626" width="34.453125" bestFit="1" customWidth="1"/>
    <col min="627" max="629" width="28.26953125" bestFit="1" customWidth="1"/>
    <col min="630" max="630" width="25" bestFit="1" customWidth="1"/>
    <col min="631" max="631" width="29.453125" bestFit="1" customWidth="1"/>
    <col min="632" max="632" width="34.453125" bestFit="1" customWidth="1"/>
    <col min="633" max="635" width="28.26953125" bestFit="1" customWidth="1"/>
    <col min="636" max="636" width="25" bestFit="1" customWidth="1"/>
    <col min="637" max="637" width="29.453125" bestFit="1" customWidth="1"/>
    <col min="638" max="638" width="34.453125" bestFit="1" customWidth="1"/>
    <col min="639" max="639" width="22.26953125" bestFit="1" customWidth="1"/>
    <col min="640" max="640" width="26.7265625" bestFit="1" customWidth="1"/>
    <col min="641" max="641" width="31.7265625" bestFit="1" customWidth="1"/>
    <col min="642" max="644" width="28.26953125" bestFit="1" customWidth="1"/>
    <col min="645" max="645" width="24.453125" bestFit="1" customWidth="1"/>
    <col min="646" max="646" width="28.81640625" bestFit="1" customWidth="1"/>
    <col min="647" max="647" width="33.81640625" bestFit="1" customWidth="1"/>
    <col min="648" max="650" width="28.26953125" bestFit="1" customWidth="1"/>
    <col min="651" max="651" width="24.453125" bestFit="1" customWidth="1"/>
    <col min="652" max="652" width="28.81640625" bestFit="1" customWidth="1"/>
    <col min="653" max="653" width="33.81640625" bestFit="1" customWidth="1"/>
    <col min="654" max="656" width="28.26953125" bestFit="1" customWidth="1"/>
    <col min="657" max="657" width="24.453125" bestFit="1" customWidth="1"/>
    <col min="658" max="658" width="28.81640625" bestFit="1" customWidth="1"/>
    <col min="659" max="659" width="33.81640625" bestFit="1" customWidth="1"/>
    <col min="660" max="662" width="28.26953125" bestFit="1" customWidth="1"/>
    <col min="663" max="663" width="24.453125" bestFit="1" customWidth="1"/>
    <col min="664" max="664" width="28.81640625" bestFit="1" customWidth="1"/>
    <col min="665" max="665" width="33.81640625" bestFit="1" customWidth="1"/>
    <col min="666" max="668" width="28.26953125" bestFit="1" customWidth="1"/>
    <col min="669" max="669" width="24.453125" bestFit="1" customWidth="1"/>
    <col min="670" max="670" width="28.81640625" bestFit="1" customWidth="1"/>
    <col min="671" max="671" width="33.81640625" bestFit="1" customWidth="1"/>
    <col min="672" max="674" width="28.26953125" bestFit="1" customWidth="1"/>
    <col min="675" max="675" width="24.453125" bestFit="1" customWidth="1"/>
    <col min="676" max="676" width="28.81640625" bestFit="1" customWidth="1"/>
    <col min="677" max="677" width="33.81640625" bestFit="1" customWidth="1"/>
    <col min="678" max="680" width="28.26953125" bestFit="1" customWidth="1"/>
    <col min="681" max="681" width="24.453125" bestFit="1" customWidth="1"/>
    <col min="682" max="682" width="28.81640625" bestFit="1" customWidth="1"/>
    <col min="683" max="683" width="33.81640625" bestFit="1" customWidth="1"/>
    <col min="684" max="686" width="28.26953125" bestFit="1" customWidth="1"/>
    <col min="687" max="687" width="24.453125" bestFit="1" customWidth="1"/>
    <col min="688" max="688" width="28.81640625" bestFit="1" customWidth="1"/>
    <col min="689" max="689" width="33.81640625" bestFit="1" customWidth="1"/>
    <col min="690" max="692" width="28.26953125" bestFit="1" customWidth="1"/>
    <col min="693" max="693" width="24.453125" bestFit="1" customWidth="1"/>
    <col min="694" max="694" width="28.81640625" bestFit="1" customWidth="1"/>
    <col min="695" max="695" width="33.81640625" bestFit="1" customWidth="1"/>
    <col min="696" max="698" width="28.26953125" bestFit="1" customWidth="1"/>
    <col min="699" max="699" width="24.453125" bestFit="1" customWidth="1"/>
    <col min="700" max="700" width="28.81640625" bestFit="1" customWidth="1"/>
    <col min="701" max="701" width="33.81640625" bestFit="1" customWidth="1"/>
    <col min="702" max="702" width="21.7265625" bestFit="1" customWidth="1"/>
    <col min="703" max="703" width="26" bestFit="1" customWidth="1"/>
    <col min="704" max="704" width="31" bestFit="1" customWidth="1"/>
    <col min="705" max="705" width="23.81640625" bestFit="1" customWidth="1"/>
    <col min="706" max="706" width="28.26953125" bestFit="1" customWidth="1"/>
    <col min="707" max="707" width="33.26953125" bestFit="1" customWidth="1"/>
  </cols>
  <sheetData>
    <row r="1" spans="1:14" x14ac:dyDescent="0.35">
      <c r="D1" s="57"/>
    </row>
    <row r="2" spans="1:14" x14ac:dyDescent="0.35">
      <c r="A2" s="40"/>
      <c r="B2" s="41"/>
      <c r="C2" s="41"/>
      <c r="D2" s="41"/>
    </row>
    <row r="3" spans="1:14" x14ac:dyDescent="0.35">
      <c r="I3" t="s">
        <v>665</v>
      </c>
      <c r="J3" t="s">
        <v>666</v>
      </c>
      <c r="K3" t="s">
        <v>667</v>
      </c>
      <c r="L3" t="s">
        <v>668</v>
      </c>
      <c r="M3" t="s">
        <v>669</v>
      </c>
    </row>
    <row r="4" spans="1:14" x14ac:dyDescent="0.35">
      <c r="A4" s="36" t="s">
        <v>670</v>
      </c>
      <c r="B4" t="s">
        <v>671</v>
      </c>
      <c r="C4" t="s">
        <v>672</v>
      </c>
      <c r="D4" t="s">
        <v>673</v>
      </c>
      <c r="E4" t="s">
        <v>674</v>
      </c>
      <c r="F4" s="47" t="s">
        <v>81</v>
      </c>
      <c r="I4" s="40" t="s">
        <v>675</v>
      </c>
      <c r="J4" s="43"/>
      <c r="K4" s="43"/>
      <c r="L4" s="51"/>
      <c r="M4" s="51"/>
    </row>
    <row r="5" spans="1:14" x14ac:dyDescent="0.35">
      <c r="A5" s="37">
        <v>1</v>
      </c>
      <c r="B5" s="39">
        <v>6008331.2100000018</v>
      </c>
      <c r="C5" s="39">
        <v>514350.69361500005</v>
      </c>
      <c r="D5" s="39">
        <v>153142.15020000003</v>
      </c>
      <c r="E5" s="39">
        <v>300616.31630000001</v>
      </c>
      <c r="F5" s="59">
        <v>101791.89</v>
      </c>
      <c r="I5" t="s">
        <v>676</v>
      </c>
      <c r="J5" s="44"/>
      <c r="K5" s="44"/>
    </row>
    <row r="6" spans="1:14" x14ac:dyDescent="0.35">
      <c r="A6" s="37">
        <v>2</v>
      </c>
      <c r="B6" s="39">
        <v>782833.82000000007</v>
      </c>
      <c r="C6" s="39">
        <v>65782.462730000014</v>
      </c>
      <c r="D6" s="39">
        <v>15056.873099999997</v>
      </c>
      <c r="E6" s="39"/>
      <c r="F6" s="59">
        <v>0</v>
      </c>
    </row>
    <row r="7" spans="1:14" x14ac:dyDescent="0.35">
      <c r="A7" s="37" t="s">
        <v>677</v>
      </c>
      <c r="B7" s="39">
        <v>6791165.0300000021</v>
      </c>
      <c r="C7" s="39">
        <v>580133.15634500002</v>
      </c>
      <c r="D7" s="39">
        <v>168199.02330000003</v>
      </c>
      <c r="E7" s="39">
        <v>300616.31630000001</v>
      </c>
      <c r="F7" s="64">
        <f>+F5+F6</f>
        <v>101791.89</v>
      </c>
      <c r="J7" s="39"/>
    </row>
    <row r="10" spans="1:14" x14ac:dyDescent="0.35">
      <c r="I10" s="36" t="s">
        <v>91</v>
      </c>
      <c r="J10" s="37">
        <v>1</v>
      </c>
    </row>
    <row r="12" spans="1:14" x14ac:dyDescent="0.35">
      <c r="I12" s="36" t="s">
        <v>670</v>
      </c>
      <c r="J12" t="s">
        <v>671</v>
      </c>
      <c r="K12" t="s">
        <v>672</v>
      </c>
      <c r="L12" t="s">
        <v>673</v>
      </c>
      <c r="M12" t="s">
        <v>674</v>
      </c>
      <c r="N12" s="47" t="s">
        <v>669</v>
      </c>
    </row>
    <row r="13" spans="1:14" x14ac:dyDescent="0.35">
      <c r="I13" s="37" t="s">
        <v>93</v>
      </c>
      <c r="J13" s="39">
        <v>6008331.2100000028</v>
      </c>
      <c r="K13" s="39">
        <v>514350.69361499959</v>
      </c>
      <c r="L13" s="39">
        <v>153142.15019999997</v>
      </c>
      <c r="M13" s="39">
        <v>300616.31630000001</v>
      </c>
    </row>
    <row r="14" spans="1:14" x14ac:dyDescent="0.35">
      <c r="I14" s="37" t="s">
        <v>677</v>
      </c>
      <c r="J14" s="39">
        <v>6008331.2100000028</v>
      </c>
      <c r="K14" s="39">
        <v>514350.69361499959</v>
      </c>
      <c r="L14" s="39">
        <v>153142.15019999997</v>
      </c>
      <c r="M14" s="39">
        <v>300616.31630000001</v>
      </c>
      <c r="N14" s="59">
        <v>101791.89</v>
      </c>
    </row>
    <row r="15" spans="1:14" x14ac:dyDescent="0.35">
      <c r="A15" s="40" t="s">
        <v>678</v>
      </c>
    </row>
    <row r="16" spans="1:14" x14ac:dyDescent="0.35">
      <c r="A16" s="48" t="s">
        <v>679</v>
      </c>
      <c r="B16" s="42">
        <v>5991693.0699999994</v>
      </c>
      <c r="C16" s="42">
        <v>512715.70101500006</v>
      </c>
      <c r="D16" s="42">
        <v>152809.38740000001</v>
      </c>
      <c r="E16" s="42">
        <v>300616.31629999995</v>
      </c>
      <c r="F16" s="49">
        <v>101791.89</v>
      </c>
      <c r="I16" s="40"/>
      <c r="J16" s="53"/>
      <c r="K16" s="53"/>
      <c r="L16" s="53"/>
    </row>
    <row r="17" spans="1:13" x14ac:dyDescent="0.35">
      <c r="B17" s="44"/>
      <c r="C17" s="44"/>
      <c r="I17" s="40"/>
      <c r="J17" s="53"/>
      <c r="K17" s="53"/>
      <c r="L17" s="53"/>
    </row>
    <row r="18" spans="1:13" x14ac:dyDescent="0.35">
      <c r="A18" s="40" t="s">
        <v>680</v>
      </c>
      <c r="I18" s="40"/>
    </row>
    <row r="19" spans="1:13" x14ac:dyDescent="0.35">
      <c r="A19" s="46" t="s">
        <v>676</v>
      </c>
      <c r="B19" s="45">
        <f>+B7-B16</f>
        <v>799471.96000000276</v>
      </c>
      <c r="C19" s="45">
        <f t="shared" ref="C19:F19" si="0">+C7-C16</f>
        <v>67417.455329999968</v>
      </c>
      <c r="D19" s="45">
        <f t="shared" si="0"/>
        <v>15389.635900000023</v>
      </c>
      <c r="E19" s="45">
        <f t="shared" si="0"/>
        <v>0</v>
      </c>
      <c r="F19" s="45">
        <f t="shared" si="0"/>
        <v>0</v>
      </c>
      <c r="I19" s="40" t="s">
        <v>681</v>
      </c>
    </row>
    <row r="20" spans="1:13" x14ac:dyDescent="0.35">
      <c r="A20" t="s">
        <v>682</v>
      </c>
      <c r="I20" t="s">
        <v>676</v>
      </c>
      <c r="J20" s="44"/>
      <c r="K20" s="44"/>
      <c r="L20" s="44"/>
      <c r="M20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61D-9D35-4DC8-ADAE-6AA8309541FF}">
  <sheetPr>
    <tabColor theme="3" tint="0.749992370372631"/>
  </sheetPr>
  <dimension ref="A1:J27"/>
  <sheetViews>
    <sheetView workbookViewId="0">
      <selection activeCell="J26" sqref="J26"/>
    </sheetView>
  </sheetViews>
  <sheetFormatPr baseColWidth="10" defaultColWidth="11.453125" defaultRowHeight="14.5" x14ac:dyDescent="0.35"/>
  <sheetData>
    <row r="1" spans="1:10" x14ac:dyDescent="0.35">
      <c r="A1" t="s">
        <v>683</v>
      </c>
      <c r="B1" t="s">
        <v>684</v>
      </c>
      <c r="C1" s="38" t="s">
        <v>28</v>
      </c>
      <c r="D1" t="s">
        <v>685</v>
      </c>
      <c r="E1" t="s">
        <v>686</v>
      </c>
      <c r="F1" t="s">
        <v>687</v>
      </c>
      <c r="G1" t="s">
        <v>688</v>
      </c>
      <c r="H1" t="s">
        <v>689</v>
      </c>
      <c r="I1" t="s">
        <v>36</v>
      </c>
      <c r="J1" t="s">
        <v>690</v>
      </c>
    </row>
    <row r="2" spans="1:10" x14ac:dyDescent="0.35">
      <c r="A2" t="s">
        <v>691</v>
      </c>
      <c r="B2" t="s">
        <v>692</v>
      </c>
      <c r="C2" s="52">
        <v>45961</v>
      </c>
      <c r="D2" t="s">
        <v>676</v>
      </c>
      <c r="E2" t="s">
        <v>693</v>
      </c>
      <c r="F2" s="18" t="s">
        <v>214</v>
      </c>
      <c r="G2" s="18" t="s">
        <v>96</v>
      </c>
      <c r="I2" s="17">
        <v>487.08</v>
      </c>
      <c r="J2" s="17">
        <v>19.4832</v>
      </c>
    </row>
    <row r="3" spans="1:10" x14ac:dyDescent="0.35">
      <c r="C3" s="28"/>
      <c r="F3" s="18"/>
      <c r="G3" s="18"/>
      <c r="I3" s="17"/>
      <c r="J3" s="17"/>
    </row>
    <row r="4" spans="1:10" x14ac:dyDescent="0.35">
      <c r="C4" s="28"/>
      <c r="F4" s="18"/>
      <c r="G4" s="18"/>
      <c r="I4" s="17"/>
      <c r="J4" s="17"/>
    </row>
    <row r="5" spans="1:10" x14ac:dyDescent="0.35">
      <c r="C5" s="28"/>
      <c r="F5" s="18"/>
      <c r="G5" s="18"/>
      <c r="I5" s="17"/>
      <c r="J5" s="17"/>
    </row>
    <row r="6" spans="1:10" x14ac:dyDescent="0.35">
      <c r="C6" s="28"/>
      <c r="F6" s="18"/>
      <c r="G6" s="18"/>
      <c r="I6" s="17"/>
      <c r="J6" s="17"/>
    </row>
    <row r="7" spans="1:10" x14ac:dyDescent="0.35">
      <c r="C7" s="28"/>
      <c r="F7" s="18"/>
      <c r="G7" s="18"/>
      <c r="I7" s="17"/>
      <c r="J7" s="17"/>
    </row>
    <row r="8" spans="1:10" x14ac:dyDescent="0.35">
      <c r="C8" s="28"/>
      <c r="F8" s="18"/>
      <c r="G8" s="18"/>
      <c r="I8" s="17"/>
      <c r="J8" s="17"/>
    </row>
    <row r="9" spans="1:10" x14ac:dyDescent="0.35">
      <c r="C9" s="28"/>
      <c r="F9" s="18"/>
      <c r="G9" s="18"/>
      <c r="I9" s="17"/>
      <c r="J9" s="17"/>
    </row>
    <row r="10" spans="1:10" x14ac:dyDescent="0.35">
      <c r="C10" s="28"/>
      <c r="F10" s="18"/>
      <c r="G10" s="18"/>
      <c r="I10" s="17"/>
      <c r="J10" s="17"/>
    </row>
    <row r="11" spans="1:10" x14ac:dyDescent="0.35">
      <c r="C11" s="28"/>
      <c r="F11" s="18"/>
      <c r="G11" s="18"/>
      <c r="I11" s="17"/>
      <c r="J11" s="17"/>
    </row>
    <row r="12" spans="1:10" x14ac:dyDescent="0.35">
      <c r="C12" s="28"/>
      <c r="F12" s="18"/>
      <c r="G12" s="18"/>
      <c r="I12" s="17"/>
      <c r="J12" s="17"/>
    </row>
    <row r="13" spans="1:10" x14ac:dyDescent="0.35">
      <c r="C13" s="28"/>
      <c r="F13" s="18"/>
      <c r="G13" s="18"/>
      <c r="I13" s="17"/>
      <c r="J13" s="17"/>
    </row>
    <row r="14" spans="1:10" x14ac:dyDescent="0.35">
      <c r="C14" s="28"/>
      <c r="F14" s="18"/>
      <c r="G14" s="18"/>
      <c r="I14" s="17"/>
      <c r="J14" s="17"/>
    </row>
    <row r="15" spans="1:10" x14ac:dyDescent="0.35">
      <c r="C15" s="28"/>
      <c r="F15" s="18"/>
      <c r="G15" s="18"/>
      <c r="I15" s="17"/>
      <c r="J15" s="17"/>
    </row>
    <row r="16" spans="1:10" x14ac:dyDescent="0.35">
      <c r="C16" s="28"/>
      <c r="F16" s="18"/>
      <c r="G16" s="18"/>
      <c r="I16" s="17"/>
      <c r="J16" s="17"/>
    </row>
    <row r="17" spans="1:10" x14ac:dyDescent="0.35">
      <c r="C17" s="28"/>
      <c r="F17" s="18"/>
      <c r="G17" s="18"/>
      <c r="I17" s="17"/>
      <c r="J17" s="17"/>
    </row>
    <row r="18" spans="1:10" x14ac:dyDescent="0.35">
      <c r="C18" s="28"/>
      <c r="F18" s="18"/>
      <c r="G18" s="18"/>
      <c r="I18" s="17"/>
      <c r="J18" s="17"/>
    </row>
    <row r="19" spans="1:10" x14ac:dyDescent="0.35">
      <c r="C19" s="28"/>
      <c r="F19" s="18"/>
      <c r="G19" s="18"/>
      <c r="I19" s="17"/>
      <c r="J19" s="17"/>
    </row>
    <row r="20" spans="1:10" x14ac:dyDescent="0.35">
      <c r="C20" s="28"/>
      <c r="F20" s="18"/>
      <c r="G20" s="18"/>
      <c r="I20" s="17"/>
      <c r="J20" s="17"/>
    </row>
    <row r="21" spans="1:10" x14ac:dyDescent="0.35">
      <c r="C21" s="28"/>
      <c r="F21" s="18"/>
      <c r="G21" s="18"/>
      <c r="I21" s="17"/>
      <c r="J21" s="17"/>
    </row>
    <row r="22" spans="1:10" x14ac:dyDescent="0.35">
      <c r="C22" s="28"/>
      <c r="F22" s="18"/>
      <c r="G22" s="18"/>
      <c r="I22" s="17"/>
      <c r="J22" s="17"/>
    </row>
    <row r="23" spans="1:10" x14ac:dyDescent="0.35">
      <c r="C23" s="28"/>
      <c r="F23" s="18"/>
      <c r="G23" s="18"/>
      <c r="I23" s="17"/>
      <c r="J23" s="17"/>
    </row>
    <row r="24" spans="1:10" x14ac:dyDescent="0.35">
      <c r="C24" s="28"/>
      <c r="F24" s="18"/>
      <c r="G24" s="18"/>
      <c r="I24" s="17"/>
      <c r="J24" s="17"/>
    </row>
    <row r="25" spans="1:10" x14ac:dyDescent="0.35">
      <c r="C25" s="28"/>
      <c r="F25" s="18"/>
      <c r="G25" s="18"/>
      <c r="I25" s="17"/>
      <c r="J25" s="17"/>
    </row>
    <row r="26" spans="1:10" x14ac:dyDescent="0.35">
      <c r="C26" s="28"/>
      <c r="F26" s="18"/>
      <c r="G26" s="18"/>
      <c r="I26" s="17"/>
      <c r="J26" s="17"/>
    </row>
    <row r="27" spans="1:10" x14ac:dyDescent="0.35">
      <c r="A27" s="54"/>
      <c r="B27" s="54"/>
      <c r="C27" s="55"/>
      <c r="D27" s="54"/>
      <c r="E27" s="54"/>
      <c r="F27" s="56"/>
      <c r="G27" s="54"/>
      <c r="H27" s="54"/>
      <c r="I27" s="56"/>
      <c r="J27" s="5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ABE3-E00B-4904-860D-55908E75C8E9}">
  <dimension ref="A1:G4"/>
  <sheetViews>
    <sheetView workbookViewId="0">
      <selection activeCell="C8" sqref="C8"/>
    </sheetView>
  </sheetViews>
  <sheetFormatPr baseColWidth="10" defaultColWidth="11.453125" defaultRowHeight="14.5" x14ac:dyDescent="0.35"/>
  <cols>
    <col min="2" max="2" width="13.7265625" customWidth="1"/>
    <col min="3" max="3" width="15" customWidth="1"/>
    <col min="4" max="4" width="23.81640625" customWidth="1"/>
    <col min="5" max="6" width="17.54296875" customWidth="1"/>
  </cols>
  <sheetData>
    <row r="1" spans="1:7" x14ac:dyDescent="0.35">
      <c r="A1" t="s">
        <v>694</v>
      </c>
    </row>
    <row r="2" spans="1:7" x14ac:dyDescent="0.35">
      <c r="A2" t="s">
        <v>695</v>
      </c>
    </row>
    <row r="4" spans="1:7" ht="29" x14ac:dyDescent="0.35">
      <c r="A4" s="33" t="s">
        <v>696</v>
      </c>
      <c r="B4" s="33" t="s">
        <v>697</v>
      </c>
      <c r="C4" s="34" t="s">
        <v>81</v>
      </c>
      <c r="D4" s="34" t="s">
        <v>698</v>
      </c>
      <c r="E4" s="34" t="s">
        <v>85</v>
      </c>
      <c r="F4" s="35" t="s">
        <v>699</v>
      </c>
      <c r="G4" s="34" t="s">
        <v>700</v>
      </c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E818-45AE-47F3-9C6B-DA3C22D27C40}">
  <dimension ref="A1:L9"/>
  <sheetViews>
    <sheetView workbookViewId="0">
      <selection activeCell="B4" sqref="B4"/>
    </sheetView>
  </sheetViews>
  <sheetFormatPr baseColWidth="10" defaultColWidth="11.453125" defaultRowHeight="14.5" x14ac:dyDescent="0.35"/>
  <cols>
    <col min="1" max="1" width="24.54296875" customWidth="1"/>
    <col min="2" max="2" width="24.81640625" customWidth="1"/>
  </cols>
  <sheetData>
    <row r="1" spans="1:12" x14ac:dyDescent="0.35">
      <c r="A1" s="7" t="s">
        <v>701</v>
      </c>
      <c r="L1" s="19"/>
    </row>
    <row r="3" spans="1:12" x14ac:dyDescent="0.35">
      <c r="B3" s="11" t="s">
        <v>702</v>
      </c>
    </row>
    <row r="4" spans="1:12" x14ac:dyDescent="0.35">
      <c r="A4" s="13" t="s">
        <v>703</v>
      </c>
      <c r="B4" s="12">
        <f>+SUM('Modelo Datos'!I:I)</f>
        <v>6791165.0300000012</v>
      </c>
    </row>
    <row r="5" spans="1:12" x14ac:dyDescent="0.35">
      <c r="A5" s="13" t="s">
        <v>704</v>
      </c>
      <c r="B5" s="12">
        <f>+SUM('Modelo Datos'!J:J)</f>
        <v>748332.17964499991</v>
      </c>
    </row>
    <row r="6" spans="1:12" x14ac:dyDescent="0.35">
      <c r="A6" s="13" t="s">
        <v>705</v>
      </c>
      <c r="B6" s="12">
        <f>+SUM('Modelo Datos'!K:K)</f>
        <v>580133.15634500014</v>
      </c>
    </row>
    <row r="7" spans="1:12" x14ac:dyDescent="0.35">
      <c r="A7" s="13" t="s">
        <v>706</v>
      </c>
      <c r="B7" s="12">
        <f>+SUM('Modelo Datos'!P:R)</f>
        <v>300616.31630000001</v>
      </c>
    </row>
    <row r="9" spans="1:12" x14ac:dyDescent="0.35">
      <c r="A9" s="14" t="s">
        <v>707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17E5-CFC1-46AB-A4B0-11B8AFF82E23}">
  <dimension ref="A2:D179"/>
  <sheetViews>
    <sheetView topLeftCell="A159" workbookViewId="0">
      <selection activeCell="C175" sqref="C175"/>
    </sheetView>
  </sheetViews>
  <sheetFormatPr baseColWidth="10" defaultColWidth="8.7265625" defaultRowHeight="14.5" x14ac:dyDescent="0.35"/>
  <cols>
    <col min="1" max="1" width="14.1796875" bestFit="1" customWidth="1"/>
    <col min="2" max="2" width="44.453125" bestFit="1" customWidth="1"/>
    <col min="3" max="3" width="29.26953125" customWidth="1"/>
  </cols>
  <sheetData>
    <row r="2" spans="1:4" x14ac:dyDescent="0.35">
      <c r="A2" s="36" t="s">
        <v>72</v>
      </c>
      <c r="B2" t="s">
        <v>708</v>
      </c>
      <c r="C2" t="s">
        <v>709</v>
      </c>
      <c r="D2" t="s">
        <v>710</v>
      </c>
    </row>
    <row r="3" spans="1:4" x14ac:dyDescent="0.35">
      <c r="A3" t="s">
        <v>551</v>
      </c>
      <c r="B3" t="str">
        <f>+VLOOKUP(A3,'Modelo Datos'!AD:AF,2,0)</f>
        <v>JOAQUIN GUILLEN GOMEZ</v>
      </c>
      <c r="C3" t="str">
        <f>+VLOOKUP(A3,'Modelo Datos'!AD:AF,3,0)</f>
        <v>PARTICULAR</v>
      </c>
      <c r="D3">
        <f>+VLOOKUP(A3,'Modelo Datos'!AD:AG,4,0)</f>
        <v>30609</v>
      </c>
    </row>
    <row r="4" spans="1:4" x14ac:dyDescent="0.35">
      <c r="A4" t="s">
        <v>458</v>
      </c>
      <c r="B4" t="str">
        <f>+VLOOKUP(A4,'Modelo Datos'!AD:AF,2,0)</f>
        <v>ANTONIO LOPEZ GARCIA</v>
      </c>
      <c r="C4" t="str">
        <f>+VLOOKUP(A4,'Modelo Datos'!AD:AF,3,0)</f>
        <v>PARTICULAR</v>
      </c>
      <c r="D4">
        <f>+VLOOKUP(A4,'Modelo Datos'!AD:AG,4,0)</f>
        <v>30550</v>
      </c>
    </row>
    <row r="5" spans="1:4" x14ac:dyDescent="0.35">
      <c r="A5" t="s">
        <v>580</v>
      </c>
      <c r="B5" t="str">
        <f>+VLOOKUP(A5,'Modelo Datos'!AD:AF,2,0)</f>
        <v>ELISA MARTINEZ TORRES</v>
      </c>
      <c r="C5" t="str">
        <f>+VLOOKUP(A5,'Modelo Datos'!AD:AF,3,0)</f>
        <v>PARTICULAR</v>
      </c>
      <c r="D5">
        <f>+VLOOKUP(A5,'Modelo Datos'!AD:AG,4,0)</f>
        <v>30550</v>
      </c>
    </row>
    <row r="6" spans="1:4" x14ac:dyDescent="0.35">
      <c r="A6" t="s">
        <v>142</v>
      </c>
      <c r="B6" t="str">
        <f>+VLOOKUP(A6,'Modelo Datos'!AD:AF,2,0)</f>
        <v>ISABEL GARCIA GARCIA</v>
      </c>
      <c r="C6" t="str">
        <f>+VLOOKUP(A6,'Modelo Datos'!AD:AF,3,0)</f>
        <v>PARTICULAR</v>
      </c>
      <c r="D6">
        <f>+VLOOKUP(A6,'Modelo Datos'!AD:AG,4,0)</f>
        <v>30550</v>
      </c>
    </row>
    <row r="7" spans="1:4" x14ac:dyDescent="0.35">
      <c r="A7" t="s">
        <v>586</v>
      </c>
      <c r="B7" t="str">
        <f>+VLOOKUP(A7,'Modelo Datos'!AD:AF,2,0)</f>
        <v>ANTONIO TURPIN LUCAS</v>
      </c>
      <c r="C7" t="str">
        <f>+VLOOKUP(A7,'Modelo Datos'!AD:AF,3,0)</f>
        <v>PARTICULAR</v>
      </c>
      <c r="D7">
        <f>+VLOOKUP(A7,'Modelo Datos'!AD:AG,4,0)</f>
        <v>30550</v>
      </c>
    </row>
    <row r="8" spans="1:4" x14ac:dyDescent="0.35">
      <c r="A8" t="s">
        <v>398</v>
      </c>
      <c r="B8" t="str">
        <f>+VLOOKUP(A8,'Modelo Datos'!AD:AF,2,0)</f>
        <v>JUAN GONZALEZ PEREZ</v>
      </c>
      <c r="C8" t="str">
        <f>+VLOOKUP(A8,'Modelo Datos'!AD:AF,3,0)</f>
        <v>PARTICULAR</v>
      </c>
      <c r="D8">
        <f>+VLOOKUP(A8,'Modelo Datos'!AD:AG,4,0)</f>
        <v>30559</v>
      </c>
    </row>
    <row r="9" spans="1:4" x14ac:dyDescent="0.35">
      <c r="A9" t="s">
        <v>407</v>
      </c>
      <c r="B9" t="str">
        <f>+VLOOKUP(A9,'Modelo Datos'!AD:AF,2,0)</f>
        <v>AGUSTINA BASTIDA BALLESTER</v>
      </c>
      <c r="C9" t="str">
        <f>+VLOOKUP(A9,'Modelo Datos'!AD:AF,3,0)</f>
        <v>PARTICULAR</v>
      </c>
      <c r="D9">
        <f>+VLOOKUP(A9,'Modelo Datos'!AD:AG,4,0)</f>
        <v>30530</v>
      </c>
    </row>
    <row r="10" spans="1:4" x14ac:dyDescent="0.35">
      <c r="A10" t="s">
        <v>353</v>
      </c>
      <c r="B10" t="str">
        <f>+VLOOKUP(A10,'Modelo Datos'!AD:AF,2,0)</f>
        <v xml:space="preserve"> JUANA VALERA MENDEZ</v>
      </c>
      <c r="C10" t="str">
        <f>+VLOOKUP(A10,'Modelo Datos'!AD:AF,3,0)</f>
        <v>PARTICULAR</v>
      </c>
      <c r="D10">
        <f>+VLOOKUP(A10,'Modelo Datos'!AD:AG,4,0)</f>
        <v>30870</v>
      </c>
    </row>
    <row r="11" spans="1:4" x14ac:dyDescent="0.35">
      <c r="A11" t="s">
        <v>299</v>
      </c>
      <c r="B11" t="str">
        <f>+VLOOKUP(A11,'Modelo Datos'!AD:AF,2,0)</f>
        <v>BENITO RAJA RAJA</v>
      </c>
      <c r="C11" t="str">
        <f>+VLOOKUP(A11,'Modelo Datos'!AD:AF,3,0)</f>
        <v>PARTICULAR</v>
      </c>
      <c r="D11">
        <f>+VLOOKUP(A11,'Modelo Datos'!AD:AG,4,0)</f>
        <v>30870</v>
      </c>
    </row>
    <row r="12" spans="1:4" x14ac:dyDescent="0.35">
      <c r="A12" t="s">
        <v>302</v>
      </c>
      <c r="B12" t="str">
        <f>+VLOOKUP(A12,'Modelo Datos'!AD:AF,2,0)</f>
        <v>JOSÉ ZAMORA LÓPEZ</v>
      </c>
      <c r="C12" t="str">
        <f>+VLOOKUP(A12,'Modelo Datos'!AD:AF,3,0)</f>
        <v>PARTICULAR</v>
      </c>
      <c r="D12">
        <f>+VLOOKUP(A12,'Modelo Datos'!AD:AG,4,0)</f>
        <v>30870</v>
      </c>
    </row>
    <row r="13" spans="1:4" x14ac:dyDescent="0.35">
      <c r="A13" t="s">
        <v>269</v>
      </c>
      <c r="B13" t="str">
        <f>+VLOOKUP(A13,'Modelo Datos'!AD:AF,2,0)</f>
        <v>JUAN AYALA CANDEL</v>
      </c>
      <c r="C13" t="str">
        <f>+VLOOKUP(A13,'Modelo Datos'!AD:AF,3,0)</f>
        <v>PARTICULAR</v>
      </c>
      <c r="D13">
        <f>+VLOOKUP(A13,'Modelo Datos'!AD:AG,4,0)</f>
        <v>30530</v>
      </c>
    </row>
    <row r="14" spans="1:4" x14ac:dyDescent="0.35">
      <c r="A14" t="s">
        <v>279</v>
      </c>
      <c r="B14" t="str">
        <f>+VLOOKUP(A14,'Modelo Datos'!AD:AF,2,0)</f>
        <v>VILLALBA GUARDIOLA MANUEL</v>
      </c>
      <c r="C14" t="str">
        <f>+VLOOKUP(A14,'Modelo Datos'!AD:AF,3,0)</f>
        <v>PARTICULAR</v>
      </c>
      <c r="D14">
        <f>+VLOOKUP(A14,'Modelo Datos'!AD:AG,4,0)</f>
        <v>30530</v>
      </c>
    </row>
    <row r="15" spans="1:4" x14ac:dyDescent="0.35">
      <c r="A15" t="s">
        <v>335</v>
      </c>
      <c r="B15" t="str">
        <f>+VLOOKUP(A15,'Modelo Datos'!AD:AF,2,0)</f>
        <v>RAFAEL MONDEJAR BELDA</v>
      </c>
      <c r="C15" t="str">
        <f>+VLOOKUP(A15,'Modelo Datos'!AD:AF,3,0)</f>
        <v>PARTICULAR</v>
      </c>
      <c r="D15">
        <f>+VLOOKUP(A15,'Modelo Datos'!AD:AG,4,0)</f>
        <v>30559</v>
      </c>
    </row>
    <row r="16" spans="1:4" x14ac:dyDescent="0.35">
      <c r="A16" t="s">
        <v>314</v>
      </c>
      <c r="B16" t="str">
        <f>+VLOOKUP(A16,'Modelo Datos'!AD:AF,2,0)</f>
        <v>MARIA GLORIA YELO COBARRO</v>
      </c>
      <c r="C16" t="str">
        <f>+VLOOKUP(A16,'Modelo Datos'!AD:AF,3,0)</f>
        <v>PARTICULAR</v>
      </c>
      <c r="D16">
        <f>+VLOOKUP(A16,'Modelo Datos'!AD:AG,4,0)</f>
        <v>30550</v>
      </c>
    </row>
    <row r="17" spans="1:4" x14ac:dyDescent="0.35">
      <c r="A17" t="s">
        <v>500</v>
      </c>
      <c r="B17" t="str">
        <f>+VLOOKUP(A17,'Modelo Datos'!AD:AF,2,0)</f>
        <v>FRANCISCO PEREZ GIMENEZ</v>
      </c>
      <c r="C17" t="str">
        <f>+VLOOKUP(A17,'Modelo Datos'!AD:AF,3,0)</f>
        <v>PARTICULAR</v>
      </c>
      <c r="D17">
        <f>+VLOOKUP(A17,'Modelo Datos'!AD:AG,4,0)</f>
        <v>30530</v>
      </c>
    </row>
    <row r="18" spans="1:4" x14ac:dyDescent="0.35">
      <c r="A18" t="s">
        <v>282</v>
      </c>
      <c r="B18" t="str">
        <f>+VLOOKUP(A18,'Modelo Datos'!AD:AF,2,0)</f>
        <v>MARIA JOSEFA ALMAGRO GARCIA</v>
      </c>
      <c r="C18" t="str">
        <f>+VLOOKUP(A18,'Modelo Datos'!AD:AF,3,0)</f>
        <v>PARTICULAR</v>
      </c>
      <c r="D18">
        <f>+VLOOKUP(A18,'Modelo Datos'!AD:AG,4,0)</f>
        <v>30530</v>
      </c>
    </row>
    <row r="19" spans="1:4" x14ac:dyDescent="0.35">
      <c r="A19" t="s">
        <v>413</v>
      </c>
      <c r="B19" t="str">
        <f>+VLOOKUP(A19,'Modelo Datos'!AD:AF,2,0)</f>
        <v>ISABEL PAGAN RUIZ</v>
      </c>
      <c r="C19" t="str">
        <f>+VLOOKUP(A19,'Modelo Datos'!AD:AF,3,0)</f>
        <v>PARTICULAR</v>
      </c>
      <c r="D19">
        <f>+VLOOKUP(A19,'Modelo Datos'!AD:AG,4,0)</f>
        <v>30550</v>
      </c>
    </row>
    <row r="20" spans="1:4" x14ac:dyDescent="0.35">
      <c r="A20" t="s">
        <v>554</v>
      </c>
      <c r="B20" t="str">
        <f>+VLOOKUP(A20,'Modelo Datos'!AD:AF,2,0)</f>
        <v>JOSE MARIA MORA LOZANO</v>
      </c>
      <c r="C20" t="str">
        <f>+VLOOKUP(A20,'Modelo Datos'!AD:AF,3,0)</f>
        <v>PARTICULAR</v>
      </c>
      <c r="D20">
        <f>+VLOOKUP(A20,'Modelo Datos'!AD:AG,4,0)</f>
        <v>30559</v>
      </c>
    </row>
    <row r="21" spans="1:4" x14ac:dyDescent="0.35">
      <c r="A21" t="s">
        <v>557</v>
      </c>
      <c r="B21" t="str">
        <f>+VLOOKUP(A21,'Modelo Datos'!AD:AF,2,0)</f>
        <v>FRANCISCO DÍAZ LOZANO</v>
      </c>
      <c r="C21" t="str">
        <f>+VLOOKUP(A21,'Modelo Datos'!AD:AF,3,0)</f>
        <v>PARTICULAR</v>
      </c>
      <c r="D21">
        <f>+VLOOKUP(A21,'Modelo Datos'!AD:AG,4,0)</f>
        <v>30500</v>
      </c>
    </row>
    <row r="22" spans="1:4" x14ac:dyDescent="0.35">
      <c r="A22" t="s">
        <v>524</v>
      </c>
      <c r="B22" t="str">
        <f>+VLOOKUP(A22,'Modelo Datos'!AD:AF,2,0)</f>
        <v>GERMAN BRUNO ABELLAN MARTINEZ</v>
      </c>
      <c r="C22" t="str">
        <f>+VLOOKUP(A22,'Modelo Datos'!AD:AF,3,0)</f>
        <v>PARTICULAR</v>
      </c>
      <c r="D22">
        <f>+VLOOKUP(A22,'Modelo Datos'!AD:AG,4,0)</f>
        <v>30550</v>
      </c>
    </row>
    <row r="23" spans="1:4" x14ac:dyDescent="0.35">
      <c r="A23" t="s">
        <v>145</v>
      </c>
      <c r="B23" t="str">
        <f>+VLOOKUP(A23,'Modelo Datos'!AD:AF,2,0)</f>
        <v>Mª ISABEL ORTEGA GARCIA</v>
      </c>
      <c r="C23" t="str">
        <f>+VLOOKUP(A23,'Modelo Datos'!AD:AF,3,0)</f>
        <v>PARTICULAR</v>
      </c>
      <c r="D23">
        <f>+VLOOKUP(A23,'Modelo Datos'!AD:AG,4,0)</f>
        <v>3550</v>
      </c>
    </row>
    <row r="24" spans="1:4" x14ac:dyDescent="0.35">
      <c r="A24" t="s">
        <v>401</v>
      </c>
      <c r="B24" t="str">
        <f>+VLOOKUP(A24,'Modelo Datos'!AD:AF,2,0)</f>
        <v>MARIA MERCEDES GOMEZ CARRASCO</v>
      </c>
      <c r="C24" t="str">
        <f>+VLOOKUP(A24,'Modelo Datos'!AD:AF,3,0)</f>
        <v>PARTICULAR</v>
      </c>
      <c r="D24">
        <f>+VLOOKUP(A24,'Modelo Datos'!AD:AG,4,0)</f>
        <v>30550</v>
      </c>
    </row>
    <row r="25" spans="1:4" x14ac:dyDescent="0.35">
      <c r="A25" t="s">
        <v>515</v>
      </c>
      <c r="B25" t="str">
        <f>+VLOOKUP(A25,'Modelo Datos'!AD:AF,2,0)</f>
        <v>RAQUEL FATIMA ABELLAN MARTINEZ</v>
      </c>
      <c r="C25" t="str">
        <f>+VLOOKUP(A25,'Modelo Datos'!AD:AF,3,0)</f>
        <v>PARTICULAR</v>
      </c>
      <c r="D25">
        <f>+VLOOKUP(A25,'Modelo Datos'!AD:AG,4,0)</f>
        <v>30550</v>
      </c>
    </row>
    <row r="26" spans="1:4" x14ac:dyDescent="0.35">
      <c r="A26" t="s">
        <v>449</v>
      </c>
      <c r="B26" t="str">
        <f>+VLOOKUP(A26,'Modelo Datos'!AD:AF,2,0)</f>
        <v>MARIA LUISA PEREZ MUIÑO</v>
      </c>
      <c r="C26" t="str">
        <f>+VLOOKUP(A26,'Modelo Datos'!AD:AF,3,0)</f>
        <v>PARTICULAR</v>
      </c>
      <c r="D26">
        <f>+VLOOKUP(A26,'Modelo Datos'!AD:AG,4,0)</f>
        <v>30400</v>
      </c>
    </row>
    <row r="27" spans="1:4" x14ac:dyDescent="0.35">
      <c r="A27" t="s">
        <v>598</v>
      </c>
      <c r="B27" t="str">
        <f>+VLOOKUP(A27,'Modelo Datos'!AD:AF,2,0)</f>
        <v>JOSE LOPEZ HITA</v>
      </c>
      <c r="C27" t="str">
        <f>+VLOOKUP(A27,'Modelo Datos'!AD:AF,3,0)</f>
        <v>PARTICULAR</v>
      </c>
      <c r="D27">
        <f>+VLOOKUP(A27,'Modelo Datos'!AD:AG,4,0)</f>
        <v>30550</v>
      </c>
    </row>
    <row r="28" spans="1:4" x14ac:dyDescent="0.35">
      <c r="A28" t="s">
        <v>604</v>
      </c>
      <c r="B28" t="str">
        <f>+VLOOKUP(A28,'Modelo Datos'!AD:AF,2,0)</f>
        <v>CATALINA LÓPEZ HITA</v>
      </c>
      <c r="C28" t="str">
        <f>+VLOOKUP(A28,'Modelo Datos'!AD:AF,3,0)</f>
        <v>PARTICULAR</v>
      </c>
      <c r="D28">
        <f>+VLOOKUP(A28,'Modelo Datos'!AD:AG,4,0)</f>
        <v>30550</v>
      </c>
    </row>
    <row r="29" spans="1:4" x14ac:dyDescent="0.35">
      <c r="A29" t="s">
        <v>592</v>
      </c>
      <c r="B29" t="str">
        <f>+VLOOKUP(A29,'Modelo Datos'!AD:AF,2,0)</f>
        <v>FRANCISCO LOPEZ HITA</v>
      </c>
      <c r="C29" t="str">
        <f>+VLOOKUP(A29,'Modelo Datos'!AD:AF,3,0)</f>
        <v>PARTICULAR</v>
      </c>
      <c r="D29">
        <f>+VLOOKUP(A29,'Modelo Datos'!AD:AG,4,0)</f>
        <v>30550</v>
      </c>
    </row>
    <row r="30" spans="1:4" x14ac:dyDescent="0.35">
      <c r="A30" t="s">
        <v>601</v>
      </c>
      <c r="B30" t="str">
        <f>+VLOOKUP(A30,'Modelo Datos'!AD:AF,2,0)</f>
        <v>SANTIAGO LOPEZ HITA</v>
      </c>
      <c r="C30" t="str">
        <f>+VLOOKUP(A30,'Modelo Datos'!AD:AF,3,0)</f>
        <v>PARTICULAR</v>
      </c>
      <c r="D30">
        <f>+VLOOKUP(A30,'Modelo Datos'!AD:AG,4,0)</f>
        <v>30550</v>
      </c>
    </row>
    <row r="31" spans="1:4" x14ac:dyDescent="0.35">
      <c r="A31" t="s">
        <v>329</v>
      </c>
      <c r="B31" t="str">
        <f>+VLOOKUP(A31,'Modelo Datos'!AD:AF,2,0)</f>
        <v>MARIA MONSERRAT MOLINA SALMERON</v>
      </c>
      <c r="C31" t="str">
        <f>+VLOOKUP(A31,'Modelo Datos'!AD:AF,3,0)</f>
        <v>PARTICULAR</v>
      </c>
      <c r="D31">
        <f>+VLOOKUP(A31,'Modelo Datos'!AD:AG,4,0)</f>
        <v>30540</v>
      </c>
    </row>
    <row r="32" spans="1:4" x14ac:dyDescent="0.35">
      <c r="A32" t="s">
        <v>512</v>
      </c>
      <c r="B32" t="str">
        <f>+VLOOKUP(A32,'Modelo Datos'!AD:AF,2,0)</f>
        <v>JUAN ANGEL MARTINEZ ORTEGA</v>
      </c>
      <c r="C32" t="str">
        <f>+VLOOKUP(A32,'Modelo Datos'!AD:AF,3,0)</f>
        <v>PARTICULAR</v>
      </c>
      <c r="D32">
        <f>+VLOOKUP(A32,'Modelo Datos'!AD:AG,4,0)</f>
        <v>30540</v>
      </c>
    </row>
    <row r="33" spans="1:4" x14ac:dyDescent="0.35">
      <c r="A33" t="s">
        <v>285</v>
      </c>
      <c r="B33" t="str">
        <f>+VLOOKUP(A33,'Modelo Datos'!AD:AF,2,0)</f>
        <v>JOAQUIN GARCIA SANCHEZ</v>
      </c>
      <c r="C33" t="str">
        <f>+VLOOKUP(A33,'Modelo Datos'!AD:AF,3,0)</f>
        <v>PARTICULAR</v>
      </c>
      <c r="D33">
        <f>+VLOOKUP(A33,'Modelo Datos'!AD:AG,4,0)</f>
        <v>30600</v>
      </c>
    </row>
    <row r="34" spans="1:4" x14ac:dyDescent="0.35">
      <c r="A34" t="s">
        <v>473</v>
      </c>
      <c r="B34" t="str">
        <f>+VLOOKUP(A34,'Modelo Datos'!AD:AF,2,0)</f>
        <v>NURIA CASTAÑO MORALES</v>
      </c>
      <c r="C34" t="str">
        <f>+VLOOKUP(A34,'Modelo Datos'!AD:AF,3,0)</f>
        <v>PARTICULAR</v>
      </c>
      <c r="D34">
        <f>+VLOOKUP(A34,'Modelo Datos'!AD:AG,4,0)</f>
        <v>30530</v>
      </c>
    </row>
    <row r="35" spans="1:4" x14ac:dyDescent="0.35">
      <c r="A35" t="s">
        <v>356</v>
      </c>
      <c r="B35" t="str">
        <f>+VLOOKUP(A35,'Modelo Datos'!AD:AF,2,0)</f>
        <v>JUAN JESUS MOLINA MOLINA</v>
      </c>
      <c r="C35" t="str">
        <f>+VLOOKUP(A35,'Modelo Datos'!AD:AF,3,0)</f>
        <v>PARTICULAR</v>
      </c>
      <c r="D35">
        <f>+VLOOKUP(A35,'Modelo Datos'!AD:AG,4,0)</f>
        <v>30600</v>
      </c>
    </row>
    <row r="36" spans="1:4" x14ac:dyDescent="0.35">
      <c r="A36" t="s">
        <v>385</v>
      </c>
      <c r="B36" t="str">
        <f>+VLOOKUP(A36,'Modelo Datos'!AD:AF,2,0)</f>
        <v>MIGUEL ANGEL YEPES GUILLAMON</v>
      </c>
      <c r="C36" t="str">
        <f>+VLOOKUP(A36,'Modelo Datos'!AD:AF,3,0)</f>
        <v>PARTICULAR</v>
      </c>
      <c r="D36">
        <f>+VLOOKUP(A36,'Modelo Datos'!AD:AG,4,0)</f>
        <v>30540</v>
      </c>
    </row>
    <row r="37" spans="1:4" x14ac:dyDescent="0.35">
      <c r="A37" t="s">
        <v>359</v>
      </c>
      <c r="B37" t="str">
        <f>+VLOOKUP(A37,'Modelo Datos'!AD:AF,2,0)</f>
        <v>FRANCISCO ANDRES GARCIA LUNA</v>
      </c>
      <c r="C37" t="str">
        <f>+VLOOKUP(A37,'Modelo Datos'!AD:AF,3,0)</f>
        <v>PARTICULAR</v>
      </c>
      <c r="D37">
        <f>+VLOOKUP(A37,'Modelo Datos'!AD:AG,4,0)</f>
        <v>30600</v>
      </c>
    </row>
    <row r="38" spans="1:4" x14ac:dyDescent="0.35">
      <c r="A38" t="s">
        <v>506</v>
      </c>
      <c r="B38" t="str">
        <f>+VLOOKUP(A38,'Modelo Datos'!AD:AF,2,0)</f>
        <v>PEDRO JOSE MIRALLES MARTINEZ</v>
      </c>
      <c r="C38" t="str">
        <f>+VLOOKUP(A38,'Modelo Datos'!AD:AF,3,0)</f>
        <v>PARTICULAR</v>
      </c>
      <c r="D38">
        <f>+VLOOKUP(A38,'Modelo Datos'!AD:AG,4,0)</f>
        <v>30559</v>
      </c>
    </row>
    <row r="39" spans="1:4" x14ac:dyDescent="0.35">
      <c r="A39" t="s">
        <v>533</v>
      </c>
      <c r="B39" t="str">
        <f>+VLOOKUP(A39,'Modelo Datos'!AD:AF,2,0)</f>
        <v>OMAR JESUS GOMEZ MOLINA</v>
      </c>
      <c r="C39" t="str">
        <f>+VLOOKUP(A39,'Modelo Datos'!AD:AF,3,0)</f>
        <v>PARTICULAR</v>
      </c>
      <c r="D39">
        <f>+VLOOKUP(A39,'Modelo Datos'!AD:AG,4,0)</f>
        <v>30540</v>
      </c>
    </row>
    <row r="40" spans="1:4" x14ac:dyDescent="0.35">
      <c r="A40" t="s">
        <v>347</v>
      </c>
      <c r="B40" t="str">
        <f>+VLOOKUP(A40,'Modelo Datos'!AD:AF,2,0)</f>
        <v>DAVID MARIN MARIN</v>
      </c>
      <c r="C40" t="str">
        <f>+VLOOKUP(A40,'Modelo Datos'!AD:AF,3,0)</f>
        <v>PARTICULAR</v>
      </c>
      <c r="D40">
        <f>+VLOOKUP(A40,'Modelo Datos'!AD:AG,4,0)</f>
        <v>30530</v>
      </c>
    </row>
    <row r="41" spans="1:4" x14ac:dyDescent="0.35">
      <c r="A41" t="s">
        <v>293</v>
      </c>
      <c r="B41" t="str">
        <f>+VLOOKUP(A41,'Modelo Datos'!AD:AF,2,0)</f>
        <v>JOSE ANTONIO NOGUERA PEREZ</v>
      </c>
      <c r="C41" t="str">
        <f>+VLOOKUP(A41,'Modelo Datos'!AD:AF,3,0)</f>
        <v>PARTICULAR</v>
      </c>
      <c r="D41">
        <f>+VLOOKUP(A41,'Modelo Datos'!AD:AG,4,0)</f>
        <v>30550</v>
      </c>
    </row>
    <row r="42" spans="1:4" x14ac:dyDescent="0.35">
      <c r="A42" t="s">
        <v>539</v>
      </c>
      <c r="B42" t="str">
        <f>+VLOOKUP(A42,'Modelo Datos'!AD:AF,2,0)</f>
        <v>ANDRES BASTIDA MOLINA</v>
      </c>
      <c r="C42" t="str">
        <f>+VLOOKUP(A42,'Modelo Datos'!AD:AF,3,0)</f>
        <v>PARTICULAR</v>
      </c>
      <c r="D42">
        <f>+VLOOKUP(A42,'Modelo Datos'!AD:AG,4,0)</f>
        <v>30550</v>
      </c>
    </row>
    <row r="43" spans="1:4" x14ac:dyDescent="0.35">
      <c r="A43" t="s">
        <v>379</v>
      </c>
      <c r="B43" t="str">
        <f>+VLOOKUP(A43,'Modelo Datos'!AD:AF,2,0)</f>
        <v>JOSE DAVID MOLINA CARRASCO</v>
      </c>
      <c r="C43" t="str">
        <f>+VLOOKUP(A43,'Modelo Datos'!AD:AF,3,0)</f>
        <v>PARTICULAR</v>
      </c>
      <c r="D43">
        <f>+VLOOKUP(A43,'Modelo Datos'!AD:AG,4,0)</f>
        <v>30550</v>
      </c>
    </row>
    <row r="44" spans="1:4" x14ac:dyDescent="0.35">
      <c r="A44" t="s">
        <v>326</v>
      </c>
      <c r="B44" t="str">
        <f>+VLOOKUP(A44,'Modelo Datos'!AD:AF,2,0)</f>
        <v>ALBERTO TRIGUEROS TORRANO</v>
      </c>
      <c r="C44" t="str">
        <f>+VLOOKUP(A44,'Modelo Datos'!AD:AF,3,0)</f>
        <v>PARTICULAR</v>
      </c>
      <c r="D44">
        <f>+VLOOKUP(A44,'Modelo Datos'!AD:AG,4,0)</f>
        <v>30550</v>
      </c>
    </row>
    <row r="45" spans="1:4" x14ac:dyDescent="0.35">
      <c r="A45" t="s">
        <v>658</v>
      </c>
      <c r="B45" t="str">
        <f>+VLOOKUP(A45,'Modelo Datos'!AD:AF,2,0)</f>
        <v>JUAN FRANCISCO CONTRERAS SALMERON</v>
      </c>
      <c r="C45" t="str">
        <f>+VLOOKUP(A45,'Modelo Datos'!AD:AF,3,0)</f>
        <v>PARTICULAR</v>
      </c>
      <c r="D45">
        <f>+VLOOKUP(A45,'Modelo Datos'!AD:AG,4,0)</f>
        <v>30562</v>
      </c>
    </row>
    <row r="46" spans="1:4" x14ac:dyDescent="0.35">
      <c r="A46" t="s">
        <v>610</v>
      </c>
      <c r="B46" t="str">
        <f>+VLOOKUP(A46,'Modelo Datos'!AD:AF,2,0)</f>
        <v>JOSE ANTONIO MEDRANO MORTE</v>
      </c>
      <c r="C46" t="str">
        <f>+VLOOKUP(A46,'Modelo Datos'!AD:AF,3,0)</f>
        <v>PARTICULAR</v>
      </c>
      <c r="D46">
        <f>+VLOOKUP(A46,'Modelo Datos'!AD:AG,4,0)</f>
        <v>30550</v>
      </c>
    </row>
    <row r="47" spans="1:4" x14ac:dyDescent="0.35">
      <c r="A47" t="s">
        <v>479</v>
      </c>
      <c r="B47" t="str">
        <f>+VLOOKUP(A47,'Modelo Datos'!AD:AF,2,0)</f>
        <v>CONSUELO CONTRERAS BELDA</v>
      </c>
      <c r="C47" t="str">
        <f>+VLOOKUP(A47,'Modelo Datos'!AD:AF,3,0)</f>
        <v>PARTICULAR</v>
      </c>
      <c r="D47">
        <f>+VLOOKUP(A47,'Modelo Datos'!AD:AG,4,0)</f>
        <v>30600</v>
      </c>
    </row>
    <row r="48" spans="1:4" x14ac:dyDescent="0.35">
      <c r="A48" t="s">
        <v>440</v>
      </c>
      <c r="B48" t="str">
        <f>+VLOOKUP(A48,'Modelo Datos'!AD:AF,2,0)</f>
        <v>ANTONIO FERNANDEZ MARTINEZ</v>
      </c>
      <c r="C48" t="str">
        <f>+VLOOKUP(A48,'Modelo Datos'!AD:AF,3,0)</f>
        <v>PARTICULAR</v>
      </c>
      <c r="D48">
        <f>+VLOOKUP(A48,'Modelo Datos'!AD:AG,4,0)</f>
        <v>30530</v>
      </c>
    </row>
    <row r="49" spans="1:4" x14ac:dyDescent="0.35">
      <c r="A49" t="s">
        <v>628</v>
      </c>
      <c r="B49" t="str">
        <f>+VLOOKUP(A49,'Modelo Datos'!AD:AF,2,0)</f>
        <v>RAFAEL MELGAREJO VILLEGAS</v>
      </c>
      <c r="C49" t="str">
        <f>+VLOOKUP(A49,'Modelo Datos'!AD:AF,3,0)</f>
        <v>PARTICULAR</v>
      </c>
      <c r="D49">
        <f>+VLOOKUP(A49,'Modelo Datos'!AD:AG,4,0)</f>
        <v>30550</v>
      </c>
    </row>
    <row r="50" spans="1:4" x14ac:dyDescent="0.35">
      <c r="A50" t="s">
        <v>323</v>
      </c>
      <c r="B50" t="str">
        <f>+VLOOKUP(A50,'Modelo Datos'!AD:AF,2,0)</f>
        <v>JOSE REYES TRIGUEROS TORRANO</v>
      </c>
      <c r="C50" t="str">
        <f>+VLOOKUP(A50,'Modelo Datos'!AD:AF,3,0)</f>
        <v>PARTICULAR</v>
      </c>
      <c r="D50">
        <f>+VLOOKUP(A50,'Modelo Datos'!AD:AG,4,0)</f>
        <v>30550</v>
      </c>
    </row>
    <row r="51" spans="1:4" x14ac:dyDescent="0.35">
      <c r="A51" t="s">
        <v>388</v>
      </c>
      <c r="B51" t="str">
        <f>+VLOOKUP(A51,'Modelo Datos'!AD:AF,2,0)</f>
        <v>MARIA SANDOVAL RUIZ</v>
      </c>
      <c r="C51" t="str">
        <f>+VLOOKUP(A51,'Modelo Datos'!AD:AF,3,0)</f>
        <v>PARTICULAR</v>
      </c>
      <c r="D51">
        <f>+VLOOKUP(A51,'Modelo Datos'!AD:AG,4,0)</f>
        <v>30530</v>
      </c>
    </row>
    <row r="52" spans="1:4" x14ac:dyDescent="0.35">
      <c r="A52" t="s">
        <v>647</v>
      </c>
      <c r="B52" t="str">
        <f>+VLOOKUP(A52,'Modelo Datos'!AD:AF,2,0)</f>
        <v>ANDREA MARTINEZ YELO</v>
      </c>
      <c r="C52" t="str">
        <f>+VLOOKUP(A52,'Modelo Datos'!AD:AF,3,0)</f>
        <v>PARTICULAR</v>
      </c>
      <c r="D52">
        <f>+VLOOKUP(A52,'Modelo Datos'!AD:AG,4,0)</f>
        <v>30550</v>
      </c>
    </row>
    <row r="53" spans="1:4" x14ac:dyDescent="0.35">
      <c r="A53" t="s">
        <v>476</v>
      </c>
      <c r="B53" t="str">
        <f>+VLOOKUP(A53,'Modelo Datos'!AD:AF,2,0)</f>
        <v>FRANCISCO JESUS CARRILLO LOZANO</v>
      </c>
      <c r="C53" t="str">
        <f>+VLOOKUP(A53,'Modelo Datos'!AD:AF,3,0)</f>
        <v>PARTICULAR</v>
      </c>
      <c r="D53">
        <f>+VLOOKUP(A53,'Modelo Datos'!AD:AG,4,0)</f>
        <v>30509</v>
      </c>
    </row>
    <row r="54" spans="1:4" x14ac:dyDescent="0.35">
      <c r="A54" t="s">
        <v>431</v>
      </c>
      <c r="B54" t="str">
        <f>+VLOOKUP(A54,'Modelo Datos'!AD:AF,2,0)</f>
        <v>JOSE CANDEL BANEGAS</v>
      </c>
      <c r="C54" t="str">
        <f>+VLOOKUP(A54,'Modelo Datos'!AD:AF,3,0)</f>
        <v>PARTICULAR</v>
      </c>
      <c r="D54">
        <f>+VLOOKUP(A54,'Modelo Datos'!AD:AG,4,0)</f>
        <v>30550</v>
      </c>
    </row>
    <row r="55" spans="1:4" x14ac:dyDescent="0.35">
      <c r="A55" t="s">
        <v>494</v>
      </c>
      <c r="B55" t="str">
        <f>+VLOOKUP(A55,'Modelo Datos'!AD:AF,2,0)</f>
        <v>EVA ISABEL ABALOS LUJAN</v>
      </c>
      <c r="C55" t="str">
        <f>+VLOOKUP(A55,'Modelo Datos'!AD:AF,3,0)</f>
        <v>PARTICULAR</v>
      </c>
      <c r="D55">
        <f>+VLOOKUP(A55,'Modelo Datos'!AD:AG,4,0)</f>
        <v>16350</v>
      </c>
    </row>
    <row r="56" spans="1:4" x14ac:dyDescent="0.35">
      <c r="A56" t="s">
        <v>639</v>
      </c>
      <c r="B56" t="str">
        <f>+VLOOKUP(A56,'Modelo Datos'!AD:AF,2,0)</f>
        <v>NURIA SANCHEZ FERNANDEZ</v>
      </c>
      <c r="C56" t="str">
        <f>+VLOOKUP(A56,'Modelo Datos'!AD:AF,3,0)</f>
        <v>PARTICULAR</v>
      </c>
      <c r="D56">
        <f>+VLOOKUP(A56,'Modelo Datos'!AD:AG,4,0)</f>
        <v>30550</v>
      </c>
    </row>
    <row r="57" spans="1:4" x14ac:dyDescent="0.35">
      <c r="A57" t="s">
        <v>569</v>
      </c>
      <c r="B57" t="str">
        <f>+VLOOKUP(A57,'Modelo Datos'!AD:AF,2,0)</f>
        <v>ALONSO DIAZ PIÑERO</v>
      </c>
      <c r="C57" t="str">
        <f>+VLOOKUP(A57,'Modelo Datos'!AD:AF,3,0)</f>
        <v>PARTICULAR</v>
      </c>
      <c r="D57">
        <f>+VLOOKUP(A57,'Modelo Datos'!AD:AG,4,0)</f>
        <v>30627</v>
      </c>
    </row>
    <row r="58" spans="1:4" x14ac:dyDescent="0.35">
      <c r="A58" t="s">
        <v>464</v>
      </c>
      <c r="B58" t="str">
        <f>+VLOOKUP(A58,'Modelo Datos'!AD:AF,2,0)</f>
        <v>ANTONIA ORTIZ MOLINA</v>
      </c>
      <c r="C58" t="str">
        <f>+VLOOKUP(A58,'Modelo Datos'!AD:AF,3,0)</f>
        <v>PARTICULAR</v>
      </c>
      <c r="D58">
        <f>+VLOOKUP(A58,'Modelo Datos'!AD:AG,4,0)</f>
        <v>30530</v>
      </c>
    </row>
    <row r="59" spans="1:4" x14ac:dyDescent="0.35">
      <c r="A59" t="s">
        <v>482</v>
      </c>
      <c r="B59" t="str">
        <f>+VLOOKUP(A59,'Modelo Datos'!AD:AF,2,0)</f>
        <v>TRINIDAD CANDEL GOMEZ</v>
      </c>
      <c r="C59" t="str">
        <f>+VLOOKUP(A59,'Modelo Datos'!AD:AF,3,0)</f>
        <v>PARTICULAR</v>
      </c>
      <c r="D59">
        <f>+VLOOKUP(A59,'Modelo Datos'!AD:AG,4,0)</f>
        <v>30550</v>
      </c>
    </row>
    <row r="60" spans="1:4" x14ac:dyDescent="0.35">
      <c r="A60" t="s">
        <v>404</v>
      </c>
      <c r="B60" t="str">
        <f>+VLOOKUP(A60,'Modelo Datos'!AD:AF,2,0)</f>
        <v>JESUS POVEDA CASTAÑO</v>
      </c>
      <c r="C60" t="str">
        <f>+VLOOKUP(A60,'Modelo Datos'!AD:AF,3,0)</f>
        <v>PARTICULAR</v>
      </c>
      <c r="D60">
        <f>+VLOOKUP(A60,'Modelo Datos'!AD:AG,4,0)</f>
        <v>30550</v>
      </c>
    </row>
    <row r="61" spans="1:4" x14ac:dyDescent="0.35">
      <c r="A61" t="s">
        <v>276</v>
      </c>
      <c r="B61" t="str">
        <f>+VLOOKUP(A61,'Modelo Datos'!AD:AF,2,0)</f>
        <v>JOAQUIN MORA GONZALEZ</v>
      </c>
      <c r="C61" t="str">
        <f>+VLOOKUP(A61,'Modelo Datos'!AD:AF,3,0)</f>
        <v>PARTICULAR</v>
      </c>
      <c r="D61">
        <f>+VLOOKUP(A61,'Modelo Datos'!AD:AG,4,0)</f>
        <v>30550</v>
      </c>
    </row>
    <row r="62" spans="1:4" x14ac:dyDescent="0.35">
      <c r="A62" t="s">
        <v>320</v>
      </c>
      <c r="B62" t="str">
        <f>+VLOOKUP(A62,'Modelo Datos'!AD:AF,2,0)</f>
        <v>FRANCISCO PALAZON MOLINA</v>
      </c>
      <c r="C62" t="str">
        <f>+VLOOKUP(A62,'Modelo Datos'!AD:AF,3,0)</f>
        <v>PARTICULAR</v>
      </c>
      <c r="D62">
        <f>+VLOOKUP(A62,'Modelo Datos'!AD:AG,4,0)</f>
        <v>30540</v>
      </c>
    </row>
    <row r="63" spans="1:4" x14ac:dyDescent="0.35">
      <c r="A63" t="s">
        <v>470</v>
      </c>
      <c r="B63" t="str">
        <f>+VLOOKUP(A63,'Modelo Datos'!AD:AF,2,0)</f>
        <v>Mª MONTSERRAT AROCA MORALES</v>
      </c>
      <c r="C63" t="str">
        <f>+VLOOKUP(A63,'Modelo Datos'!AD:AF,3,0)</f>
        <v>PARTICULAR</v>
      </c>
      <c r="D63">
        <f>+VLOOKUP(A63,'Modelo Datos'!AD:AG,4,0)</f>
        <v>30530</v>
      </c>
    </row>
    <row r="64" spans="1:4" x14ac:dyDescent="0.35">
      <c r="A64" t="s">
        <v>395</v>
      </c>
      <c r="B64" t="str">
        <f>+VLOOKUP(A64,'Modelo Datos'!AD:AF,2,0)</f>
        <v>ISABEL PAGAN RAMIREZ</v>
      </c>
      <c r="C64" t="str">
        <f>+VLOOKUP(A64,'Modelo Datos'!AD:AF,3,0)</f>
        <v>PARTICULAR</v>
      </c>
      <c r="D64">
        <f>+VLOOKUP(A64,'Modelo Datos'!AD:AG,4,0)</f>
        <v>30550</v>
      </c>
    </row>
    <row r="65" spans="1:4" x14ac:dyDescent="0.35">
      <c r="A65" t="s">
        <v>305</v>
      </c>
      <c r="B65" t="str">
        <f>+VLOOKUP(A65,'Modelo Datos'!AD:AF,2,0)</f>
        <v>Mª VICTORIA LOPEZ PALAZON</v>
      </c>
      <c r="C65" t="str">
        <f>+VLOOKUP(A65,'Modelo Datos'!AD:AF,3,0)</f>
        <v>PARTICULAR</v>
      </c>
      <c r="D65">
        <f>+VLOOKUP(A65,'Modelo Datos'!AD:AG,4,0)</f>
        <v>30600</v>
      </c>
    </row>
    <row r="66" spans="1:4" x14ac:dyDescent="0.35">
      <c r="A66" t="s">
        <v>266</v>
      </c>
      <c r="B66" t="str">
        <f>+VLOOKUP(A66,'Modelo Datos'!AD:AF,2,0)</f>
        <v>ANGEL GOMEZ GONZALEZ</v>
      </c>
      <c r="C66" t="str">
        <f>+VLOOKUP(A66,'Modelo Datos'!AD:AF,3,0)</f>
        <v>PARTICULAR</v>
      </c>
      <c r="D66">
        <f>+VLOOKUP(A66,'Modelo Datos'!AD:AG,4,0)</f>
        <v>30550</v>
      </c>
    </row>
    <row r="67" spans="1:4" x14ac:dyDescent="0.35">
      <c r="A67" t="s">
        <v>583</v>
      </c>
      <c r="B67" t="str">
        <f>+VLOOKUP(A67,'Modelo Datos'!AD:AF,2,0)</f>
        <v>CARMEN BRACOT CARRASCO</v>
      </c>
      <c r="C67" t="str">
        <f>+VLOOKUP(A67,'Modelo Datos'!AD:AF,3,0)</f>
        <v>PARTICULAR</v>
      </c>
      <c r="D67">
        <f>+VLOOKUP(A67,'Modelo Datos'!AD:AG,4,0)</f>
        <v>31180</v>
      </c>
    </row>
    <row r="68" spans="1:4" x14ac:dyDescent="0.35">
      <c r="A68" t="s">
        <v>273</v>
      </c>
      <c r="B68" t="str">
        <f>+VLOOKUP(A68,'Modelo Datos'!AD:AF,2,0)</f>
        <v>JOSEFA FERNANDEZ ROS</v>
      </c>
      <c r="C68" t="str">
        <f>+VLOOKUP(A68,'Modelo Datos'!AD:AF,3,0)</f>
        <v>PARTICULAR</v>
      </c>
      <c r="D68">
        <f>+VLOOKUP(A68,'Modelo Datos'!AD:AG,4,0)</f>
        <v>30530</v>
      </c>
    </row>
    <row r="69" spans="1:4" x14ac:dyDescent="0.35">
      <c r="A69" t="s">
        <v>148</v>
      </c>
      <c r="B69" t="str">
        <f>+VLOOKUP(A69,'Modelo Datos'!AD:AF,2,0)</f>
        <v>FELIPE BUENO MARÍN</v>
      </c>
      <c r="C69" t="str">
        <f>+VLOOKUP(A69,'Modelo Datos'!AD:AF,3,0)</f>
        <v>PARTICULAR</v>
      </c>
      <c r="D69">
        <f>+VLOOKUP(A69,'Modelo Datos'!AD:AG,4,0)</f>
        <v>30420</v>
      </c>
    </row>
    <row r="70" spans="1:4" x14ac:dyDescent="0.35">
      <c r="A70" t="s">
        <v>317</v>
      </c>
      <c r="B70" t="str">
        <f>+VLOOKUP(A70,'Modelo Datos'!AD:AF,2,0)</f>
        <v>JOSE LUIS CARRASCO GALLEGO</v>
      </c>
      <c r="C70" t="str">
        <f>+VLOOKUP(A70,'Modelo Datos'!AD:AF,3,0)</f>
        <v>PARTICULAR</v>
      </c>
      <c r="D70">
        <f>+VLOOKUP(A70,'Modelo Datos'!AD:AG,4,0)</f>
        <v>30550</v>
      </c>
    </row>
    <row r="71" spans="1:4" x14ac:dyDescent="0.35">
      <c r="A71" t="s">
        <v>344</v>
      </c>
      <c r="B71" t="str">
        <f>+VLOOKUP(A71,'Modelo Datos'!AD:AF,2,0)</f>
        <v>MARIA TRINIDAD SOLER FERNANDEZ</v>
      </c>
      <c r="C71" t="str">
        <f>+VLOOKUP(A71,'Modelo Datos'!AD:AF,3,0)</f>
        <v>PARTICULAR</v>
      </c>
      <c r="D71">
        <f>+VLOOKUP(A71,'Modelo Datos'!AD:AG,4,0)</f>
        <v>30559</v>
      </c>
    </row>
    <row r="72" spans="1:4" x14ac:dyDescent="0.35">
      <c r="A72" t="s">
        <v>373</v>
      </c>
      <c r="B72" t="str">
        <f>+VLOOKUP(A72,'Modelo Datos'!AD:AF,2,0)</f>
        <v>JOSE ANTONIO GALINDO ORTEGA</v>
      </c>
      <c r="C72" t="str">
        <f>+VLOOKUP(A72,'Modelo Datos'!AD:AF,3,0)</f>
        <v>PARTICULAR</v>
      </c>
      <c r="D72">
        <f>+VLOOKUP(A72,'Modelo Datos'!AD:AG,4,0)</f>
        <v>30009</v>
      </c>
    </row>
    <row r="73" spans="1:4" x14ac:dyDescent="0.35">
      <c r="A73" t="s">
        <v>446</v>
      </c>
      <c r="B73" t="str">
        <f>+VLOOKUP(A73,'Modelo Datos'!AD:AF,2,0)</f>
        <v>DOMINGO BALDUINO VAZQUEZ TORNERO</v>
      </c>
      <c r="C73" t="str">
        <f>+VLOOKUP(A73,'Modelo Datos'!AD:AF,3,0)</f>
        <v>PARTICULAR</v>
      </c>
      <c r="D73">
        <f>+VLOOKUP(A73,'Modelo Datos'!AD:AG,4,0)</f>
        <v>30550</v>
      </c>
    </row>
    <row r="74" spans="1:4" x14ac:dyDescent="0.35">
      <c r="A74" t="s">
        <v>509</v>
      </c>
      <c r="B74" t="str">
        <f>+VLOOKUP(A74,'Modelo Datos'!AD:AF,2,0)</f>
        <v>MANUEL MIÑANO GUTIERREZ</v>
      </c>
      <c r="C74" t="str">
        <f>+VLOOKUP(A74,'Modelo Datos'!AD:AF,3,0)</f>
        <v>PARTICULAR</v>
      </c>
      <c r="D74">
        <f>+VLOOKUP(A74,'Modelo Datos'!AD:AG,4,0)</f>
        <v>30530</v>
      </c>
    </row>
    <row r="75" spans="1:4" x14ac:dyDescent="0.35">
      <c r="A75" t="s">
        <v>521</v>
      </c>
      <c r="B75" t="str">
        <f>+VLOOKUP(A75,'Modelo Datos'!AD:AF,2,0)</f>
        <v>OSCAR JESUS ABELLAN MARTINEZ</v>
      </c>
      <c r="C75" t="str">
        <f>+VLOOKUP(A75,'Modelo Datos'!AD:AF,3,0)</f>
        <v>PARTICULAR</v>
      </c>
      <c r="D75">
        <f>+VLOOKUP(A75,'Modelo Datos'!AD:AG,4,0)</f>
        <v>30550</v>
      </c>
    </row>
    <row r="76" spans="1:4" x14ac:dyDescent="0.35">
      <c r="A76" t="s">
        <v>382</v>
      </c>
      <c r="B76" t="str">
        <f>+VLOOKUP(A76,'Modelo Datos'!AD:AF,2,0)</f>
        <v>JOAQUIN SALMERON PEREZ</v>
      </c>
      <c r="C76" t="str">
        <f>+VLOOKUP(A76,'Modelo Datos'!AD:AF,3,0)</f>
        <v>PARTICULAR</v>
      </c>
      <c r="D76">
        <f>+VLOOKUP(A76,'Modelo Datos'!AD:AG,4,0)</f>
        <v>30550</v>
      </c>
    </row>
    <row r="77" spans="1:4" x14ac:dyDescent="0.35">
      <c r="A77" t="s">
        <v>311</v>
      </c>
      <c r="B77" t="str">
        <f>+VLOOKUP(A77,'Modelo Datos'!AD:AF,2,0)</f>
        <v>JESUS VICTORIO YELO</v>
      </c>
      <c r="C77" t="str">
        <f>+VLOOKUP(A77,'Modelo Datos'!AD:AF,3,0)</f>
        <v>PARTICULAR</v>
      </c>
      <c r="D77">
        <f>+VLOOKUP(A77,'Modelo Datos'!AD:AG,4,0)</f>
        <v>30550</v>
      </c>
    </row>
    <row r="78" spans="1:4" x14ac:dyDescent="0.35">
      <c r="A78" t="s">
        <v>341</v>
      </c>
      <c r="B78" t="str">
        <f>+VLOOKUP(A78,'Modelo Datos'!AD:AF,2,0)</f>
        <v>JESUS ABELLAN BERMUDEZ</v>
      </c>
      <c r="C78" t="str">
        <f>+VLOOKUP(A78,'Modelo Datos'!AD:AF,3,0)</f>
        <v>PARTICULAR</v>
      </c>
      <c r="D78">
        <f>+VLOOKUP(A78,'Modelo Datos'!AD:AG,4,0)</f>
        <v>30550</v>
      </c>
    </row>
    <row r="79" spans="1:4" x14ac:dyDescent="0.35">
      <c r="A79" t="s">
        <v>308</v>
      </c>
      <c r="B79" t="str">
        <f>+VLOOKUP(A79,'Modelo Datos'!AD:AF,2,0)</f>
        <v>MARA ANGELES CANO GIL</v>
      </c>
      <c r="C79" t="str">
        <f>+VLOOKUP(A79,'Modelo Datos'!AD:AF,3,0)</f>
        <v>PARTICULAR</v>
      </c>
      <c r="D79">
        <f>+VLOOKUP(A79,'Modelo Datos'!AD:AG,4,0)</f>
        <v>30530</v>
      </c>
    </row>
    <row r="80" spans="1:4" x14ac:dyDescent="0.35">
      <c r="A80" t="s">
        <v>548</v>
      </c>
      <c r="B80" t="str">
        <f>+VLOOKUP(A80,'Modelo Datos'!AD:AF,2,0)</f>
        <v>ANA MARIA CARRILLO BELMONTE</v>
      </c>
      <c r="C80" t="str">
        <f>+VLOOKUP(A80,'Modelo Datos'!AD:AF,3,0)</f>
        <v>PARTICULAR</v>
      </c>
      <c r="D80">
        <f>+VLOOKUP(A80,'Modelo Datos'!AD:AG,4,0)</f>
        <v>30559</v>
      </c>
    </row>
    <row r="81" spans="1:4" x14ac:dyDescent="0.35">
      <c r="A81" t="s">
        <v>434</v>
      </c>
      <c r="B81" t="str">
        <f>+VLOOKUP(A81,'Modelo Datos'!AD:AF,2,0)</f>
        <v>JOAQUIN CANDEL BANEGAS</v>
      </c>
      <c r="C81" t="str">
        <f>+VLOOKUP(A81,'Modelo Datos'!AD:AF,3,0)</f>
        <v>PARTICULAR</v>
      </c>
      <c r="D81">
        <f>+VLOOKUP(A81,'Modelo Datos'!AD:AG,4,0)</f>
        <v>30550</v>
      </c>
    </row>
    <row r="82" spans="1:4" x14ac:dyDescent="0.35">
      <c r="A82" t="s">
        <v>616</v>
      </c>
      <c r="B82" t="str">
        <f>+VLOOKUP(A82,'Modelo Datos'!AD:AF,2,0)</f>
        <v>ALICIA MARIANA FRUTOS FRANCO</v>
      </c>
      <c r="C82" t="str">
        <f>+VLOOKUP(A82,'Modelo Datos'!AD:AF,3,0)</f>
        <v>PARTICULAR</v>
      </c>
      <c r="D82">
        <f>+VLOOKUP(A82,'Modelo Datos'!AD:AG,4,0)</f>
        <v>30110</v>
      </c>
    </row>
    <row r="83" spans="1:4" x14ac:dyDescent="0.35">
      <c r="A83" t="s">
        <v>332</v>
      </c>
      <c r="B83" t="str">
        <f>+VLOOKUP(A83,'Modelo Datos'!AD:AF,2,0)</f>
        <v>JOSE ANTONIO MOLINA ABELLAN</v>
      </c>
      <c r="C83" t="str">
        <f>+VLOOKUP(A83,'Modelo Datos'!AD:AF,3,0)</f>
        <v>PARTICULAR</v>
      </c>
      <c r="D83">
        <f>+VLOOKUP(A83,'Modelo Datos'!AD:AG,4,0)</f>
        <v>30540</v>
      </c>
    </row>
    <row r="84" spans="1:4" x14ac:dyDescent="0.35">
      <c r="A84" t="s">
        <v>455</v>
      </c>
      <c r="B84" t="str">
        <f>+VLOOKUP(A84,'Modelo Datos'!AD:AF,2,0)</f>
        <v>ANTONIO JOSE BANEGAS ESPAÑA</v>
      </c>
      <c r="C84" t="str">
        <f>+VLOOKUP(A84,'Modelo Datos'!AD:AF,3,0)</f>
        <v>PARTICULAR</v>
      </c>
      <c r="D84">
        <f>+VLOOKUP(A84,'Modelo Datos'!AD:AG,4,0)</f>
        <v>30550</v>
      </c>
    </row>
    <row r="85" spans="1:4" x14ac:dyDescent="0.35">
      <c r="A85" t="s">
        <v>410</v>
      </c>
      <c r="B85" t="str">
        <f>+VLOOKUP(A85,'Modelo Datos'!AD:AF,2,0)</f>
        <v>ENCARNACION CANO MELGAREJO</v>
      </c>
      <c r="C85" t="str">
        <f>+VLOOKUP(A85,'Modelo Datos'!AD:AF,3,0)</f>
        <v>PARTICULAR</v>
      </c>
      <c r="D85">
        <f>+VLOOKUP(A85,'Modelo Datos'!AD:AG,4,0)</f>
        <v>30559</v>
      </c>
    </row>
    <row r="86" spans="1:4" x14ac:dyDescent="0.35">
      <c r="A86" t="s">
        <v>461</v>
      </c>
      <c r="B86" t="str">
        <f>+VLOOKUP(A86,'Modelo Datos'!AD:AF,2,0)</f>
        <v>JUAN BERMEJO ORTIZ</v>
      </c>
      <c r="C86" t="str">
        <f>+VLOOKUP(A86,'Modelo Datos'!AD:AF,3,0)</f>
        <v>PARTICULAR</v>
      </c>
      <c r="D86">
        <f>+VLOOKUP(A86,'Modelo Datos'!AD:AG,4,0)</f>
        <v>30530</v>
      </c>
    </row>
    <row r="87" spans="1:4" x14ac:dyDescent="0.35">
      <c r="A87" t="s">
        <v>634</v>
      </c>
      <c r="B87" t="str">
        <f>+VLOOKUP(A87,'Modelo Datos'!AD:AF,2,0)</f>
        <v>JAVIER MOLINA ARAGONÉS</v>
      </c>
      <c r="C87" t="str">
        <f>+VLOOKUP(A87,'Modelo Datos'!AD:AF,3,0)</f>
        <v>PARTICULAR</v>
      </c>
      <c r="D87">
        <f>+VLOOKUP(A87,'Modelo Datos'!AD:AG,4,0)</f>
        <v>30550</v>
      </c>
    </row>
    <row r="88" spans="1:4" x14ac:dyDescent="0.35">
      <c r="A88" t="s">
        <v>376</v>
      </c>
      <c r="B88" t="str">
        <f>+VLOOKUP(A88,'Modelo Datos'!AD:AF,2,0)</f>
        <v>JOSE PASCUAL PIÑERA MARIN</v>
      </c>
      <c r="C88" t="str">
        <f>+VLOOKUP(A88,'Modelo Datos'!AD:AF,3,0)</f>
        <v>PARTICULAR</v>
      </c>
      <c r="D88">
        <f>+VLOOKUP(A88,'Modelo Datos'!AD:AG,4,0)</f>
        <v>30530</v>
      </c>
    </row>
    <row r="89" spans="1:4" x14ac:dyDescent="0.35">
      <c r="A89" t="s">
        <v>467</v>
      </c>
      <c r="B89" t="str">
        <f>+VLOOKUP(A89,'Modelo Datos'!AD:AF,2,0)</f>
        <v>ANTONIO COBARRO SANCHEZ</v>
      </c>
      <c r="C89" t="str">
        <f>+VLOOKUP(A89,'Modelo Datos'!AD:AF,3,0)</f>
        <v>PARTICULAR</v>
      </c>
      <c r="D89">
        <f>+VLOOKUP(A89,'Modelo Datos'!AD:AG,4,0)</f>
        <v>30530</v>
      </c>
    </row>
    <row r="90" spans="1:4" x14ac:dyDescent="0.35">
      <c r="A90" t="s">
        <v>542</v>
      </c>
      <c r="B90" t="str">
        <f>+VLOOKUP(A90,'Modelo Datos'!AD:AF,2,0)</f>
        <v>CRISTINA LUCAS RUBIO</v>
      </c>
      <c r="C90" t="str">
        <f>+VLOOKUP(A90,'Modelo Datos'!AD:AF,3,0)</f>
        <v>PARTICULAR</v>
      </c>
      <c r="D90">
        <f>+VLOOKUP(A90,'Modelo Datos'!AD:AG,4,0)</f>
        <v>30530</v>
      </c>
    </row>
    <row r="91" spans="1:4" x14ac:dyDescent="0.35">
      <c r="A91" t="s">
        <v>391</v>
      </c>
      <c r="B91" t="str">
        <f>+VLOOKUP(A91,'Modelo Datos'!AD:AF,2,0)</f>
        <v>CRISTIAN SAORIN TORRES</v>
      </c>
      <c r="C91" t="str">
        <f>+VLOOKUP(A91,'Modelo Datos'!AD:AF,3,0)</f>
        <v>PARTICULAR</v>
      </c>
      <c r="D91">
        <f>+VLOOKUP(A91,'Modelo Datos'!AD:AG,4,0)</f>
        <v>30550</v>
      </c>
    </row>
    <row r="92" spans="1:4" x14ac:dyDescent="0.35">
      <c r="A92" t="s">
        <v>338</v>
      </c>
      <c r="B92" t="str">
        <f>+VLOOKUP(A92,'Modelo Datos'!AD:AF,2,0)</f>
        <v>JOSEFA VILLALBA RIOS</v>
      </c>
      <c r="C92" t="str">
        <f>+VLOOKUP(A92,'Modelo Datos'!AD:AF,3,0)</f>
        <v>PARTICULAR</v>
      </c>
      <c r="D92">
        <f>+VLOOKUP(A92,'Modelo Datos'!AD:AG,4,0)</f>
        <v>30530</v>
      </c>
    </row>
    <row r="93" spans="1:4" x14ac:dyDescent="0.35">
      <c r="A93" t="s">
        <v>437</v>
      </c>
      <c r="B93" t="str">
        <f>+VLOOKUP(A93,'Modelo Datos'!AD:AF,2,0)</f>
        <v>ANTONIO FERNANADEZ GIMENEZ</v>
      </c>
      <c r="C93" t="str">
        <f>+VLOOKUP(A93,'Modelo Datos'!AD:AF,3,0)</f>
        <v>PARTICULAR</v>
      </c>
      <c r="D93">
        <f>+VLOOKUP(A93,'Modelo Datos'!AD:AG,4,0)</f>
        <v>30530</v>
      </c>
    </row>
    <row r="94" spans="1:4" x14ac:dyDescent="0.35">
      <c r="A94" t="s">
        <v>416</v>
      </c>
      <c r="B94" t="str">
        <f>+VLOOKUP(A94,'Modelo Datos'!AD:AF,2,0)</f>
        <v>ANA MARIA TORRANO LOPEZ</v>
      </c>
      <c r="C94" t="str">
        <f>+VLOOKUP(A94,'Modelo Datos'!AD:AF,3,0)</f>
        <v>PARTICULAR</v>
      </c>
      <c r="D94">
        <f>+VLOOKUP(A94,'Modelo Datos'!AD:AG,4,0)</f>
        <v>30540</v>
      </c>
    </row>
    <row r="95" spans="1:4" x14ac:dyDescent="0.35">
      <c r="A95" t="s">
        <v>443</v>
      </c>
      <c r="B95" t="str">
        <f>+VLOOKUP(A95,'Modelo Datos'!AD:AF,2,0)</f>
        <v>GEMA ROS LUCAS</v>
      </c>
      <c r="C95" t="str">
        <f>+VLOOKUP(A95,'Modelo Datos'!AD:AF,3,0)</f>
        <v>PARTICULAR</v>
      </c>
      <c r="D95">
        <f>+VLOOKUP(A95,'Modelo Datos'!AD:AG,4,0)</f>
        <v>30559</v>
      </c>
    </row>
    <row r="96" spans="1:4" x14ac:dyDescent="0.35">
      <c r="A96" t="s">
        <v>296</v>
      </c>
      <c r="B96" t="str">
        <f>+VLOOKUP(A96,'Modelo Datos'!AD:AF,2,0)</f>
        <v>IKVAN MARIN LÓPEZ</v>
      </c>
      <c r="C96" t="str">
        <f>+VLOOKUP(A96,'Modelo Datos'!AD:AF,3,0)</f>
        <v>PARTICULAR</v>
      </c>
      <c r="D96">
        <f>+VLOOKUP(A96,'Modelo Datos'!AD:AG,4,0)</f>
        <v>30540</v>
      </c>
    </row>
    <row r="97" spans="1:4" x14ac:dyDescent="0.35">
      <c r="A97" t="s">
        <v>290</v>
      </c>
      <c r="B97" t="str">
        <f>+VLOOKUP(A97,'Modelo Datos'!AD:AF,2,0)</f>
        <v>MARA CANDELARIA QUIJADA MONDEJAR</v>
      </c>
      <c r="C97" t="str">
        <f>+VLOOKUP(A97,'Modelo Datos'!AD:AF,3,0)</f>
        <v>PARTICULAR</v>
      </c>
      <c r="D97">
        <f>+VLOOKUP(A97,'Modelo Datos'!AD:AG,4,0)</f>
        <v>30559</v>
      </c>
    </row>
    <row r="98" spans="1:4" x14ac:dyDescent="0.35">
      <c r="A98" t="s">
        <v>237</v>
      </c>
      <c r="B98" t="str">
        <f>+VLOOKUP(A98,'Modelo Datos'!AD:AF,2,0)</f>
        <v>EXPOGROUP REGION DE MURCIA,S .L</v>
      </c>
      <c r="C98" t="str">
        <f>+VLOOKUP(A98,'Modelo Datos'!AD:AF,3,0)</f>
        <v>EMPRESA</v>
      </c>
      <c r="D98">
        <f>+VLOOKUP(A98,'Modelo Datos'!AD:AG,4,0)</f>
        <v>30008</v>
      </c>
    </row>
    <row r="99" spans="1:4" x14ac:dyDescent="0.35">
      <c r="A99" t="s">
        <v>419</v>
      </c>
      <c r="B99" t="str">
        <f>+VLOOKUP(A99,'Modelo Datos'!AD:AF,2,0)</f>
        <v>FABIOLA AGRICOLA, S.L.</v>
      </c>
      <c r="C99" t="str">
        <f>+VLOOKUP(A99,'Modelo Datos'!AD:AF,3,0)</f>
        <v>EMPRESA</v>
      </c>
      <c r="D99">
        <f>+VLOOKUP(A99,'Modelo Datos'!AD:AG,4,0)</f>
        <v>30550</v>
      </c>
    </row>
    <row r="100" spans="1:4" x14ac:dyDescent="0.35">
      <c r="A100" t="s">
        <v>644</v>
      </c>
      <c r="B100" t="str">
        <f>+VLOOKUP(A100,'Modelo Datos'!AD:AF,2,0)</f>
        <v>ALFOSEA HERMANOS</v>
      </c>
      <c r="C100" t="str">
        <f>+VLOOKUP(A100,'Modelo Datos'!AD:AF,3,0)</f>
        <v>EMPRESA</v>
      </c>
      <c r="D100">
        <f>+VLOOKUP(A100,'Modelo Datos'!AD:AG,4,0)</f>
        <v>3350</v>
      </c>
    </row>
    <row r="101" spans="1:4" x14ac:dyDescent="0.35">
      <c r="A101" t="s">
        <v>485</v>
      </c>
      <c r="B101" t="str">
        <f>+VLOOKUP(A101,'Modelo Datos'!AD:AF,2,0)</f>
        <v>FRUTAS SANCHEZ Y MARTINEZ S.L.</v>
      </c>
      <c r="C101" t="str">
        <f>+VLOOKUP(A101,'Modelo Datos'!AD:AF,3,0)</f>
        <v>EMPRESA</v>
      </c>
      <c r="D101">
        <f>+VLOOKUP(A101,'Modelo Datos'!AD:AG,4,0)</f>
        <v>30420</v>
      </c>
    </row>
    <row r="102" spans="1:4" x14ac:dyDescent="0.35">
      <c r="A102" t="s">
        <v>589</v>
      </c>
      <c r="B102" t="str">
        <f>+VLOOKUP(A102,'Modelo Datos'!AD:AF,2,0)</f>
        <v>OSCAR MARTINEZ, S.L.</v>
      </c>
      <c r="C102" t="str">
        <f>+VLOOKUP(A102,'Modelo Datos'!AD:AF,3,0)</f>
        <v>EMPRESA</v>
      </c>
      <c r="D102">
        <f>+VLOOKUP(A102,'Modelo Datos'!AD:AG,4,0)</f>
        <v>30550</v>
      </c>
    </row>
    <row r="103" spans="1:4" x14ac:dyDescent="0.35">
      <c r="A103" t="s">
        <v>428</v>
      </c>
      <c r="B103" t="str">
        <f>+VLOOKUP(A103,'Modelo Datos'!AD:AF,2,0)</f>
        <v>MURCIA GROWERS S.L.</v>
      </c>
      <c r="C103" t="str">
        <f>+VLOOKUP(A103,'Modelo Datos'!AD:AF,3,0)</f>
        <v>EMPRESA</v>
      </c>
      <c r="D103">
        <f>+VLOOKUP(A103,'Modelo Datos'!AD:AG,4,0)</f>
        <v>30004</v>
      </c>
    </row>
    <row r="104" spans="1:4" x14ac:dyDescent="0.35">
      <c r="A104" t="s">
        <v>234</v>
      </c>
      <c r="B104" t="str">
        <f>+VLOOKUP(A104,'Modelo Datos'!AD:AF,2,0)</f>
        <v>LODAN FRUIT SIGLO XXI, S.L.</v>
      </c>
      <c r="C104" t="str">
        <f>+VLOOKUP(A104,'Modelo Datos'!AD:AF,3,0)</f>
        <v>EMPRESA</v>
      </c>
      <c r="D104">
        <f>+VLOOKUP(A104,'Modelo Datos'!AD:AG,4,0)</f>
        <v>30008</v>
      </c>
    </row>
    <row r="105" spans="1:4" x14ac:dyDescent="0.35">
      <c r="A105" t="s">
        <v>102</v>
      </c>
      <c r="B105" t="str">
        <f>+VLOOKUP(A105,'Modelo Datos'!AD:AF,2,0)</f>
        <v>FLORETTE MURCIA, S.L.U.</v>
      </c>
      <c r="C105" t="str">
        <f>+VLOOKUP(A105,'Modelo Datos'!AD:AF,3,0)</f>
        <v>EMPRESA</v>
      </c>
      <c r="D105">
        <f>+VLOOKUP(A105,'Modelo Datos'!AD:AG,4,0)</f>
        <v>31320</v>
      </c>
    </row>
    <row r="106" spans="1:4" x14ac:dyDescent="0.35">
      <c r="A106" t="s">
        <v>370</v>
      </c>
      <c r="B106" t="str">
        <f>+VLOOKUP(A106,'Modelo Datos'!AD:AF,2,0)</f>
        <v>EX AGRICOLAS VALENTINO, S.L</v>
      </c>
      <c r="C106" t="str">
        <f>+VLOOKUP(A106,'Modelo Datos'!AD:AF,3,0)</f>
        <v>EMPRESA</v>
      </c>
      <c r="D106">
        <f>+VLOOKUP(A106,'Modelo Datos'!AD:AG,4,0)</f>
        <v>30550</v>
      </c>
    </row>
    <row r="107" spans="1:4" x14ac:dyDescent="0.35">
      <c r="A107" t="s">
        <v>98</v>
      </c>
      <c r="B107" t="str">
        <f>+VLOOKUP(A107,'Modelo Datos'!AD:AF,2,0)</f>
        <v>EXPLOTACIONES AGRICOLAS JUMAR, S.LL</v>
      </c>
      <c r="C107" t="str">
        <f>+VLOOKUP(A107,'Modelo Datos'!AD:AF,3,0)</f>
        <v>EMPRESA</v>
      </c>
      <c r="D107">
        <f>+VLOOKUP(A107,'Modelo Datos'!AD:AG,4,0)</f>
        <v>30360</v>
      </c>
    </row>
    <row r="108" spans="1:4" x14ac:dyDescent="0.35">
      <c r="A108" t="s">
        <v>560</v>
      </c>
      <c r="B108" t="str">
        <f>+VLOOKUP(A108,'Modelo Datos'!AD:AF,2,0)</f>
        <v>AGRICULTURA DOLORES</v>
      </c>
      <c r="C108" t="str">
        <f>+VLOOKUP(A108,'Modelo Datos'!AD:AF,3,0)</f>
        <v>EMPRESA</v>
      </c>
      <c r="D108">
        <f>+VLOOKUP(A108,'Modelo Datos'!AD:AG,4,0)</f>
        <v>30840</v>
      </c>
    </row>
    <row r="109" spans="1:4" x14ac:dyDescent="0.35">
      <c r="A109" t="s">
        <v>572</v>
      </c>
      <c r="B109" t="str">
        <f>+VLOOKUP(A109,'Modelo Datos'!AD:AF,2,0)</f>
        <v>AG GRAPES</v>
      </c>
      <c r="C109" t="str">
        <f>+VLOOKUP(A109,'Modelo Datos'!AD:AF,3,0)</f>
        <v>EMPRESA</v>
      </c>
      <c r="D109">
        <f>+VLOOKUP(A109,'Modelo Datos'!AD:AG,4,0)</f>
        <v>30840</v>
      </c>
    </row>
    <row r="110" spans="1:4" x14ac:dyDescent="0.35">
      <c r="A110" t="s">
        <v>488</v>
      </c>
      <c r="B110" t="str">
        <f>+VLOOKUP(A110,'Modelo Datos'!AD:AF,2,0)</f>
        <v>EL MAESTRICO, S.L.</v>
      </c>
      <c r="C110" t="str">
        <f>+VLOOKUP(A110,'Modelo Datos'!AD:AF,3,0)</f>
        <v>EMPRESA</v>
      </c>
      <c r="D110">
        <f>+VLOOKUP(A110,'Modelo Datos'!AD:AG,4,0)</f>
        <v>30191</v>
      </c>
    </row>
    <row r="111" spans="1:4" x14ac:dyDescent="0.35">
      <c r="A111" t="s">
        <v>350</v>
      </c>
      <c r="B111" t="str">
        <f>+VLOOKUP(A111,'Modelo Datos'!AD:AF,2,0)</f>
        <v>RUIZ MOLINA HOYA, S.L.</v>
      </c>
      <c r="C111" t="str">
        <f>+VLOOKUP(A111,'Modelo Datos'!AD:AF,3,0)</f>
        <v>EMPRESA</v>
      </c>
      <c r="D111">
        <f>+VLOOKUP(A111,'Modelo Datos'!AD:AG,4,0)</f>
        <v>30004</v>
      </c>
    </row>
    <row r="112" spans="1:4" x14ac:dyDescent="0.35">
      <c r="A112" t="s">
        <v>652</v>
      </c>
      <c r="B112" t="str">
        <f>+VLOOKUP(A112,'Modelo Datos'!AD:AF,2,0)</f>
        <v>AGROFRUIT SELECCIÓN, S.L.</v>
      </c>
      <c r="C112" t="str">
        <f>+VLOOKUP(A112,'Modelo Datos'!AD:AF,3,0)</f>
        <v>EMPRESA</v>
      </c>
      <c r="D112">
        <f>+VLOOKUP(A112,'Modelo Datos'!AD:AG,4,0)</f>
        <v>30550</v>
      </c>
    </row>
    <row r="113" spans="1:4" x14ac:dyDescent="0.35">
      <c r="A113" t="s">
        <v>497</v>
      </c>
      <c r="B113" t="str">
        <f>+VLOOKUP(A113,'Modelo Datos'!AD:AF,2,0)</f>
        <v>AGRIPRIM, S.L.</v>
      </c>
      <c r="C113" t="str">
        <f>+VLOOKUP(A113,'Modelo Datos'!AD:AF,3,0)</f>
        <v>EMPRESA</v>
      </c>
      <c r="D113">
        <f>+VLOOKUP(A113,'Modelo Datos'!AD:AG,4,0)</f>
        <v>30550</v>
      </c>
    </row>
    <row r="114" spans="1:4" x14ac:dyDescent="0.35">
      <c r="A114" t="s">
        <v>577</v>
      </c>
      <c r="B114" t="str">
        <f>+VLOOKUP(A114,'Modelo Datos'!AD:AF,2,0)</f>
        <v>AGROCIRUELO</v>
      </c>
      <c r="C114" t="str">
        <f>+VLOOKUP(A114,'Modelo Datos'!AD:AF,3,0)</f>
        <v>EMPRESA</v>
      </c>
      <c r="D114">
        <f>+VLOOKUP(A114,'Modelo Datos'!AD:AG,4,0)</f>
        <v>30840</v>
      </c>
    </row>
    <row r="115" spans="1:4" x14ac:dyDescent="0.35">
      <c r="A115" t="s">
        <v>566</v>
      </c>
      <c r="B115" t="str">
        <f>+VLOOKUP(A115,'Modelo Datos'!AD:AF,2,0)</f>
        <v xml:space="preserve">AGRICOLA CIRVA </v>
      </c>
      <c r="C115" t="str">
        <f>+VLOOKUP(A115,'Modelo Datos'!AD:AF,3,0)</f>
        <v>EMPRESA</v>
      </c>
      <c r="D115">
        <f>+VLOOKUP(A115,'Modelo Datos'!AD:AG,4,0)</f>
        <v>30840</v>
      </c>
    </row>
    <row r="116" spans="1:4" x14ac:dyDescent="0.35">
      <c r="A116" t="s">
        <v>607</v>
      </c>
      <c r="B116" t="str">
        <f>+VLOOKUP(A116,'Modelo Datos'!AD:AF,2,0)</f>
        <v>INVERSIONES Y CONST. PARRALERO E HIJOS S.L.</v>
      </c>
      <c r="C116" t="str">
        <f>+VLOOKUP(A116,'Modelo Datos'!AD:AF,3,0)</f>
        <v>EMPRESA</v>
      </c>
      <c r="D116">
        <f>+VLOOKUP(A116,'Modelo Datos'!AD:AG,4,0)</f>
        <v>30550</v>
      </c>
    </row>
    <row r="117" spans="1:4" x14ac:dyDescent="0.35">
      <c r="A117" t="s">
        <v>662</v>
      </c>
      <c r="B117" t="str">
        <f>+VLOOKUP(A117,'Modelo Datos'!AD:AF,2,0)</f>
        <v>CARBONELL Y MARMOL SL</v>
      </c>
      <c r="C117" t="str">
        <f>+VLOOKUP(A117,'Modelo Datos'!AD:AF,3,0)</f>
        <v>EMPRESA</v>
      </c>
      <c r="D117">
        <f>+VLOOKUP(A117,'Modelo Datos'!AD:AG,4,0)</f>
        <v>30550</v>
      </c>
    </row>
    <row r="118" spans="1:4" x14ac:dyDescent="0.35">
      <c r="A118" t="s">
        <v>425</v>
      </c>
      <c r="B118" t="str">
        <f>+VLOOKUP(A118,'Modelo Datos'!AD:AF,2,0)</f>
        <v>BLANCA GROWERS SL</v>
      </c>
      <c r="C118" t="str">
        <f>+VLOOKUP(A118,'Modelo Datos'!AD:AF,3,0)</f>
        <v>EMPRESA</v>
      </c>
      <c r="D118">
        <f>+VLOOKUP(A118,'Modelo Datos'!AD:AG,4,0)</f>
        <v>30004</v>
      </c>
    </row>
    <row r="119" spans="1:4" x14ac:dyDescent="0.35">
      <c r="A119" t="s">
        <v>365</v>
      </c>
      <c r="B119" t="str">
        <f>+VLOOKUP(A119,'Modelo Datos'!AD:AF,2,0)</f>
        <v>EX AGRICOLAS LAS DUNAS, S.L.</v>
      </c>
      <c r="C119" t="str">
        <f>+VLOOKUP(A119,'Modelo Datos'!AD:AF,3,0)</f>
        <v>EMPRESA</v>
      </c>
      <c r="D119">
        <f>+VLOOKUP(A119,'Modelo Datos'!AD:AG,4,0)</f>
        <v>30559</v>
      </c>
    </row>
    <row r="120" spans="1:4" x14ac:dyDescent="0.35">
      <c r="A120" t="s">
        <v>613</v>
      </c>
      <c r="B120" t="str">
        <f>+VLOOKUP(A120,'Modelo Datos'!AD:AF,2,0)</f>
        <v>PROFRUMUR S.L.</v>
      </c>
      <c r="C120" t="str">
        <f>+VLOOKUP(A120,'Modelo Datos'!AD:AF,3,0)</f>
        <v>EMPRESA</v>
      </c>
      <c r="D120">
        <f>+VLOOKUP(A120,'Modelo Datos'!AD:AG,4,0)</f>
        <v>30550</v>
      </c>
    </row>
    <row r="121" spans="1:4" x14ac:dyDescent="0.35">
      <c r="A121" t="s">
        <v>563</v>
      </c>
      <c r="B121" t="str">
        <f>+VLOOKUP(A121,'Modelo Datos'!AD:AF,2,0)</f>
        <v>AGROFRUITS LEVANTE</v>
      </c>
      <c r="C121" t="str">
        <f>+VLOOKUP(A121,'Modelo Datos'!AD:AF,3,0)</f>
        <v>EMPRESA</v>
      </c>
      <c r="D121">
        <f>+VLOOKUP(A121,'Modelo Datos'!AD:AG,4,0)</f>
        <v>30840</v>
      </c>
    </row>
    <row r="122" spans="1:4" x14ac:dyDescent="0.35">
      <c r="A122" t="s">
        <v>619</v>
      </c>
      <c r="B122" t="str">
        <f>+VLOOKUP(A122,'Modelo Datos'!AD:AF,2,0)</f>
        <v>ALMOND AGRI</v>
      </c>
      <c r="C122" t="str">
        <f>+VLOOKUP(A122,'Modelo Datos'!AD:AF,3,0)</f>
        <v>EMPRESA</v>
      </c>
      <c r="D122">
        <f>+VLOOKUP(A122,'Modelo Datos'!AD:AG,4,0)</f>
        <v>30170</v>
      </c>
    </row>
    <row r="123" spans="1:4" x14ac:dyDescent="0.35">
      <c r="A123" t="s">
        <v>518</v>
      </c>
      <c r="B123" t="str">
        <f>+VLOOKUP(A123,'Modelo Datos'!AD:AF,2,0)</f>
        <v>OSAGON INVERSIONES S.L.</v>
      </c>
      <c r="C123" t="str">
        <f>+VLOOKUP(A123,'Modelo Datos'!AD:AF,3,0)</f>
        <v>EMPRESA</v>
      </c>
      <c r="D123">
        <f>+VLOOKUP(A123,'Modelo Datos'!AD:AG,4,0)</f>
        <v>30530</v>
      </c>
    </row>
    <row r="124" spans="1:4" x14ac:dyDescent="0.35">
      <c r="A124" t="s">
        <v>362</v>
      </c>
      <c r="B124" t="str">
        <f>+VLOOKUP(A124,'Modelo Datos'!AD:AF,2,0)</f>
        <v>FUENTE JAVE AGRICOLA, S.L.</v>
      </c>
      <c r="C124" t="str">
        <f>+VLOOKUP(A124,'Modelo Datos'!AD:AF,3,0)</f>
        <v>EMPRESA</v>
      </c>
      <c r="D124">
        <f>+VLOOKUP(A124,'Modelo Datos'!AD:AG,4,0)</f>
        <v>30540</v>
      </c>
    </row>
    <row r="125" spans="1:4" x14ac:dyDescent="0.35">
      <c r="A125" t="s">
        <v>655</v>
      </c>
      <c r="B125" t="str">
        <f>+VLOOKUP(A125,'Modelo Datos'!AD:AF,2,0)</f>
        <v>AGROFUTURE FRUIT, S.L.</v>
      </c>
      <c r="C125" t="str">
        <f>+VLOOKUP(A125,'Modelo Datos'!AD:AF,3,0)</f>
        <v>EMPRESA</v>
      </c>
      <c r="D125">
        <f>+VLOOKUP(A125,'Modelo Datos'!AD:AG,4,0)</f>
        <v>30550</v>
      </c>
    </row>
    <row r="126" spans="1:4" x14ac:dyDescent="0.35">
      <c r="A126" t="s">
        <v>209</v>
      </c>
      <c r="B126" t="str">
        <f>+VLOOKUP(A126,'Modelo Datos'!AD:AF,2,0)</f>
        <v>AROMATIC FACTORY S.L.</v>
      </c>
      <c r="C126" t="str">
        <f>+VLOOKUP(A126,'Modelo Datos'!AD:AF,3,0)</f>
        <v>EMPRESA</v>
      </c>
      <c r="D126">
        <f>+VLOOKUP(A126,'Modelo Datos'!AD:AG,4,0)</f>
        <v>30739</v>
      </c>
    </row>
    <row r="127" spans="1:4" x14ac:dyDescent="0.35">
      <c r="A127" t="s">
        <v>452</v>
      </c>
      <c r="B127" t="str">
        <f>+VLOOKUP(A127,'Modelo Datos'!AD:AF,2,0)</f>
        <v>INNOVACIONES AGRONOMICAS, S.L.</v>
      </c>
      <c r="C127" t="str">
        <f>+VLOOKUP(A127,'Modelo Datos'!AD:AF,3,0)</f>
        <v>EMPRESA</v>
      </c>
      <c r="D127">
        <f>+VLOOKUP(A127,'Modelo Datos'!AD:AG,4,0)</f>
        <v>30530</v>
      </c>
    </row>
    <row r="128" spans="1:4" x14ac:dyDescent="0.35">
      <c r="A128" t="s">
        <v>545</v>
      </c>
      <c r="B128" t="str">
        <f>+VLOOKUP(A128,'Modelo Datos'!AD:AF,2,0)</f>
        <v>OLIVARICAS XXI S.L.</v>
      </c>
      <c r="C128" t="str">
        <f>+VLOOKUP(A128,'Modelo Datos'!AD:AF,3,0)</f>
        <v>EMPRESA</v>
      </c>
      <c r="D128">
        <f>+VLOOKUP(A128,'Modelo Datos'!AD:AG,4,0)</f>
        <v>28043</v>
      </c>
    </row>
    <row r="129" spans="1:4" x14ac:dyDescent="0.35">
      <c r="A129" t="s">
        <v>527</v>
      </c>
      <c r="B129" t="str">
        <f>+VLOOKUP(A129,'Modelo Datos'!AD:AF,2,0)</f>
        <v>AUGUSTA TRADICIONAL, S.L.</v>
      </c>
      <c r="C129" t="str">
        <f>+VLOOKUP(A129,'Modelo Datos'!AD:AF,3,0)</f>
        <v>EMPRESA</v>
      </c>
      <c r="D129">
        <f>+VLOOKUP(A129,'Modelo Datos'!AD:AG,4,0)</f>
        <v>30560</v>
      </c>
    </row>
    <row r="130" spans="1:4" x14ac:dyDescent="0.35">
      <c r="A130" t="s">
        <v>503</v>
      </c>
      <c r="B130" t="str">
        <f>+VLOOKUP(A130,'Modelo Datos'!AD:AF,2,0)</f>
        <v>AGRICOLA HNOS.LUCIA Y JOSE C.B.</v>
      </c>
      <c r="C130" t="str">
        <f>+VLOOKUP(A130,'Modelo Datos'!AD:AF,3,0)</f>
        <v>EMPRESA</v>
      </c>
      <c r="D130">
        <f>+VLOOKUP(A130,'Modelo Datos'!AD:AG,4,0)</f>
        <v>30540</v>
      </c>
    </row>
    <row r="131" spans="1:4" x14ac:dyDescent="0.35">
      <c r="A131" t="s">
        <v>530</v>
      </c>
      <c r="B131" t="str">
        <f>+VLOOKUP(A131,'Modelo Datos'!AD:AF,2,0)</f>
        <v>AGROANYBIEM C.B.</v>
      </c>
      <c r="C131" t="str">
        <f>+VLOOKUP(A131,'Modelo Datos'!AD:AF,3,0)</f>
        <v>EMPRESA</v>
      </c>
      <c r="D131">
        <f>+VLOOKUP(A131,'Modelo Datos'!AD:AG,4,0)</f>
        <v>30550</v>
      </c>
    </row>
    <row r="132" spans="1:4" x14ac:dyDescent="0.35">
      <c r="A132" t="s">
        <v>631</v>
      </c>
      <c r="B132" t="str">
        <f>+VLOOKUP(A132,'Modelo Datos'!AD:AF,2,0)</f>
        <v>LA HERMOSA CB</v>
      </c>
      <c r="C132" t="str">
        <f>+VLOOKUP(A132,'Modelo Datos'!AD:AF,3,0)</f>
        <v>EMPRESA</v>
      </c>
      <c r="D132">
        <f>+VLOOKUP(A132,'Modelo Datos'!AD:AG,4,0)</f>
        <v>30550</v>
      </c>
    </row>
    <row r="133" spans="1:4" x14ac:dyDescent="0.35">
      <c r="A133" t="s">
        <v>622</v>
      </c>
      <c r="B133" t="str">
        <f>+VLOOKUP(A133,'Modelo Datos'!AD:AF,2,0)</f>
        <v>AGRICOLA TURPIN MARIN, CB</v>
      </c>
      <c r="C133" t="str">
        <f>+VLOOKUP(A133,'Modelo Datos'!AD:AF,3,0)</f>
        <v>EMPRESA</v>
      </c>
      <c r="D133">
        <f>+VLOOKUP(A133,'Modelo Datos'!AD:AG,4,0)</f>
        <v>30550</v>
      </c>
    </row>
    <row r="134" spans="1:4" x14ac:dyDescent="0.35">
      <c r="A134" t="s">
        <v>422</v>
      </c>
      <c r="B134" t="str">
        <f>+VLOOKUP(A134,'Modelo Datos'!AD:AF,2,0)</f>
        <v>JOSE Y JOAQUIN CANDEL BANEGAS C.B.</v>
      </c>
      <c r="C134" t="str">
        <f>+VLOOKUP(A134,'Modelo Datos'!AD:AF,3,0)</f>
        <v>EMPRESA</v>
      </c>
      <c r="D134">
        <f>+VLOOKUP(A134,'Modelo Datos'!AD:AG,4,0)</f>
        <v>30550</v>
      </c>
    </row>
    <row r="135" spans="1:4" x14ac:dyDescent="0.35">
      <c r="A135" t="s">
        <v>367</v>
      </c>
      <c r="B135" t="str">
        <f>+VLOOKUP(A135,'Modelo Datos'!AD:AF,2,0)</f>
        <v>HIJOS DE MATIAS VICENTE C.B.</v>
      </c>
      <c r="C135" t="str">
        <f>+VLOOKUP(A135,'Modelo Datos'!AD:AF,3,0)</f>
        <v>EMPRESA</v>
      </c>
      <c r="D135">
        <f>+VLOOKUP(A135,'Modelo Datos'!AD:AG,4,0)</f>
        <v>30530</v>
      </c>
    </row>
    <row r="136" spans="1:4" x14ac:dyDescent="0.35">
      <c r="A136" t="s">
        <v>536</v>
      </c>
      <c r="B136" t="str">
        <f>+VLOOKUP(A136,'Modelo Datos'!AD:AF,2,0)</f>
        <v>SAT VERGEL BLANCA Nº 7996</v>
      </c>
      <c r="C136" t="str">
        <f>+VLOOKUP(A136,'Modelo Datos'!AD:AF,3,0)</f>
        <v>EMPRESA</v>
      </c>
      <c r="D136">
        <f>+VLOOKUP(A136,'Modelo Datos'!AD:AG,4,0)</f>
        <v>30550</v>
      </c>
    </row>
    <row r="137" spans="1:4" x14ac:dyDescent="0.35">
      <c r="A137" t="s">
        <v>595</v>
      </c>
      <c r="B137" t="str">
        <f>+VLOOKUP(A137,'Modelo Datos'!AD:AF,2,0)</f>
        <v>SAT 8518 LOS MELGOS</v>
      </c>
      <c r="C137" t="str">
        <f>+VLOOKUP(A137,'Modelo Datos'!AD:AF,3,0)</f>
        <v>EMPRESA</v>
      </c>
      <c r="D137">
        <f>+VLOOKUP(A137,'Modelo Datos'!AD:AG,4,0)</f>
        <v>30559</v>
      </c>
    </row>
    <row r="138" spans="1:4" x14ac:dyDescent="0.35">
      <c r="A138" t="s">
        <v>491</v>
      </c>
      <c r="B138" t="str">
        <f>+VLOOKUP(A138,'Modelo Datos'!AD:AF,2,0)</f>
        <v>SAT Nº9858 EL RULETE</v>
      </c>
      <c r="C138" t="str">
        <f>+VLOOKUP(A138,'Modelo Datos'!AD:AF,3,0)</f>
        <v>EMPRESA</v>
      </c>
      <c r="D138">
        <f>+VLOOKUP(A138,'Modelo Datos'!AD:AG,4,0)</f>
        <v>30550</v>
      </c>
    </row>
    <row r="139" spans="1:4" x14ac:dyDescent="0.35">
      <c r="A139" t="s">
        <v>625</v>
      </c>
      <c r="B139" t="str">
        <f>+VLOOKUP(A139,'Modelo Datos'!AD:AF,2,0)</f>
        <v>RASSA URBONAVICIUTE</v>
      </c>
      <c r="C139" t="str">
        <f>+VLOOKUP(A139,'Modelo Datos'!AD:AF,3,0)</f>
        <v>PARTICULAR</v>
      </c>
      <c r="D139">
        <f>+VLOOKUP(A139,'Modelo Datos'!AD:AG,4,0)</f>
        <v>30877</v>
      </c>
    </row>
    <row r="140" spans="1:4" x14ac:dyDescent="0.35">
      <c r="A140" t="s">
        <v>107</v>
      </c>
      <c r="B140" t="str">
        <f>+VLOOKUP(A140,'Modelo Datos'!AD:AF,2,0)</f>
        <v>BERNARDO CARPENA GARCIA</v>
      </c>
      <c r="C140" t="str">
        <f>+VLOOKUP(A140,'Modelo Datos'!AD:AF,3,0)</f>
        <v>PARTICULAR</v>
      </c>
      <c r="D140">
        <f>+VLOOKUP(A140,'Modelo Datos'!AD:AG,4,0)</f>
        <v>30550</v>
      </c>
    </row>
    <row r="141" spans="1:4" x14ac:dyDescent="0.35">
      <c r="A141" t="s">
        <v>112</v>
      </c>
      <c r="B141" t="str">
        <f>+VLOOKUP(A141,'Modelo Datos'!AD:AF,2,0)</f>
        <v>ORLANDO TURPÍN GÓMEZ</v>
      </c>
      <c r="C141" t="str">
        <f>+VLOOKUP(A141,'Modelo Datos'!AD:AF,3,0)</f>
        <v>PARTICULAR</v>
      </c>
      <c r="D141">
        <f>+VLOOKUP(A141,'Modelo Datos'!AD:AG,4,0)</f>
        <v>30005</v>
      </c>
    </row>
    <row r="142" spans="1:4" x14ac:dyDescent="0.35">
      <c r="A142" t="s">
        <v>115</v>
      </c>
      <c r="B142" s="60" t="str">
        <f>+VLOOKUP(A142,'Modelo Datos'!AD:AF,2,0)</f>
        <v>JORGE VICENTE REVILLA</v>
      </c>
      <c r="C142" s="60" t="str">
        <f>+VLOOKUP(A142,'Modelo Datos'!AD:AF,3,0)</f>
        <v>PARTICULAR</v>
      </c>
      <c r="D142" s="60">
        <f>+VLOOKUP(A142,'Modelo Datos'!AD:AG,4,0)</f>
        <v>30530</v>
      </c>
    </row>
    <row r="143" spans="1:4" x14ac:dyDescent="0.35">
      <c r="A143" t="s">
        <v>118</v>
      </c>
      <c r="B143" s="60" t="str">
        <f>+VLOOKUP(A143,'Modelo Datos'!AD:AF,2,0)</f>
        <v>HIJOS MATIAS VICENTE, C.B.</v>
      </c>
      <c r="C143" s="60" t="str">
        <f>+VLOOKUP(A143,'Modelo Datos'!AD:AF,3,0)</f>
        <v>EMPRESA</v>
      </c>
      <c r="D143" s="60">
        <f>+VLOOKUP(A143,'Modelo Datos'!AD:AG,4,0)</f>
        <v>30530</v>
      </c>
    </row>
    <row r="144" spans="1:4" x14ac:dyDescent="0.35">
      <c r="A144" t="s">
        <v>121</v>
      </c>
      <c r="B144" s="60" t="str">
        <f>+VLOOKUP(A144,'Modelo Datos'!AD:AF,2,0)</f>
        <v>ANTONIO MORENO CANO</v>
      </c>
      <c r="C144" s="60" t="str">
        <f>+VLOOKUP(A144,'Modelo Datos'!AD:AF,3,0)</f>
        <v>PARTICULAR</v>
      </c>
      <c r="D144" s="60">
        <f>+VLOOKUP(A144,'Modelo Datos'!AD:AG,4,0)</f>
        <v>30550</v>
      </c>
    </row>
    <row r="145" spans="1:4" x14ac:dyDescent="0.35">
      <c r="A145" t="s">
        <v>124</v>
      </c>
      <c r="B145" s="60" t="str">
        <f>+VLOOKUP(A145,'Modelo Datos'!AD:AF,2,0)</f>
        <v>PILAR TORNERO MARTINEZ</v>
      </c>
      <c r="C145" s="60" t="str">
        <f>+VLOOKUP(A145,'Modelo Datos'!AD:AF,3,0)</f>
        <v>PARTICULAR</v>
      </c>
      <c r="D145" s="60">
        <f>+VLOOKUP(A145,'Modelo Datos'!AD:AG,4,0)</f>
        <v>30550</v>
      </c>
    </row>
    <row r="146" spans="1:4" x14ac:dyDescent="0.35">
      <c r="A146" t="s">
        <v>127</v>
      </c>
      <c r="B146" s="60" t="str">
        <f>+VLOOKUP(A146,'Modelo Datos'!AD:AF,2,0)</f>
        <v>JUAN  LUCAS RAMOS GARCIA</v>
      </c>
      <c r="C146" s="60" t="str">
        <f>+VLOOKUP(A146,'Modelo Datos'!AD:AF,3,0)</f>
        <v>PARTICULAR</v>
      </c>
      <c r="D146" s="60">
        <f>+VLOOKUP(A146,'Modelo Datos'!AD:AG,4,0)</f>
        <v>30550</v>
      </c>
    </row>
    <row r="147" spans="1:4" x14ac:dyDescent="0.35">
      <c r="A147" t="s">
        <v>130</v>
      </c>
      <c r="B147" s="60" t="str">
        <f>+VLOOKUP(A147,'Modelo Datos'!AD:AF,2,0)</f>
        <v>D´QUART</v>
      </c>
      <c r="C147" s="60" t="str">
        <f>+VLOOKUP(A147,'Modelo Datos'!AD:AF,3,0)</f>
        <v>EMPRESA</v>
      </c>
      <c r="D147" s="60">
        <f>+VLOOKUP(A147,'Modelo Datos'!AD:AG,4,0)</f>
        <v>28003</v>
      </c>
    </row>
    <row r="148" spans="1:4" x14ac:dyDescent="0.35">
      <c r="A148" t="s">
        <v>133</v>
      </c>
      <c r="B148" s="60" t="str">
        <f>+VLOOKUP(A148,'Modelo Datos'!AD:AF,2,0)</f>
        <v>P-CARJAYA, S.L.</v>
      </c>
      <c r="C148" s="60" t="str">
        <f>+VLOOKUP(A148,'Modelo Datos'!AD:AF,3,0)</f>
        <v>EMPRESA</v>
      </c>
      <c r="D148" s="60">
        <f>+VLOOKUP(A148,'Modelo Datos'!AD:AG,4,0)</f>
        <v>30008</v>
      </c>
    </row>
    <row r="149" spans="1:4" x14ac:dyDescent="0.35">
      <c r="A149" t="s">
        <v>136</v>
      </c>
      <c r="B149" s="60" t="str">
        <f>+VLOOKUP(A149,'Modelo Datos'!AD:AF,2,0)</f>
        <v>MIGUEL ANGEL LÓPEZ CANDEL</v>
      </c>
      <c r="C149" s="60" t="str">
        <f>+VLOOKUP(A149,'Modelo Datos'!AD:AF,3,0)</f>
        <v>PARTICULAR</v>
      </c>
      <c r="D149" s="60">
        <f>+VLOOKUP(A149,'Modelo Datos'!AD:AG,4,0)</f>
        <v>30012</v>
      </c>
    </row>
    <row r="150" spans="1:4" x14ac:dyDescent="0.35">
      <c r="A150" t="s">
        <v>139</v>
      </c>
      <c r="B150" s="60" t="str">
        <f>+VLOOKUP(A150,'Modelo Datos'!AD:AF,2,0)</f>
        <v>MARIA TERESA GÓMEZ CARRILLO</v>
      </c>
      <c r="C150" s="60" t="str">
        <f>+VLOOKUP(A150,'Modelo Datos'!AD:AF,3,0)</f>
        <v>PARTICULAR</v>
      </c>
      <c r="D150" s="60">
        <f>+VLOOKUP(A150,'Modelo Datos'!AD:AG,4,0)</f>
        <v>30011</v>
      </c>
    </row>
    <row r="151" spans="1:4" x14ac:dyDescent="0.35">
      <c r="A151" t="s">
        <v>151</v>
      </c>
      <c r="B151" s="60" t="str">
        <f>+VLOOKUP(A151,'Modelo Datos'!AD:AF,2,0)</f>
        <v>VIRTUDES SAORÍN TORRANO</v>
      </c>
      <c r="C151" s="60" t="str">
        <f>+VLOOKUP(A151,'Modelo Datos'!AD:AF,3,0)</f>
        <v>PARTICULAR</v>
      </c>
      <c r="D151" s="60">
        <f>+VLOOKUP(A151,'Modelo Datos'!AD:AG,4,0)</f>
        <v>30550</v>
      </c>
    </row>
    <row r="152" spans="1:4" x14ac:dyDescent="0.35">
      <c r="A152" t="s">
        <v>154</v>
      </c>
      <c r="B152" s="60" t="str">
        <f>+VLOOKUP(A152,'Modelo Datos'!AD:AF,2,0)</f>
        <v>JOSE LUIS FERRER EGEA</v>
      </c>
      <c r="C152" s="60" t="str">
        <f>+VLOOKUP(A152,'Modelo Datos'!AD:AF,3,0)</f>
        <v>PARTICULAR</v>
      </c>
      <c r="D152" s="60">
        <f>+VLOOKUP(A152,'Modelo Datos'!AD:AG,4,0)</f>
        <v>30540</v>
      </c>
    </row>
    <row r="153" spans="1:4" x14ac:dyDescent="0.35">
      <c r="A153" t="s">
        <v>158</v>
      </c>
      <c r="B153" s="60" t="str">
        <f>+VLOOKUP(A153,'Modelo Datos'!AD:AF,2,0)</f>
        <v>PURIFICACIÓN FERRER EGEA</v>
      </c>
      <c r="C153" s="60" t="str">
        <f>+VLOOKUP(A153,'Modelo Datos'!AD:AF,3,0)</f>
        <v>PARTICULAR</v>
      </c>
      <c r="D153" s="60">
        <f>+VLOOKUP(A153,'Modelo Datos'!AD:AG,4,0)</f>
        <v>30540</v>
      </c>
    </row>
    <row r="154" spans="1:4" x14ac:dyDescent="0.35">
      <c r="A154" t="s">
        <v>161</v>
      </c>
      <c r="B154" s="60" t="str">
        <f>+VLOOKUP(A154,'Modelo Datos'!AD:AF,2,0)</f>
        <v>AMANCIO GUILLERMO SANCHEZ LÓPEZ</v>
      </c>
      <c r="C154" s="60" t="str">
        <f>+VLOOKUP(A154,'Modelo Datos'!AD:AF,3,0)</f>
        <v>PARTICULAR</v>
      </c>
      <c r="D154" s="60">
        <f>+VLOOKUP(A154,'Modelo Datos'!AD:AG,4,0)</f>
        <v>30011</v>
      </c>
    </row>
    <row r="155" spans="1:4" x14ac:dyDescent="0.35">
      <c r="A155" t="s">
        <v>164</v>
      </c>
      <c r="B155" s="60" t="str">
        <f>+VLOOKUP(A155,'Modelo Datos'!AD:AF,2,0)</f>
        <v>EX. CASA DE LOS ALMENDROS, S.L.</v>
      </c>
      <c r="C155" s="60" t="str">
        <f>+VLOOKUP(A155,'Modelo Datos'!AD:AF,3,0)</f>
        <v>EMPRESA</v>
      </c>
      <c r="D155" s="60">
        <f>+VLOOKUP(A155,'Modelo Datos'!AD:AG,4,0)</f>
        <v>30530</v>
      </c>
    </row>
    <row r="156" spans="1:4" x14ac:dyDescent="0.35">
      <c r="A156" t="s">
        <v>168</v>
      </c>
      <c r="B156" s="60" t="str">
        <f>+VLOOKUP(A156,'Modelo Datos'!AD:AF,2,0)</f>
        <v>JESUS GÓMEZ HERRERA</v>
      </c>
      <c r="C156" s="60" t="str">
        <f>+VLOOKUP(A156,'Modelo Datos'!AD:AF,3,0)</f>
        <v>PARTICULAR</v>
      </c>
      <c r="D156" s="60">
        <f>+VLOOKUP(A156,'Modelo Datos'!AD:AG,4,0)</f>
        <v>30550</v>
      </c>
    </row>
    <row r="157" spans="1:4" x14ac:dyDescent="0.35">
      <c r="A157" t="s">
        <v>171</v>
      </c>
      <c r="B157" s="60" t="str">
        <f>+VLOOKUP(A157,'Modelo Datos'!AD:AF,2,0)</f>
        <v>MARIO YEPEZ GUILLAMON</v>
      </c>
      <c r="C157" s="60" t="str">
        <f>+VLOOKUP(A157,'Modelo Datos'!AD:AF,3,0)</f>
        <v>PARTICULAR</v>
      </c>
      <c r="D157" s="60">
        <f>+VLOOKUP(A157,'Modelo Datos'!AD:AG,4,0)</f>
        <v>30540</v>
      </c>
    </row>
    <row r="158" spans="1:4" x14ac:dyDescent="0.35">
      <c r="A158" t="s">
        <v>174</v>
      </c>
      <c r="B158" s="60" t="str">
        <f>+VLOOKUP(A158,'Modelo Datos'!AD:AF,2,0)</f>
        <v>EXPLOTACIONES AGRICOLAS LA MUELA, C.B.</v>
      </c>
      <c r="C158" s="60" t="str">
        <f>+VLOOKUP(A158,'Modelo Datos'!AD:AF,3,0)</f>
        <v>EMPRESA</v>
      </c>
      <c r="D158" s="60">
        <f>+VLOOKUP(A158,'Modelo Datos'!AD:AG,4,0)</f>
        <v>30600</v>
      </c>
    </row>
    <row r="159" spans="1:4" x14ac:dyDescent="0.35">
      <c r="A159" t="s">
        <v>178</v>
      </c>
      <c r="B159" s="60" t="str">
        <f>+VLOOKUP(A159,'Modelo Datos'!AD:AF,2,0)</f>
        <v>PURIFICACIÓN GUILLAMON PALAZÓN</v>
      </c>
      <c r="C159" s="60" t="str">
        <f>+VLOOKUP(A159,'Modelo Datos'!AD:AF,3,0)</f>
        <v>PARTICULAR</v>
      </c>
      <c r="D159" s="60">
        <f>+VLOOKUP(A159,'Modelo Datos'!AD:AG,4,0)</f>
        <v>30540</v>
      </c>
    </row>
    <row r="160" spans="1:4" x14ac:dyDescent="0.35">
      <c r="A160" t="s">
        <v>181</v>
      </c>
      <c r="B160" s="60" t="str">
        <f>+VLOOKUP(A160,'Modelo Datos'!AD:AF,2,0)</f>
        <v>MªTRINIDAD MARÍN GONZALEZ</v>
      </c>
      <c r="C160" s="60" t="str">
        <f>+VLOOKUP(A160,'Modelo Datos'!AD:AF,3,0)</f>
        <v>PARTICULAR</v>
      </c>
      <c r="D160" s="60">
        <f>+VLOOKUP(A160,'Modelo Datos'!AD:AG,4,0)</f>
        <v>30550</v>
      </c>
    </row>
    <row r="161" spans="1:4" x14ac:dyDescent="0.35">
      <c r="A161" t="s">
        <v>185</v>
      </c>
      <c r="B161" s="60" t="str">
        <f>+VLOOKUP(A161,'Modelo Datos'!AD:AF,2,0)</f>
        <v>Mª TRINIDAD MORTE MOLINA</v>
      </c>
      <c r="C161" s="60" t="str">
        <f>+VLOOKUP(A161,'Modelo Datos'!AD:AF,3,0)</f>
        <v>PARTICULAR</v>
      </c>
      <c r="D161" s="60">
        <f>+VLOOKUP(A161,'Modelo Datos'!AD:AG,4,0)</f>
        <v>30550</v>
      </c>
    </row>
    <row r="162" spans="1:4" x14ac:dyDescent="0.35">
      <c r="A162" t="s">
        <v>188</v>
      </c>
      <c r="B162" s="60" t="str">
        <f>+VLOOKUP(A162,'Modelo Datos'!AD:AF,2,0)</f>
        <v>JOSE LUIS TURPIN LUCAS</v>
      </c>
      <c r="C162" s="60" t="str">
        <f>+VLOOKUP(A162,'Modelo Datos'!AD:AF,3,0)</f>
        <v>PARTICULAR</v>
      </c>
      <c r="D162" s="60">
        <f>+VLOOKUP(A162,'Modelo Datos'!AD:AG,4,0)</f>
        <v>30550</v>
      </c>
    </row>
    <row r="163" spans="1:4" x14ac:dyDescent="0.35">
      <c r="A163" t="s">
        <v>192</v>
      </c>
      <c r="B163" s="60" t="str">
        <f>+VLOOKUP(A163,'Modelo Datos'!AD:AF,2,0)</f>
        <v>AGRICOLA MARIN GONZALVEZ, C.B.</v>
      </c>
      <c r="C163" s="60" t="str">
        <f>+VLOOKUP(A163,'Modelo Datos'!AD:AF,3,0)</f>
        <v>EMPRESA</v>
      </c>
      <c r="D163" s="60">
        <f>+VLOOKUP(A163,'Modelo Datos'!AD:AG,4,0)</f>
        <v>30559</v>
      </c>
    </row>
    <row r="164" spans="1:4" x14ac:dyDescent="0.35">
      <c r="A164" t="s">
        <v>195</v>
      </c>
      <c r="B164" s="60" t="str">
        <f>+VLOOKUP(A164,'Modelo Datos'!AD:AF,2,0)</f>
        <v>DEBORA CARRASCO NAVARRO</v>
      </c>
      <c r="C164" s="60" t="str">
        <f>+VLOOKUP(A164,'Modelo Datos'!AD:AF,3,0)</f>
        <v>PARTICULAR</v>
      </c>
      <c r="D164" s="60">
        <f>+VLOOKUP(A164,'Modelo Datos'!AD:AG,4,0)</f>
        <v>30550</v>
      </c>
    </row>
    <row r="165" spans="1:4" x14ac:dyDescent="0.35">
      <c r="A165" t="s">
        <v>199</v>
      </c>
      <c r="B165" s="60" t="str">
        <f>+VLOOKUP(A165,'Modelo Datos'!AD:AF,2,0)</f>
        <v>JUAN ANTONIO VICENTE REVILLA</v>
      </c>
      <c r="C165" s="60" t="str">
        <f>+VLOOKUP(A165,'Modelo Datos'!AD:AF,3,0)</f>
        <v>PARTICULAR</v>
      </c>
      <c r="D165" s="60">
        <f>+VLOOKUP(A165,'Modelo Datos'!AD:AG,4,0)</f>
        <v>30530</v>
      </c>
    </row>
    <row r="166" spans="1:4" x14ac:dyDescent="0.35">
      <c r="A166" t="s">
        <v>202</v>
      </c>
      <c r="B166" s="60" t="str">
        <f>+VLOOKUP(A166,'Modelo Datos'!AD:AF,2,0)</f>
        <v>CULTIVOS DEL NOROESTE, S.L.</v>
      </c>
      <c r="C166" s="60" t="str">
        <f>+VLOOKUP(A166,'Modelo Datos'!AD:AF,3,0)</f>
        <v>EMPRESA</v>
      </c>
      <c r="D166" s="60">
        <f>+VLOOKUP(A166,'Modelo Datos'!AD:AG,4,0)</f>
        <v>30180</v>
      </c>
    </row>
    <row r="167" spans="1:4" x14ac:dyDescent="0.35">
      <c r="A167" t="s">
        <v>206</v>
      </c>
      <c r="B167" s="60" t="str">
        <f>+VLOOKUP(A167,'Modelo Datos'!AD:AF,2,0)</f>
        <v>IMPORTACIONES COSTA CALIDA, S.L.</v>
      </c>
      <c r="C167" s="60" t="str">
        <f>+VLOOKUP(A167,'Modelo Datos'!AD:AF,3,0)</f>
        <v>EMPRESA</v>
      </c>
      <c r="D167" s="60">
        <f>+VLOOKUP(A167,'Modelo Datos'!AD:AG,4,0)</f>
        <v>30140</v>
      </c>
    </row>
    <row r="168" spans="1:4" x14ac:dyDescent="0.35">
      <c r="A168" t="s">
        <v>212</v>
      </c>
      <c r="B168" s="60" t="str">
        <f>+VLOOKUP(A168,'Modelo Datos'!AD:AF,2,0)</f>
        <v>FRUTAS Y VERDURAS ANTONIO, S.L.</v>
      </c>
      <c r="C168" s="60" t="str">
        <f>+VLOOKUP(A168,'Modelo Datos'!AD:AF,3,0)</f>
        <v>EMPRESA</v>
      </c>
      <c r="D168" s="60">
        <f>+VLOOKUP(A168,'Modelo Datos'!AD:AG,4,0)</f>
        <v>8860</v>
      </c>
    </row>
    <row r="169" spans="1:4" x14ac:dyDescent="0.35">
      <c r="A169" t="s">
        <v>225</v>
      </c>
      <c r="B169" s="60" t="str">
        <f>+VLOOKUP(A169,'Modelo Datos'!AD:AF,2,0)</f>
        <v>AGD FINCA LA TORRE, S.L.</v>
      </c>
      <c r="C169" s="60" t="str">
        <f>+VLOOKUP(A169,'Modelo Datos'!AD:AF,3,0)</f>
        <v>EMPRESA</v>
      </c>
      <c r="D169" s="60">
        <f>+VLOOKUP(A169,'Modelo Datos'!AD:AG,4,0)</f>
        <v>30591</v>
      </c>
    </row>
    <row r="170" spans="1:4" x14ac:dyDescent="0.35">
      <c r="A170" t="s">
        <v>230</v>
      </c>
      <c r="B170" s="60" t="str">
        <f>+VLOOKUP(A170,'Modelo Datos'!AD:AF,2,0)</f>
        <v>EUROSERVICIOS AGRICOLAS MEDITERRANEO SL</v>
      </c>
      <c r="C170" s="60" t="str">
        <f>+VLOOKUP(A170,'Modelo Datos'!AD:AF,3,0)</f>
        <v>EMPRESA</v>
      </c>
      <c r="D170" s="60">
        <f>+VLOOKUP(A170,'Modelo Datos'!AD:AG,4,0)</f>
        <v>30008</v>
      </c>
    </row>
    <row r="171" spans="1:4" x14ac:dyDescent="0.35">
      <c r="A171" t="s">
        <v>240</v>
      </c>
      <c r="B171" s="60" t="str">
        <f>+VLOOKUP(A171,'Modelo Datos'!AD:AF,2,0)</f>
        <v>MARILOZASOL, S.L.</v>
      </c>
      <c r="C171" s="60" t="str">
        <f>+VLOOKUP(A171,'Modelo Datos'!AD:AF,3,0)</f>
        <v>EMPRESA</v>
      </c>
      <c r="D171" s="60">
        <f>+VLOOKUP(A171,'Modelo Datos'!AD:AG,4,0)</f>
        <v>30360</v>
      </c>
    </row>
    <row r="172" spans="1:4" x14ac:dyDescent="0.35">
      <c r="A172" t="s">
        <v>243</v>
      </c>
      <c r="B172" s="60" t="str">
        <f>+VLOOKUP(A172,'Modelo Datos'!AD:AF,2,0)</f>
        <v>RICOME PRODUCTIONS, S.L.</v>
      </c>
      <c r="C172" s="60" t="str">
        <f>+VLOOKUP(A172,'Modelo Datos'!AD:AF,3,0)</f>
        <v>EMPRESA</v>
      </c>
      <c r="D172" s="60">
        <f>+VLOOKUP(A172,'Modelo Datos'!AD:AG,4,0)</f>
        <v>30360</v>
      </c>
    </row>
    <row r="173" spans="1:4" x14ac:dyDescent="0.35">
      <c r="A173" t="s">
        <v>246</v>
      </c>
      <c r="B173" s="60" t="str">
        <f>+VLOOKUP(A173,'Modelo Datos'!AD:AF,2,0)</f>
        <v>ANTONIO JUAN LUCAS GOMEZ</v>
      </c>
      <c r="C173" s="60" t="str">
        <f>+VLOOKUP(A173,'Modelo Datos'!AD:AF,3,0)</f>
        <v>PARTICULAR</v>
      </c>
      <c r="D173" s="60">
        <f>+VLOOKUP(A173,'Modelo Datos'!AD:AG,4,0)</f>
        <v>30530</v>
      </c>
    </row>
    <row r="174" spans="1:4" x14ac:dyDescent="0.35">
      <c r="A174" t="s">
        <v>249</v>
      </c>
      <c r="B174" s="60" t="str">
        <f>+VLOOKUP(A174,'Modelo Datos'!AD:AF,2,0)</f>
        <v>FINCAS BEKHATERA SL</v>
      </c>
      <c r="C174" s="60" t="str">
        <f>+VLOOKUP(A174,'Modelo Datos'!AD:AF,3,0)</f>
        <v>EMPRESA</v>
      </c>
      <c r="D174" s="60">
        <f>+VLOOKUP(A174,'Modelo Datos'!AD:AG,4,0)</f>
        <v>3460</v>
      </c>
    </row>
    <row r="175" spans="1:4" x14ac:dyDescent="0.35">
      <c r="A175" t="s">
        <v>253</v>
      </c>
      <c r="B175" s="60" t="str">
        <f>+VLOOKUP(A175,'Modelo Datos'!AD:AF,2,0)</f>
        <v>ISABEL MARTINEZ RUIZ</v>
      </c>
      <c r="C175" s="60" t="str">
        <f>+VLOOKUP(A175,'Modelo Datos'!AD:AF,3,0)</f>
        <v>PARTICULAR</v>
      </c>
      <c r="D175" s="60">
        <f>+VLOOKUP(A175,'Modelo Datos'!AD:AG,4,0)</f>
        <v>30600</v>
      </c>
    </row>
    <row r="176" spans="1:4" x14ac:dyDescent="0.35">
      <c r="A176" t="s">
        <v>256</v>
      </c>
      <c r="B176" s="60" t="str">
        <f>+VLOOKUP(A176,'Modelo Datos'!AD:AF,2,0)</f>
        <v>JOSE MANUEL GUARDIOLA MARTINEZ</v>
      </c>
      <c r="C176" s="60" t="str">
        <f>+VLOOKUP(A176,'Modelo Datos'!AD:AF,3,0)</f>
        <v>PARTICULAR</v>
      </c>
      <c r="D176" s="60">
        <f>+VLOOKUP(A176,'Modelo Datos'!AD:AG,4,0)</f>
        <v>30530</v>
      </c>
    </row>
    <row r="177" spans="1:4" x14ac:dyDescent="0.35">
      <c r="A177" t="s">
        <v>260</v>
      </c>
      <c r="B177" s="60" t="str">
        <f>+VLOOKUP(A177,'Modelo Datos'!AD:AF,2,0)</f>
        <v>EXPLOTACIONES AGRICOLAS JUMAR, S.LL</v>
      </c>
      <c r="C177" s="60" t="str">
        <f>+VLOOKUP(A177,'Modelo Datos'!AD:AF,3,0)</f>
        <v>EMPRESA</v>
      </c>
      <c r="D177" s="60">
        <f>+VLOOKUP(A177,'Modelo Datos'!AD:AG,4,0)</f>
        <v>30360</v>
      </c>
    </row>
    <row r="178" spans="1:4" x14ac:dyDescent="0.35">
      <c r="A178" t="s">
        <v>711</v>
      </c>
      <c r="B178" s="60"/>
      <c r="C178" s="60"/>
      <c r="D178" s="60"/>
    </row>
    <row r="179" spans="1:4" x14ac:dyDescent="0.35">
      <c r="A179" t="s">
        <v>677</v>
      </c>
      <c r="B179" s="60"/>
      <c r="C179" s="60"/>
      <c r="D179" s="6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9E9D-EF54-4080-B23C-C530E8F1EF3B}">
  <dimension ref="A2:J209"/>
  <sheetViews>
    <sheetView tabSelected="1" topLeftCell="F189" workbookViewId="0">
      <selection activeCell="I3" sqref="I3:I207"/>
    </sheetView>
  </sheetViews>
  <sheetFormatPr baseColWidth="10" defaultColWidth="8.7265625" defaultRowHeight="14.5" x14ac:dyDescent="0.35"/>
  <cols>
    <col min="1" max="1" width="21.81640625" bestFit="1" customWidth="1"/>
    <col min="2" max="2" width="19" bestFit="1" customWidth="1"/>
    <col min="3" max="3" width="23.26953125" bestFit="1" customWidth="1"/>
    <col min="4" max="4" width="28.1796875" bestFit="1" customWidth="1"/>
    <col min="5" max="5" width="33.54296875" bestFit="1" customWidth="1"/>
    <col min="6" max="6" width="23.26953125" customWidth="1"/>
    <col min="7" max="7" width="21.81640625" bestFit="1" customWidth="1"/>
    <col min="8" max="8" width="15.54296875" customWidth="1"/>
  </cols>
  <sheetData>
    <row r="2" spans="1:10" x14ac:dyDescent="0.35">
      <c r="A2" s="36" t="s">
        <v>26</v>
      </c>
      <c r="B2" t="s">
        <v>671</v>
      </c>
      <c r="C2" t="s">
        <v>712</v>
      </c>
      <c r="D2" t="s">
        <v>672</v>
      </c>
      <c r="E2" t="s">
        <v>673</v>
      </c>
      <c r="F2" t="s">
        <v>713</v>
      </c>
      <c r="G2" t="s">
        <v>714</v>
      </c>
      <c r="H2" t="s">
        <v>715</v>
      </c>
      <c r="I2" t="s">
        <v>716</v>
      </c>
      <c r="J2" t="s">
        <v>717</v>
      </c>
    </row>
    <row r="3" spans="1:10" x14ac:dyDescent="0.35">
      <c r="A3" t="s">
        <v>129</v>
      </c>
      <c r="B3">
        <v>20382.009999999998</v>
      </c>
      <c r="C3">
        <v>2038.201</v>
      </c>
      <c r="D3">
        <v>1630.5608</v>
      </c>
      <c r="E3">
        <v>407.64019999999999</v>
      </c>
      <c r="F3" s="39" t="str">
        <f>+VLOOKUP(A3,'Modelo Datos'!D:AD,27,0)</f>
        <v>B28864817</v>
      </c>
      <c r="G3" s="38">
        <f>+VLOOKUP(A3,'Modelo Datos'!D:F,3,0)</f>
        <v>46066</v>
      </c>
      <c r="H3" t="str">
        <f>+VLOOKUP(A3,'Modelo Datos'!D:AD,19,0)</f>
        <v>OCCIDENT</v>
      </c>
      <c r="I3">
        <f>+VLOOKUP(A3,'Modelo Datos'!D:AD,10,0)</f>
        <v>0</v>
      </c>
      <c r="J3">
        <f>+VLOOKUP(A3,'Modelo Datos'!D:AD,13,0)</f>
        <v>0</v>
      </c>
    </row>
    <row r="4" spans="1:10" x14ac:dyDescent="0.35">
      <c r="A4" t="s">
        <v>132</v>
      </c>
      <c r="B4">
        <v>10509.03</v>
      </c>
      <c r="C4">
        <v>1050.9030000000002</v>
      </c>
      <c r="D4">
        <v>840.72240000000011</v>
      </c>
      <c r="E4">
        <v>210.18060000000003</v>
      </c>
      <c r="F4" s="39" t="str">
        <f>+VLOOKUP(A4,'Modelo Datos'!D:AD,27,0)</f>
        <v>B05568944</v>
      </c>
      <c r="G4" s="38">
        <f>+VLOOKUP(A4,'Modelo Datos'!D:F,3,0)</f>
        <v>46066</v>
      </c>
      <c r="H4" t="str">
        <f>+VLOOKUP(A4,'Modelo Datos'!D:AD,19,0)</f>
        <v>OCCIDENT</v>
      </c>
      <c r="I4">
        <f>+VLOOKUP(A4,'Modelo Datos'!D:AD,10,0)</f>
        <v>0</v>
      </c>
      <c r="J4">
        <f>+VLOOKUP(A4,'Modelo Datos'!D:AD,13,0)</f>
        <v>0</v>
      </c>
    </row>
    <row r="5" spans="1:10" x14ac:dyDescent="0.35">
      <c r="A5" t="s">
        <v>261</v>
      </c>
      <c r="B5">
        <v>1459.24</v>
      </c>
      <c r="C5">
        <v>189.7012</v>
      </c>
      <c r="D5">
        <v>145.92400000000001</v>
      </c>
      <c r="E5">
        <v>43.777200000000001</v>
      </c>
      <c r="F5" s="39" t="str">
        <f>+VLOOKUP(A5,'Modelo Datos'!D:AD,27,0)</f>
        <v>34807228V</v>
      </c>
      <c r="G5" s="38">
        <f>+VLOOKUP(A5,'Modelo Datos'!D:F,3,0)</f>
        <v>46037</v>
      </c>
      <c r="H5" t="str">
        <f>+VLOOKUP(A5,'Modelo Datos'!D:AD,19,0)</f>
        <v>MAPFRE</v>
      </c>
      <c r="I5">
        <f>+VLOOKUP(A5,'Modelo Datos'!D:AD,10,0)</f>
        <v>0</v>
      </c>
      <c r="J5">
        <f>+VLOOKUP(A5,'Modelo Datos'!D:AD,13,0)</f>
        <v>0</v>
      </c>
    </row>
    <row r="6" spans="1:10" x14ac:dyDescent="0.35">
      <c r="A6" t="s">
        <v>114</v>
      </c>
      <c r="B6">
        <v>9854.24</v>
      </c>
      <c r="C6">
        <v>1182.5088000000001</v>
      </c>
      <c r="D6">
        <v>985.42399999999998</v>
      </c>
      <c r="E6">
        <v>197.0848</v>
      </c>
      <c r="F6" s="39" t="str">
        <f>+VLOOKUP(A6,'Modelo Datos'!D:AD,27,0)</f>
        <v>34800789H</v>
      </c>
      <c r="G6" s="38">
        <f>+VLOOKUP(A6,'Modelo Datos'!D:F,3,0)</f>
        <v>46072</v>
      </c>
      <c r="H6" t="str">
        <f>+VLOOKUP(A6,'Modelo Datos'!D:AD,19,0)</f>
        <v>OCCIDENT</v>
      </c>
      <c r="I6">
        <f>+VLOOKUP(A6,'Modelo Datos'!D:AD,10,0)</f>
        <v>0</v>
      </c>
      <c r="J6">
        <f>+VLOOKUP(A6,'Modelo Datos'!D:AD,13,0)</f>
        <v>0</v>
      </c>
    </row>
    <row r="7" spans="1:10" x14ac:dyDescent="0.35">
      <c r="A7" t="s">
        <v>198</v>
      </c>
      <c r="B7">
        <v>1170.5899999999999</v>
      </c>
      <c r="C7">
        <v>140.4708</v>
      </c>
      <c r="D7">
        <v>117.059</v>
      </c>
      <c r="E7">
        <v>23.411799999999999</v>
      </c>
      <c r="F7" s="39" t="str">
        <f>+VLOOKUP(A7,'Modelo Datos'!D:AD,27,0)</f>
        <v>29039918A</v>
      </c>
      <c r="G7" s="38">
        <f>+VLOOKUP(A7,'Modelo Datos'!D:F,3,0)</f>
        <v>46073</v>
      </c>
      <c r="H7" t="str">
        <f>+VLOOKUP(A7,'Modelo Datos'!D:AD,19,0)</f>
        <v>OCCIDENT</v>
      </c>
      <c r="I7">
        <f>+VLOOKUP(A7,'Modelo Datos'!D:AD,10,0)</f>
        <v>0</v>
      </c>
      <c r="J7">
        <f>+VLOOKUP(A7,'Modelo Datos'!D:AD,13,0)</f>
        <v>0</v>
      </c>
    </row>
    <row r="8" spans="1:10" x14ac:dyDescent="0.35">
      <c r="A8" t="s">
        <v>263</v>
      </c>
      <c r="B8">
        <v>299.18</v>
      </c>
      <c r="C8">
        <v>41.885200000000005</v>
      </c>
      <c r="D8">
        <v>35.901600000000002</v>
      </c>
      <c r="E8">
        <v>5.9836</v>
      </c>
      <c r="F8" s="39" t="str">
        <f>+VLOOKUP(A8,'Modelo Datos'!D:AD,27,0)</f>
        <v>B73956161</v>
      </c>
      <c r="G8" s="38">
        <f>+VLOOKUP(A8,'Modelo Datos'!D:F,3,0)</f>
        <v>46024</v>
      </c>
      <c r="H8" t="str">
        <f>+VLOOKUP(A8,'Modelo Datos'!D:AD,19,0)</f>
        <v>OCCIDENT</v>
      </c>
      <c r="I8">
        <f>+VLOOKUP(A8,'Modelo Datos'!D:AD,10,0)</f>
        <v>0</v>
      </c>
      <c r="J8">
        <f>+VLOOKUP(A8,'Modelo Datos'!D:AD,13,0)</f>
        <v>0</v>
      </c>
    </row>
    <row r="9" spans="1:10" x14ac:dyDescent="0.35">
      <c r="A9" t="s">
        <v>265</v>
      </c>
      <c r="B9">
        <v>869.3</v>
      </c>
      <c r="C9">
        <v>60.850999999999999</v>
      </c>
      <c r="D9">
        <v>43.465000000000003</v>
      </c>
      <c r="E9">
        <v>17.385999999999999</v>
      </c>
      <c r="F9" s="39" t="str">
        <f>+VLOOKUP(A9,'Modelo Datos'!D:AD,27,0)</f>
        <v>74336992A</v>
      </c>
      <c r="G9" s="38">
        <f>+VLOOKUP(A9,'Modelo Datos'!D:F,3,0)</f>
        <v>46029</v>
      </c>
      <c r="H9" t="str">
        <f>+VLOOKUP(A9,'Modelo Datos'!D:AD,19,0)</f>
        <v>ALLIANZ</v>
      </c>
      <c r="I9">
        <f>+VLOOKUP(A9,'Modelo Datos'!D:AD,10,0)</f>
        <v>0</v>
      </c>
      <c r="J9">
        <f>+VLOOKUP(A9,'Modelo Datos'!D:AD,13,0)</f>
        <v>0</v>
      </c>
    </row>
    <row r="10" spans="1:10" x14ac:dyDescent="0.35">
      <c r="A10" t="s">
        <v>268</v>
      </c>
      <c r="B10">
        <v>33491.25</v>
      </c>
      <c r="C10">
        <v>3684.0375000000004</v>
      </c>
      <c r="D10">
        <v>2679.3</v>
      </c>
      <c r="E10">
        <v>1004.7375</v>
      </c>
      <c r="F10" s="39" t="str">
        <f>+VLOOKUP(A10,'Modelo Datos'!D:AD,27,0)</f>
        <v>27435726S</v>
      </c>
      <c r="G10" s="38">
        <f>+VLOOKUP(A10,'Modelo Datos'!D:F,3,0)</f>
        <v>46029</v>
      </c>
      <c r="H10" t="str">
        <f>+VLOOKUP(A10,'Modelo Datos'!D:AD,19,0)</f>
        <v>MAPFRE</v>
      </c>
      <c r="I10">
        <f>+VLOOKUP(A10,'Modelo Datos'!D:AD,10,0)</f>
        <v>0</v>
      </c>
      <c r="J10">
        <f>+VLOOKUP(A10,'Modelo Datos'!D:AD,13,0)</f>
        <v>0</v>
      </c>
    </row>
    <row r="11" spans="1:10" x14ac:dyDescent="0.35">
      <c r="A11" t="s">
        <v>147</v>
      </c>
      <c r="B11">
        <v>20966.330000000002</v>
      </c>
      <c r="C11">
        <v>2448.5265000000004</v>
      </c>
      <c r="D11">
        <v>2029.1999000000001</v>
      </c>
      <c r="E11">
        <v>419.32660000000004</v>
      </c>
      <c r="F11" s="39" t="str">
        <f>+VLOOKUP(A11,'Modelo Datos'!D:AD,27,0)</f>
        <v>74428802C</v>
      </c>
      <c r="G11" s="38">
        <f>+VLOOKUP(A11,'Modelo Datos'!D:F,3,0)</f>
        <v>46064</v>
      </c>
      <c r="H11" t="str">
        <f>+VLOOKUP(A11,'Modelo Datos'!D:AD,19,0)</f>
        <v>ALLIANZ</v>
      </c>
      <c r="I11">
        <f>+VLOOKUP(A11,'Modelo Datos'!D:AD,10,0)</f>
        <v>0</v>
      </c>
      <c r="J11">
        <f>+VLOOKUP(A11,'Modelo Datos'!D:AD,13,0)</f>
        <v>0</v>
      </c>
    </row>
    <row r="12" spans="1:10" x14ac:dyDescent="0.35">
      <c r="A12" t="s">
        <v>272</v>
      </c>
      <c r="B12">
        <v>2583.3000000000002</v>
      </c>
      <c r="C12">
        <v>387.49500000000006</v>
      </c>
      <c r="D12">
        <v>309.99600000000004</v>
      </c>
      <c r="E12">
        <v>77.499000000000009</v>
      </c>
      <c r="F12" s="39" t="str">
        <f>+VLOOKUP(A12,'Modelo Datos'!D:AD,27,0)</f>
        <v>74346979P</v>
      </c>
      <c r="G12" s="38">
        <f>+VLOOKUP(A12,'Modelo Datos'!D:F,3,0)</f>
        <v>46030</v>
      </c>
      <c r="H12" t="str">
        <f>+VLOOKUP(A12,'Modelo Datos'!D:AD,19,0)</f>
        <v>MAPFRE</v>
      </c>
      <c r="I12">
        <f>+VLOOKUP(A12,'Modelo Datos'!D:AD,10,0)</f>
        <v>0</v>
      </c>
      <c r="J12">
        <f>+VLOOKUP(A12,'Modelo Datos'!D:AD,13,0)</f>
        <v>0</v>
      </c>
    </row>
    <row r="13" spans="1:10" x14ac:dyDescent="0.35">
      <c r="A13" t="s">
        <v>275</v>
      </c>
      <c r="B13">
        <v>2710.03</v>
      </c>
      <c r="C13">
        <v>346.88384000000008</v>
      </c>
      <c r="D13">
        <v>265.58294000000006</v>
      </c>
      <c r="E13">
        <v>81.300899999999999</v>
      </c>
      <c r="F13" s="39" t="str">
        <f>+VLOOKUP(A13,'Modelo Datos'!D:AD,27,0)</f>
        <v>74317378P</v>
      </c>
      <c r="G13" s="38">
        <f>+VLOOKUP(A13,'Modelo Datos'!D:F,3,0)</f>
        <v>46030</v>
      </c>
      <c r="H13" t="str">
        <f>+VLOOKUP(A13,'Modelo Datos'!D:AD,19,0)</f>
        <v>MAPFRE</v>
      </c>
      <c r="I13">
        <f>+VLOOKUP(A13,'Modelo Datos'!D:AD,10,0)</f>
        <v>0</v>
      </c>
      <c r="J13">
        <f>+VLOOKUP(A13,'Modelo Datos'!D:AD,13,0)</f>
        <v>0</v>
      </c>
    </row>
    <row r="14" spans="1:10" x14ac:dyDescent="0.35">
      <c r="A14" t="s">
        <v>278</v>
      </c>
      <c r="B14">
        <v>9052.7800000000007</v>
      </c>
      <c r="C14">
        <v>1086.3335999999999</v>
      </c>
      <c r="D14">
        <v>814.75020000000006</v>
      </c>
      <c r="E14">
        <v>271.58339999999998</v>
      </c>
      <c r="F14" s="39" t="str">
        <f>+VLOOKUP(A14,'Modelo Datos'!D:AD,27,0)</f>
        <v>29038614X</v>
      </c>
      <c r="G14" s="38">
        <f>+VLOOKUP(A14,'Modelo Datos'!D:F,3,0)</f>
        <v>46031</v>
      </c>
      <c r="H14" t="str">
        <f>+VLOOKUP(A14,'Modelo Datos'!D:AD,19,0)</f>
        <v>MAPFRE</v>
      </c>
      <c r="I14">
        <f>+VLOOKUP(A14,'Modelo Datos'!D:AD,10,0)</f>
        <v>0</v>
      </c>
      <c r="J14">
        <f>+VLOOKUP(A14,'Modelo Datos'!D:AD,13,0)</f>
        <v>0</v>
      </c>
    </row>
    <row r="15" spans="1:10" x14ac:dyDescent="0.35">
      <c r="A15" t="s">
        <v>281</v>
      </c>
      <c r="B15">
        <v>1991.07</v>
      </c>
      <c r="C15">
        <v>238.92840000000001</v>
      </c>
      <c r="D15">
        <v>179.19630000000001</v>
      </c>
      <c r="E15">
        <v>59.732099999999996</v>
      </c>
      <c r="F15" s="39" t="str">
        <f>+VLOOKUP(A15,'Modelo Datos'!D:AD,27,0)</f>
        <v>29040362X</v>
      </c>
      <c r="G15" s="38">
        <f>+VLOOKUP(A15,'Modelo Datos'!D:F,3,0)</f>
        <v>46031</v>
      </c>
      <c r="H15" t="str">
        <f>+VLOOKUP(A15,'Modelo Datos'!D:AD,19,0)</f>
        <v>MAPFRE</v>
      </c>
      <c r="I15">
        <f>+VLOOKUP(A15,'Modelo Datos'!D:AD,10,0)</f>
        <v>0</v>
      </c>
      <c r="J15">
        <f>+VLOOKUP(A15,'Modelo Datos'!D:AD,13,0)</f>
        <v>0</v>
      </c>
    </row>
    <row r="16" spans="1:10" x14ac:dyDescent="0.35">
      <c r="A16" t="s">
        <v>284</v>
      </c>
      <c r="B16">
        <v>1703.47</v>
      </c>
      <c r="C16">
        <v>204.41639999999998</v>
      </c>
      <c r="D16">
        <v>153.31229999999999</v>
      </c>
      <c r="E16">
        <v>51.104099999999995</v>
      </c>
      <c r="F16" s="39" t="str">
        <f>+VLOOKUP(A16,'Modelo Datos'!D:AD,27,0)</f>
        <v>48422342M</v>
      </c>
      <c r="G16" s="38">
        <f>+VLOOKUP(A16,'Modelo Datos'!D:F,3,0)</f>
        <v>46031</v>
      </c>
      <c r="H16" t="str">
        <f>+VLOOKUP(A16,'Modelo Datos'!D:AD,19,0)</f>
        <v>MAPFRE</v>
      </c>
      <c r="I16">
        <f>+VLOOKUP(A16,'Modelo Datos'!D:AD,10,0)</f>
        <v>0</v>
      </c>
      <c r="J16">
        <f>+VLOOKUP(A16,'Modelo Datos'!D:AD,13,0)</f>
        <v>0</v>
      </c>
    </row>
    <row r="17" spans="1:10" x14ac:dyDescent="0.35">
      <c r="A17" t="s">
        <v>287</v>
      </c>
      <c r="B17">
        <v>798.95</v>
      </c>
      <c r="C17">
        <v>47.937000000000005</v>
      </c>
      <c r="D17">
        <v>31.958000000000002</v>
      </c>
      <c r="E17">
        <v>15.979000000000001</v>
      </c>
      <c r="F17" s="39" t="str">
        <f>+VLOOKUP(A17,'Modelo Datos'!D:AD,27,0)</f>
        <v>B14771331</v>
      </c>
      <c r="G17" s="38">
        <f>+VLOOKUP(A17,'Modelo Datos'!D:F,3,0)</f>
        <v>46031</v>
      </c>
      <c r="H17" t="str">
        <f>+VLOOKUP(A17,'Modelo Datos'!D:AD,19,0)</f>
        <v>OCCIDENT</v>
      </c>
      <c r="I17">
        <f>+VLOOKUP(A17,'Modelo Datos'!D:AD,10,0)</f>
        <v>0</v>
      </c>
      <c r="J17">
        <f>+VLOOKUP(A17,'Modelo Datos'!D:AD,13,0)</f>
        <v>0</v>
      </c>
    </row>
    <row r="18" spans="1:10" x14ac:dyDescent="0.35">
      <c r="A18" t="s">
        <v>288</v>
      </c>
      <c r="B18">
        <v>2962.67</v>
      </c>
      <c r="C18">
        <v>177.7602</v>
      </c>
      <c r="D18">
        <v>118.5068</v>
      </c>
      <c r="E18">
        <v>59.253399999999999</v>
      </c>
      <c r="F18" s="39" t="str">
        <f>+VLOOKUP(A18,'Modelo Datos'!D:AD,27,0)</f>
        <v>B14771331</v>
      </c>
      <c r="G18" s="38">
        <f>+VLOOKUP(A18,'Modelo Datos'!D:F,3,0)</f>
        <v>46031</v>
      </c>
      <c r="H18" t="str">
        <f>+VLOOKUP(A18,'Modelo Datos'!D:AD,19,0)</f>
        <v>OCCIDENT</v>
      </c>
      <c r="I18">
        <f>+VLOOKUP(A18,'Modelo Datos'!D:AD,10,0)</f>
        <v>0</v>
      </c>
      <c r="J18">
        <f>+VLOOKUP(A18,'Modelo Datos'!D:AD,13,0)</f>
        <v>0</v>
      </c>
    </row>
    <row r="19" spans="1:10" x14ac:dyDescent="0.35">
      <c r="A19" t="s">
        <v>289</v>
      </c>
      <c r="B19">
        <v>2696.88</v>
      </c>
      <c r="C19">
        <v>242.7192</v>
      </c>
      <c r="D19">
        <v>161.81280000000001</v>
      </c>
      <c r="E19">
        <v>80.906400000000005</v>
      </c>
      <c r="F19" s="39" t="str">
        <f>+VLOOKUP(A19,'Modelo Datos'!D:AD,27,0)</f>
        <v>77759844H</v>
      </c>
      <c r="G19" s="38">
        <f>+VLOOKUP(A19,'Modelo Datos'!D:F,3,0)</f>
        <v>46031</v>
      </c>
      <c r="H19" t="str">
        <f>+VLOOKUP(A19,'Modelo Datos'!D:AD,19,0)</f>
        <v>MAPFRE</v>
      </c>
      <c r="I19">
        <f>+VLOOKUP(A19,'Modelo Datos'!D:AD,10,0)</f>
        <v>0</v>
      </c>
      <c r="J19">
        <f>+VLOOKUP(A19,'Modelo Datos'!D:AD,13,0)</f>
        <v>0</v>
      </c>
    </row>
    <row r="20" spans="1:10" x14ac:dyDescent="0.35">
      <c r="A20" t="s">
        <v>258</v>
      </c>
      <c r="B20">
        <v>13441.98</v>
      </c>
      <c r="C20">
        <v>1344.1980000000001</v>
      </c>
      <c r="D20">
        <v>1075.3584000000001</v>
      </c>
      <c r="E20">
        <v>268.83960000000002</v>
      </c>
      <c r="F20" s="39" t="str">
        <f>+VLOOKUP(A20,'Modelo Datos'!D:AD,27,0)</f>
        <v>B30799712</v>
      </c>
      <c r="G20" s="38">
        <f>+VLOOKUP(A20,'Modelo Datos'!D:F,3,0)</f>
        <v>46044</v>
      </c>
      <c r="H20" t="str">
        <f>+VLOOKUP(A20,'Modelo Datos'!D:AD,19,0)</f>
        <v>OCCIDENT</v>
      </c>
      <c r="I20">
        <f>+VLOOKUP(A20,'Modelo Datos'!D:AD,10,0)</f>
        <v>0</v>
      </c>
      <c r="J20">
        <f>+VLOOKUP(A20,'Modelo Datos'!D:AD,13,0)</f>
        <v>0</v>
      </c>
    </row>
    <row r="21" spans="1:10" x14ac:dyDescent="0.35">
      <c r="A21" t="s">
        <v>292</v>
      </c>
      <c r="B21">
        <v>3777.72</v>
      </c>
      <c r="C21">
        <v>528.88080000000002</v>
      </c>
      <c r="D21">
        <v>453.32639999999998</v>
      </c>
      <c r="E21">
        <v>75.554400000000001</v>
      </c>
      <c r="F21" s="39" t="str">
        <f>+VLOOKUP(A21,'Modelo Datos'!D:AD,27,0)</f>
        <v>48519083P</v>
      </c>
      <c r="G21" s="38">
        <f>+VLOOKUP(A21,'Modelo Datos'!D:F,3,0)</f>
        <v>46031</v>
      </c>
      <c r="H21" t="str">
        <f>+VLOOKUP(A21,'Modelo Datos'!D:AD,19,0)</f>
        <v>MAPFRE</v>
      </c>
      <c r="I21">
        <f>+VLOOKUP(A21,'Modelo Datos'!D:AD,10,0)</f>
        <v>0</v>
      </c>
      <c r="J21">
        <f>+VLOOKUP(A21,'Modelo Datos'!D:AD,13,0)</f>
        <v>0</v>
      </c>
    </row>
    <row r="22" spans="1:10" x14ac:dyDescent="0.35">
      <c r="A22" t="s">
        <v>295</v>
      </c>
      <c r="B22">
        <v>3414.08</v>
      </c>
      <c r="C22">
        <v>477.97119999999995</v>
      </c>
      <c r="D22">
        <v>409.68959999999998</v>
      </c>
      <c r="E22">
        <v>68.281599999999997</v>
      </c>
      <c r="F22" s="39" t="str">
        <f>+VLOOKUP(A22,'Modelo Datos'!D:AD,27,0)</f>
        <v>77756206Z</v>
      </c>
      <c r="G22" s="38">
        <f>+VLOOKUP(A22,'Modelo Datos'!D:F,3,0)</f>
        <v>46031</v>
      </c>
      <c r="H22" t="str">
        <f>+VLOOKUP(A22,'Modelo Datos'!D:AD,19,0)</f>
        <v>MAPFRE</v>
      </c>
      <c r="I22">
        <f>+VLOOKUP(A22,'Modelo Datos'!D:AD,10,0)</f>
        <v>0</v>
      </c>
      <c r="J22">
        <f>+VLOOKUP(A22,'Modelo Datos'!D:AD,13,0)</f>
        <v>0</v>
      </c>
    </row>
    <row r="23" spans="1:10" x14ac:dyDescent="0.35">
      <c r="A23" t="s">
        <v>298</v>
      </c>
      <c r="B23">
        <v>5997.04</v>
      </c>
      <c r="C23">
        <v>839.58559999999989</v>
      </c>
      <c r="D23">
        <v>719.64479999999992</v>
      </c>
      <c r="E23">
        <v>119.9408</v>
      </c>
      <c r="F23" s="39" t="str">
        <f>+VLOOKUP(A23,'Modelo Datos'!D:AD,27,0)</f>
        <v>23040032N</v>
      </c>
      <c r="G23" s="38">
        <f>+VLOOKUP(A23,'Modelo Datos'!D:F,3,0)</f>
        <v>46031</v>
      </c>
      <c r="H23" t="str">
        <f>+VLOOKUP(A23,'Modelo Datos'!D:AD,19,0)</f>
        <v>MAPFRE</v>
      </c>
      <c r="I23">
        <f>+VLOOKUP(A23,'Modelo Datos'!D:AD,10,0)</f>
        <v>0</v>
      </c>
      <c r="J23">
        <f>+VLOOKUP(A23,'Modelo Datos'!D:AD,13,0)</f>
        <v>0</v>
      </c>
    </row>
    <row r="24" spans="1:10" x14ac:dyDescent="0.35">
      <c r="A24" t="s">
        <v>301</v>
      </c>
      <c r="B24">
        <v>4703.05</v>
      </c>
      <c r="C24">
        <v>658.42700000000013</v>
      </c>
      <c r="D24">
        <v>564.3660000000001</v>
      </c>
      <c r="E24">
        <v>94.061000000000007</v>
      </c>
      <c r="F24" s="39" t="str">
        <f>+VLOOKUP(A24,'Modelo Datos'!D:AD,27,0)</f>
        <v>23208563E</v>
      </c>
      <c r="G24" s="38">
        <f>+VLOOKUP(A24,'Modelo Datos'!D:F,3,0)</f>
        <v>46031</v>
      </c>
      <c r="H24" t="str">
        <f>+VLOOKUP(A24,'Modelo Datos'!D:AD,19,0)</f>
        <v>MAPFRE</v>
      </c>
      <c r="I24">
        <f>+VLOOKUP(A24,'Modelo Datos'!D:AD,10,0)</f>
        <v>0</v>
      </c>
      <c r="J24">
        <f>+VLOOKUP(A24,'Modelo Datos'!D:AD,13,0)</f>
        <v>0</v>
      </c>
    </row>
    <row r="25" spans="1:10" x14ac:dyDescent="0.35">
      <c r="A25" t="s">
        <v>304</v>
      </c>
      <c r="B25">
        <v>1818.8</v>
      </c>
      <c r="C25">
        <v>345.57199999999995</v>
      </c>
      <c r="D25">
        <v>309.19599999999997</v>
      </c>
      <c r="E25">
        <v>36.375999999999998</v>
      </c>
      <c r="F25" s="39" t="str">
        <f>+VLOOKUP(A25,'Modelo Datos'!D:AD,27,0)</f>
        <v>74336012N</v>
      </c>
      <c r="G25" s="38">
        <f>+VLOOKUP(A25,'Modelo Datos'!D:F,3,0)</f>
        <v>46031</v>
      </c>
      <c r="H25" t="str">
        <f>+VLOOKUP(A25,'Modelo Datos'!D:AD,19,0)</f>
        <v>ALLIANZ</v>
      </c>
      <c r="I25">
        <f>+VLOOKUP(A25,'Modelo Datos'!D:AD,10,0)</f>
        <v>0</v>
      </c>
      <c r="J25">
        <f>+VLOOKUP(A25,'Modelo Datos'!D:AD,13,0)</f>
        <v>0</v>
      </c>
    </row>
    <row r="26" spans="1:10" x14ac:dyDescent="0.35">
      <c r="A26" t="s">
        <v>307</v>
      </c>
      <c r="B26">
        <v>2308.06</v>
      </c>
      <c r="C26">
        <v>311.5881</v>
      </c>
      <c r="D26">
        <v>242.34630000000001</v>
      </c>
      <c r="E26">
        <v>69.241799999999998</v>
      </c>
      <c r="F26" s="39" t="str">
        <f>+VLOOKUP(A26,'Modelo Datos'!D:AD,27,0)</f>
        <v>77518161L</v>
      </c>
      <c r="G26" s="38">
        <f>+VLOOKUP(A26,'Modelo Datos'!D:F,3,0)</f>
        <v>46034</v>
      </c>
      <c r="H26" t="str">
        <f>+VLOOKUP(A26,'Modelo Datos'!D:AD,19,0)</f>
        <v>MAPFRE</v>
      </c>
      <c r="I26">
        <f>+VLOOKUP(A26,'Modelo Datos'!D:AD,10,0)</f>
        <v>0</v>
      </c>
      <c r="J26">
        <f>+VLOOKUP(A26,'Modelo Datos'!D:AD,13,0)</f>
        <v>0</v>
      </c>
    </row>
    <row r="27" spans="1:10" x14ac:dyDescent="0.35">
      <c r="A27" t="s">
        <v>310</v>
      </c>
      <c r="B27">
        <v>12229.69</v>
      </c>
      <c r="C27">
        <v>1345.2659000000001</v>
      </c>
      <c r="D27">
        <v>978.37520000000006</v>
      </c>
      <c r="E27">
        <v>366.89069999999998</v>
      </c>
      <c r="F27" s="39" t="str">
        <f>+VLOOKUP(A27,'Modelo Datos'!D:AD,27,0)</f>
        <v>77515776A</v>
      </c>
      <c r="G27" s="38">
        <f>+VLOOKUP(A27,'Modelo Datos'!D:F,3,0)</f>
        <v>46034</v>
      </c>
      <c r="H27" t="str">
        <f>+VLOOKUP(A27,'Modelo Datos'!D:AD,19,0)</f>
        <v>MAPFRE</v>
      </c>
      <c r="I27">
        <f>+VLOOKUP(A27,'Modelo Datos'!D:AD,10,0)</f>
        <v>0</v>
      </c>
      <c r="J27">
        <f>+VLOOKUP(A27,'Modelo Datos'!D:AD,13,0)</f>
        <v>0</v>
      </c>
    </row>
    <row r="28" spans="1:10" x14ac:dyDescent="0.35">
      <c r="A28" t="s">
        <v>313</v>
      </c>
      <c r="B28">
        <v>6415.17</v>
      </c>
      <c r="C28">
        <v>1090.5789</v>
      </c>
      <c r="D28">
        <v>898.12380000000007</v>
      </c>
      <c r="E28">
        <v>192.45509999999999</v>
      </c>
      <c r="F28" s="39" t="str">
        <f>+VLOOKUP(A28,'Modelo Datos'!D:AD,27,0)</f>
        <v>29039030N</v>
      </c>
      <c r="G28" s="38">
        <f>+VLOOKUP(A28,'Modelo Datos'!D:F,3,0)</f>
        <v>46034</v>
      </c>
      <c r="H28" t="str">
        <f>+VLOOKUP(A28,'Modelo Datos'!D:AD,19,0)</f>
        <v>MAPFRE</v>
      </c>
      <c r="I28">
        <f>+VLOOKUP(A28,'Modelo Datos'!D:AD,10,0)</f>
        <v>0</v>
      </c>
      <c r="J28">
        <f>+VLOOKUP(A28,'Modelo Datos'!D:AD,13,0)</f>
        <v>0</v>
      </c>
    </row>
    <row r="29" spans="1:10" x14ac:dyDescent="0.35">
      <c r="A29" t="s">
        <v>316</v>
      </c>
      <c r="B29">
        <v>19061.400000000001</v>
      </c>
      <c r="C29">
        <v>3240.4380000000006</v>
      </c>
      <c r="D29">
        <v>2668.5960000000005</v>
      </c>
      <c r="E29">
        <v>571.84199999999998</v>
      </c>
      <c r="F29" s="39" t="str">
        <f>+VLOOKUP(A29,'Modelo Datos'!D:AD,27,0)</f>
        <v>77500918A</v>
      </c>
      <c r="G29" s="38">
        <f>+VLOOKUP(A29,'Modelo Datos'!D:F,3,0)</f>
        <v>46034</v>
      </c>
      <c r="H29" t="str">
        <f>+VLOOKUP(A29,'Modelo Datos'!D:AD,19,0)</f>
        <v>MAPFRE</v>
      </c>
      <c r="I29">
        <f>+VLOOKUP(A29,'Modelo Datos'!D:AD,10,0)</f>
        <v>0</v>
      </c>
      <c r="J29">
        <f>+VLOOKUP(A29,'Modelo Datos'!D:AD,13,0)</f>
        <v>0</v>
      </c>
    </row>
    <row r="30" spans="1:10" x14ac:dyDescent="0.35">
      <c r="A30" t="s">
        <v>319</v>
      </c>
      <c r="B30">
        <v>9782.77</v>
      </c>
      <c r="C30">
        <v>1056.53916</v>
      </c>
      <c r="D30">
        <v>763.05606</v>
      </c>
      <c r="E30">
        <v>293.48309999999998</v>
      </c>
      <c r="F30" s="39" t="str">
        <f>+VLOOKUP(A30,'Modelo Datos'!D:AD,27,0)</f>
        <v>74318973Q</v>
      </c>
      <c r="G30" s="38">
        <f>+VLOOKUP(A30,'Modelo Datos'!D:F,3,0)</f>
        <v>46034</v>
      </c>
      <c r="H30" t="str">
        <f>+VLOOKUP(A30,'Modelo Datos'!D:AD,19,0)</f>
        <v>MAPFRE</v>
      </c>
      <c r="I30">
        <f>+VLOOKUP(A30,'Modelo Datos'!D:AD,10,0)</f>
        <v>0</v>
      </c>
      <c r="J30">
        <f>+VLOOKUP(A30,'Modelo Datos'!D:AD,13,0)</f>
        <v>0</v>
      </c>
    </row>
    <row r="31" spans="1:10" x14ac:dyDescent="0.35">
      <c r="A31" t="s">
        <v>322</v>
      </c>
      <c r="B31">
        <v>22254.82</v>
      </c>
      <c r="C31">
        <v>2448.0302000000001</v>
      </c>
      <c r="D31">
        <v>1780.3856000000001</v>
      </c>
      <c r="E31">
        <v>667.64459999999997</v>
      </c>
      <c r="F31" s="39" t="str">
        <f>+VLOOKUP(A31,'Modelo Datos'!D:AD,27,0)</f>
        <v>48698311C</v>
      </c>
      <c r="G31" s="38">
        <f>+VLOOKUP(A31,'Modelo Datos'!D:F,3,0)</f>
        <v>46034</v>
      </c>
      <c r="H31" t="str">
        <f>+VLOOKUP(A31,'Modelo Datos'!D:AD,19,0)</f>
        <v>MAPFRE</v>
      </c>
      <c r="I31">
        <f>+VLOOKUP(A31,'Modelo Datos'!D:AD,10,0)</f>
        <v>0</v>
      </c>
      <c r="J31">
        <f>+VLOOKUP(A31,'Modelo Datos'!D:AD,13,0)</f>
        <v>0</v>
      </c>
    </row>
    <row r="32" spans="1:10" x14ac:dyDescent="0.35">
      <c r="A32" t="s">
        <v>325</v>
      </c>
      <c r="B32">
        <v>5408.64</v>
      </c>
      <c r="C32">
        <v>594.95040000000006</v>
      </c>
      <c r="D32">
        <v>432.69120000000004</v>
      </c>
      <c r="E32">
        <v>162.25919999999999</v>
      </c>
      <c r="F32" s="39" t="str">
        <f>+VLOOKUP(A32,'Modelo Datos'!D:AD,27,0)</f>
        <v>48617779B</v>
      </c>
      <c r="G32" s="38">
        <f>+VLOOKUP(A32,'Modelo Datos'!D:F,3,0)</f>
        <v>46034</v>
      </c>
      <c r="H32" t="str">
        <f>+VLOOKUP(A32,'Modelo Datos'!D:AD,19,0)</f>
        <v>MAPFRE</v>
      </c>
      <c r="I32">
        <f>+VLOOKUP(A32,'Modelo Datos'!D:AD,10,0)</f>
        <v>0</v>
      </c>
      <c r="J32">
        <f>+VLOOKUP(A32,'Modelo Datos'!D:AD,13,0)</f>
        <v>0</v>
      </c>
    </row>
    <row r="33" spans="1:10" x14ac:dyDescent="0.35">
      <c r="A33" t="s">
        <v>328</v>
      </c>
      <c r="B33">
        <v>4979.6099999999997</v>
      </c>
      <c r="C33">
        <v>547.75709999999992</v>
      </c>
      <c r="D33">
        <v>398.36879999999996</v>
      </c>
      <c r="E33">
        <v>149.38829999999999</v>
      </c>
      <c r="F33" s="39" t="str">
        <f>+VLOOKUP(A33,'Modelo Datos'!D:AD,27,0)</f>
        <v>48417739W</v>
      </c>
      <c r="G33" s="38">
        <f>+VLOOKUP(A33,'Modelo Datos'!D:F,3,0)</f>
        <v>46034</v>
      </c>
      <c r="H33" t="str">
        <f>+VLOOKUP(A33,'Modelo Datos'!D:AD,19,0)</f>
        <v>MAPFRE</v>
      </c>
      <c r="I33">
        <f>+VLOOKUP(A33,'Modelo Datos'!D:AD,10,0)</f>
        <v>0</v>
      </c>
      <c r="J33">
        <f>+VLOOKUP(A33,'Modelo Datos'!D:AD,13,0)</f>
        <v>0</v>
      </c>
    </row>
    <row r="34" spans="1:10" x14ac:dyDescent="0.35">
      <c r="A34" t="s">
        <v>331</v>
      </c>
      <c r="B34">
        <v>25.46</v>
      </c>
      <c r="C34">
        <v>4.5828000000000007</v>
      </c>
      <c r="D34">
        <v>3.8190000000000004</v>
      </c>
      <c r="E34">
        <v>0.76380000000000003</v>
      </c>
      <c r="F34" s="39" t="str">
        <f>+VLOOKUP(A34,'Modelo Datos'!D:AD,27,0)</f>
        <v>77522611F</v>
      </c>
      <c r="G34" s="38">
        <f>+VLOOKUP(A34,'Modelo Datos'!D:F,3,0)</f>
        <v>46034</v>
      </c>
      <c r="H34" t="str">
        <f>+VLOOKUP(A34,'Modelo Datos'!D:AD,19,0)</f>
        <v>MAPFRE</v>
      </c>
      <c r="I34">
        <f>+VLOOKUP(A34,'Modelo Datos'!D:AD,10,0)</f>
        <v>0</v>
      </c>
      <c r="J34">
        <f>+VLOOKUP(A34,'Modelo Datos'!D:AD,13,0)</f>
        <v>0</v>
      </c>
    </row>
    <row r="35" spans="1:10" x14ac:dyDescent="0.35">
      <c r="A35" t="s">
        <v>334</v>
      </c>
      <c r="B35">
        <v>11162.61</v>
      </c>
      <c r="C35">
        <v>1227.8871000000001</v>
      </c>
      <c r="D35">
        <v>893.00880000000006</v>
      </c>
      <c r="E35">
        <v>334.87830000000002</v>
      </c>
      <c r="F35" s="39" t="str">
        <f>+VLOOKUP(A35,'Modelo Datos'!D:AD,27,0)</f>
        <v>29038814A</v>
      </c>
      <c r="G35" s="38">
        <f>+VLOOKUP(A35,'Modelo Datos'!D:F,3,0)</f>
        <v>46035</v>
      </c>
      <c r="H35" t="str">
        <f>+VLOOKUP(A35,'Modelo Datos'!D:AD,19,0)</f>
        <v>MAPFRE</v>
      </c>
      <c r="I35">
        <f>+VLOOKUP(A35,'Modelo Datos'!D:AD,10,0)</f>
        <v>0</v>
      </c>
      <c r="J35">
        <f>+VLOOKUP(A35,'Modelo Datos'!D:AD,13,0)</f>
        <v>0</v>
      </c>
    </row>
    <row r="36" spans="1:10" x14ac:dyDescent="0.35">
      <c r="A36" t="s">
        <v>337</v>
      </c>
      <c r="B36">
        <v>12.39</v>
      </c>
      <c r="C36">
        <v>2.2302000000000004</v>
      </c>
      <c r="D36">
        <v>1.8585000000000003</v>
      </c>
      <c r="E36">
        <v>0.37170000000000003</v>
      </c>
      <c r="F36" s="39" t="str">
        <f>+VLOOKUP(A36,'Modelo Datos'!D:AD,27,0)</f>
        <v>77718911W</v>
      </c>
      <c r="G36" s="38">
        <f>+VLOOKUP(A36,'Modelo Datos'!D:F,3,0)</f>
        <v>46034</v>
      </c>
      <c r="H36" t="str">
        <f>+VLOOKUP(A36,'Modelo Datos'!D:AD,19,0)</f>
        <v>MAPFRE</v>
      </c>
      <c r="I36">
        <f>+VLOOKUP(A36,'Modelo Datos'!D:AD,10,0)</f>
        <v>0</v>
      </c>
      <c r="J36">
        <f>+VLOOKUP(A36,'Modelo Datos'!D:AD,13,0)</f>
        <v>0</v>
      </c>
    </row>
    <row r="37" spans="1:10" x14ac:dyDescent="0.35">
      <c r="A37" t="s">
        <v>340</v>
      </c>
      <c r="B37">
        <v>862.13</v>
      </c>
      <c r="C37">
        <v>94.834299999999999</v>
      </c>
      <c r="D37">
        <v>68.970399999999998</v>
      </c>
      <c r="E37">
        <v>25.863899999999997</v>
      </c>
      <c r="F37" s="39" t="str">
        <f>+VLOOKUP(A37,'Modelo Datos'!D:AD,27,0)</f>
        <v>77516493F</v>
      </c>
      <c r="G37" s="38">
        <f>+VLOOKUP(A37,'Modelo Datos'!D:F,3,0)</f>
        <v>46034</v>
      </c>
      <c r="H37" t="str">
        <f>+VLOOKUP(A37,'Modelo Datos'!D:AD,19,0)</f>
        <v>MAPFRE</v>
      </c>
      <c r="I37">
        <f>+VLOOKUP(A37,'Modelo Datos'!D:AD,10,0)</f>
        <v>0</v>
      </c>
      <c r="J37">
        <f>+VLOOKUP(A37,'Modelo Datos'!D:AD,13,0)</f>
        <v>0</v>
      </c>
    </row>
    <row r="38" spans="1:10" x14ac:dyDescent="0.35">
      <c r="A38" t="s">
        <v>343</v>
      </c>
      <c r="B38">
        <v>4229.78</v>
      </c>
      <c r="C38">
        <v>549.87139999999999</v>
      </c>
      <c r="D38">
        <v>422.97799999999995</v>
      </c>
      <c r="E38">
        <v>126.89339999999999</v>
      </c>
      <c r="F38" s="39" t="str">
        <f>+VLOOKUP(A38,'Modelo Datos'!D:AD,27,0)</f>
        <v>77500990Y</v>
      </c>
      <c r="G38" s="38">
        <f>+VLOOKUP(A38,'Modelo Datos'!D:F,3,0)</f>
        <v>46035</v>
      </c>
      <c r="H38" t="str">
        <f>+VLOOKUP(A38,'Modelo Datos'!D:AD,19,0)</f>
        <v>MAPFRE</v>
      </c>
      <c r="I38">
        <f>+VLOOKUP(A38,'Modelo Datos'!D:AD,10,0)</f>
        <v>0</v>
      </c>
      <c r="J38">
        <f>+VLOOKUP(A38,'Modelo Datos'!D:AD,13,0)</f>
        <v>0</v>
      </c>
    </row>
    <row r="39" spans="1:10" x14ac:dyDescent="0.35">
      <c r="A39" t="s">
        <v>346</v>
      </c>
      <c r="B39">
        <v>1898.87</v>
      </c>
      <c r="C39">
        <v>341.79659999999996</v>
      </c>
      <c r="D39">
        <v>284.83049999999997</v>
      </c>
      <c r="E39">
        <v>56.966099999999997</v>
      </c>
      <c r="F39" s="39" t="str">
        <f>+VLOOKUP(A39,'Modelo Datos'!D:AD,27,0)</f>
        <v>48517155N</v>
      </c>
      <c r="G39" s="38">
        <f>+VLOOKUP(A39,'Modelo Datos'!D:F,3,0)</f>
        <v>46035</v>
      </c>
      <c r="H39" t="str">
        <f>+VLOOKUP(A39,'Modelo Datos'!D:AD,19,0)</f>
        <v>MAPFRE</v>
      </c>
      <c r="I39">
        <f>+VLOOKUP(A39,'Modelo Datos'!D:AD,10,0)</f>
        <v>0</v>
      </c>
      <c r="J39">
        <f>+VLOOKUP(A39,'Modelo Datos'!D:AD,13,0)</f>
        <v>0</v>
      </c>
    </row>
    <row r="40" spans="1:10" x14ac:dyDescent="0.35">
      <c r="A40" t="s">
        <v>349</v>
      </c>
      <c r="B40">
        <v>9673.5499999999993</v>
      </c>
      <c r="C40">
        <v>870.61950000000002</v>
      </c>
      <c r="D40">
        <v>580.41300000000001</v>
      </c>
      <c r="E40">
        <v>290.20649999999995</v>
      </c>
      <c r="F40" s="39" t="str">
        <f>+VLOOKUP(A40,'Modelo Datos'!D:AD,27,0)</f>
        <v>B44545507</v>
      </c>
      <c r="G40" s="38">
        <f>+VLOOKUP(A40,'Modelo Datos'!D:F,3,0)</f>
        <v>46035</v>
      </c>
      <c r="H40" t="str">
        <f>+VLOOKUP(A40,'Modelo Datos'!D:AD,19,0)</f>
        <v>MAPFRE</v>
      </c>
      <c r="I40">
        <f>+VLOOKUP(A40,'Modelo Datos'!D:AD,10,0)</f>
        <v>0</v>
      </c>
      <c r="J40">
        <f>+VLOOKUP(A40,'Modelo Datos'!D:AD,13,0)</f>
        <v>0</v>
      </c>
    </row>
    <row r="41" spans="1:10" x14ac:dyDescent="0.35">
      <c r="A41" t="s">
        <v>352</v>
      </c>
      <c r="B41">
        <v>2775.28</v>
      </c>
      <c r="C41">
        <v>333.03360000000004</v>
      </c>
      <c r="D41">
        <v>277.52800000000002</v>
      </c>
      <c r="E41">
        <v>55.505600000000008</v>
      </c>
      <c r="F41" s="39" t="str">
        <f>+VLOOKUP(A41,'Modelo Datos'!D:AD,27,0)</f>
        <v>23024907K</v>
      </c>
      <c r="G41" s="38">
        <f>+VLOOKUP(A41,'Modelo Datos'!D:F,3,0)</f>
        <v>46035</v>
      </c>
      <c r="H41" t="str">
        <f>+VLOOKUP(A41,'Modelo Datos'!D:AD,19,0)</f>
        <v>MAPFRE</v>
      </c>
      <c r="I41">
        <f>+VLOOKUP(A41,'Modelo Datos'!D:AD,10,0)</f>
        <v>0</v>
      </c>
      <c r="J41">
        <f>+VLOOKUP(A41,'Modelo Datos'!D:AD,13,0)</f>
        <v>0</v>
      </c>
    </row>
    <row r="42" spans="1:10" x14ac:dyDescent="0.35">
      <c r="A42" t="s">
        <v>355</v>
      </c>
      <c r="B42">
        <v>565.35</v>
      </c>
      <c r="C42">
        <v>101.76299999999999</v>
      </c>
      <c r="D42">
        <v>84.802499999999995</v>
      </c>
      <c r="E42">
        <v>16.9605</v>
      </c>
      <c r="F42" s="39" t="str">
        <f>+VLOOKUP(A42,'Modelo Datos'!D:AD,27,0)</f>
        <v>48446860M</v>
      </c>
      <c r="G42" s="38">
        <f>+VLOOKUP(A42,'Modelo Datos'!D:F,3,0)</f>
        <v>46035</v>
      </c>
      <c r="H42" t="str">
        <f>+VLOOKUP(A42,'Modelo Datos'!D:AD,19,0)</f>
        <v>MAPFRE</v>
      </c>
      <c r="I42">
        <f>+VLOOKUP(A42,'Modelo Datos'!D:AD,10,0)</f>
        <v>0</v>
      </c>
      <c r="J42">
        <f>+VLOOKUP(A42,'Modelo Datos'!D:AD,13,0)</f>
        <v>0</v>
      </c>
    </row>
    <row r="43" spans="1:10" x14ac:dyDescent="0.35">
      <c r="A43" t="s">
        <v>358</v>
      </c>
      <c r="B43">
        <v>27443.14</v>
      </c>
      <c r="C43">
        <v>3018.7453999999998</v>
      </c>
      <c r="D43">
        <v>2469.8825999999999</v>
      </c>
      <c r="E43">
        <v>548.86279999999999</v>
      </c>
      <c r="F43" s="39" t="str">
        <f>+VLOOKUP(A43,'Modelo Datos'!D:AD,27,0)</f>
        <v>48448866X</v>
      </c>
      <c r="G43" s="38">
        <f>+VLOOKUP(A43,'Modelo Datos'!D:F,3,0)</f>
        <v>46035</v>
      </c>
      <c r="H43" t="str">
        <f>+VLOOKUP(A43,'Modelo Datos'!D:AD,19,0)</f>
        <v>ALLIANZ</v>
      </c>
      <c r="I43">
        <f>+VLOOKUP(A43,'Modelo Datos'!D:AD,10,0)</f>
        <v>0</v>
      </c>
      <c r="J43">
        <f>+VLOOKUP(A43,'Modelo Datos'!D:AD,13,0)</f>
        <v>0</v>
      </c>
    </row>
    <row r="44" spans="1:10" x14ac:dyDescent="0.35">
      <c r="A44" t="s">
        <v>361</v>
      </c>
      <c r="B44">
        <v>29357.73</v>
      </c>
      <c r="C44">
        <v>3229.3503000000001</v>
      </c>
      <c r="D44">
        <v>2348.6183999999998</v>
      </c>
      <c r="E44">
        <v>880.7319</v>
      </c>
      <c r="F44" s="39" t="str">
        <f>+VLOOKUP(A44,'Modelo Datos'!D:AD,27,0)</f>
        <v>B73904153</v>
      </c>
      <c r="G44" s="38">
        <f>+VLOOKUP(A44,'Modelo Datos'!D:F,3,0)</f>
        <v>46036</v>
      </c>
      <c r="H44" t="str">
        <f>+VLOOKUP(A44,'Modelo Datos'!D:AD,19,0)</f>
        <v>MAPFRE</v>
      </c>
      <c r="I44">
        <f>+VLOOKUP(A44,'Modelo Datos'!D:AD,10,0)</f>
        <v>0</v>
      </c>
      <c r="J44">
        <f>+VLOOKUP(A44,'Modelo Datos'!D:AD,13,0)</f>
        <v>0</v>
      </c>
    </row>
    <row r="45" spans="1:10" x14ac:dyDescent="0.35">
      <c r="A45" t="s">
        <v>364</v>
      </c>
      <c r="B45">
        <v>38890.86</v>
      </c>
      <c r="C45">
        <v>4666.9031999999997</v>
      </c>
      <c r="D45">
        <v>3500.1774</v>
      </c>
      <c r="E45">
        <v>1166.7257999999999</v>
      </c>
      <c r="F45" s="39" t="str">
        <f>+VLOOKUP(A45,'Modelo Datos'!D:AD,27,0)</f>
        <v>B73706046</v>
      </c>
      <c r="G45" s="38">
        <f>+VLOOKUP(A45,'Modelo Datos'!D:F,3,0)</f>
        <v>46036</v>
      </c>
      <c r="H45" t="str">
        <f>+VLOOKUP(A45,'Modelo Datos'!D:AD,19,0)</f>
        <v>MAPFRE</v>
      </c>
      <c r="I45">
        <f>+VLOOKUP(A45,'Modelo Datos'!D:AD,10,0)</f>
        <v>0</v>
      </c>
      <c r="J45">
        <f>+VLOOKUP(A45,'Modelo Datos'!D:AD,13,0)</f>
        <v>0</v>
      </c>
    </row>
    <row r="46" spans="1:10" x14ac:dyDescent="0.35">
      <c r="A46" t="s">
        <v>117</v>
      </c>
      <c r="B46">
        <v>250236.59</v>
      </c>
      <c r="C46">
        <v>30028.390800000001</v>
      </c>
      <c r="D46">
        <v>25023.659</v>
      </c>
      <c r="E46">
        <v>5004.7318000000005</v>
      </c>
      <c r="F46" s="39" t="str">
        <f>+VLOOKUP(A46,'Modelo Datos'!D:AD,27,0)</f>
        <v>E75785683</v>
      </c>
      <c r="G46" s="38">
        <f>+VLOOKUP(A46,'Modelo Datos'!D:F,3,0)</f>
        <v>46072</v>
      </c>
      <c r="H46" t="str">
        <f>+VLOOKUP(A46,'Modelo Datos'!D:AD,19,0)</f>
        <v>MAPFRE</v>
      </c>
      <c r="I46">
        <f>+VLOOKUP(A46,'Modelo Datos'!D:AD,10,0)</f>
        <v>0</v>
      </c>
      <c r="J46">
        <f>+VLOOKUP(A46,'Modelo Datos'!D:AD,13,0)</f>
        <v>0</v>
      </c>
    </row>
    <row r="47" spans="1:10" x14ac:dyDescent="0.35">
      <c r="A47" t="s">
        <v>369</v>
      </c>
      <c r="B47">
        <v>31712.959999999999</v>
      </c>
      <c r="C47">
        <v>2854.1664000000001</v>
      </c>
      <c r="D47">
        <v>1902.7776000000001</v>
      </c>
      <c r="E47">
        <v>951.38879999999995</v>
      </c>
      <c r="F47" s="39" t="str">
        <f>+VLOOKUP(A47,'Modelo Datos'!D:AD,27,0)</f>
        <v>B30553705</v>
      </c>
      <c r="G47" s="38">
        <f>+VLOOKUP(A47,'Modelo Datos'!D:F,3,0)</f>
        <v>46036</v>
      </c>
      <c r="H47" t="str">
        <f>+VLOOKUP(A47,'Modelo Datos'!D:AD,19,0)</f>
        <v>MAPFRE</v>
      </c>
      <c r="I47">
        <f>+VLOOKUP(A47,'Modelo Datos'!D:AD,10,0)</f>
        <v>0</v>
      </c>
      <c r="J47">
        <f>+VLOOKUP(A47,'Modelo Datos'!D:AD,13,0)</f>
        <v>0</v>
      </c>
    </row>
    <row r="48" spans="1:10" x14ac:dyDescent="0.35">
      <c r="A48" t="s">
        <v>657</v>
      </c>
      <c r="B48">
        <v>15369.92</v>
      </c>
      <c r="C48">
        <v>1690.6912</v>
      </c>
      <c r="D48">
        <v>1229.5935999999999</v>
      </c>
      <c r="E48">
        <v>461.0976</v>
      </c>
      <c r="F48" s="39" t="str">
        <f>+VLOOKUP(A48,'Modelo Datos'!D:AD,27,0)</f>
        <v>48630374W</v>
      </c>
      <c r="G48" s="38">
        <f>+VLOOKUP(A48,'Modelo Datos'!D:F,3,0)</f>
        <v>46036</v>
      </c>
      <c r="H48" t="str">
        <f>+VLOOKUP(A48,'Modelo Datos'!D:AD,19,0)</f>
        <v>MAPFRE</v>
      </c>
      <c r="I48">
        <f>+VLOOKUP(A48,'Modelo Datos'!D:AD,10,0)</f>
        <v>0</v>
      </c>
      <c r="J48">
        <f>+VLOOKUP(A48,'Modelo Datos'!D:AD,13,0)</f>
        <v>0</v>
      </c>
    </row>
    <row r="49" spans="1:10" x14ac:dyDescent="0.35">
      <c r="A49" t="s">
        <v>372</v>
      </c>
      <c r="B49">
        <v>5203.95</v>
      </c>
      <c r="C49">
        <v>728.55299999999988</v>
      </c>
      <c r="D49">
        <v>624.47399999999993</v>
      </c>
      <c r="E49">
        <v>104.07899999999999</v>
      </c>
      <c r="F49" s="39" t="str">
        <f>+VLOOKUP(A49,'Modelo Datos'!D:AD,27,0)</f>
        <v>77510630D</v>
      </c>
      <c r="G49" s="38">
        <f>+VLOOKUP(A49,'Modelo Datos'!D:F,3,0)</f>
        <v>46036</v>
      </c>
      <c r="H49" t="str">
        <f>+VLOOKUP(A49,'Modelo Datos'!D:AD,19,0)</f>
        <v>ALLIANZ</v>
      </c>
      <c r="I49">
        <f>+VLOOKUP(A49,'Modelo Datos'!D:AD,10,0)</f>
        <v>0</v>
      </c>
      <c r="J49">
        <f>+VLOOKUP(A49,'Modelo Datos'!D:AD,13,0)</f>
        <v>0</v>
      </c>
    </row>
    <row r="50" spans="1:10" x14ac:dyDescent="0.35">
      <c r="A50" t="s">
        <v>375</v>
      </c>
      <c r="B50">
        <v>12343.86</v>
      </c>
      <c r="C50">
        <v>1357.8246000000001</v>
      </c>
      <c r="D50">
        <v>987.50880000000006</v>
      </c>
      <c r="E50">
        <v>370.31580000000002</v>
      </c>
      <c r="F50" s="39" t="str">
        <f>+VLOOKUP(A50,'Modelo Datos'!D:AD,27,0)</f>
        <v>77570927T</v>
      </c>
      <c r="G50" s="38">
        <f>+VLOOKUP(A50,'Modelo Datos'!D:F,3,0)</f>
        <v>46036</v>
      </c>
      <c r="H50" t="str">
        <f>+VLOOKUP(A50,'Modelo Datos'!D:AD,19,0)</f>
        <v>MAPFRE</v>
      </c>
      <c r="I50">
        <f>+VLOOKUP(A50,'Modelo Datos'!D:AD,10,0)</f>
        <v>0</v>
      </c>
      <c r="J50">
        <f>+VLOOKUP(A50,'Modelo Datos'!D:AD,13,0)</f>
        <v>0</v>
      </c>
    </row>
    <row r="51" spans="1:10" x14ac:dyDescent="0.35">
      <c r="A51" t="s">
        <v>378</v>
      </c>
      <c r="B51">
        <v>13970.23</v>
      </c>
      <c r="C51">
        <v>1816.1298999999999</v>
      </c>
      <c r="D51">
        <v>1397.0229999999999</v>
      </c>
      <c r="E51">
        <v>419.1069</v>
      </c>
      <c r="F51" s="39" t="str">
        <f>+VLOOKUP(A51,'Modelo Datos'!D:AD,27,0)</f>
        <v>48524823K</v>
      </c>
      <c r="G51" s="38">
        <f>+VLOOKUP(A51,'Modelo Datos'!D:F,3,0)</f>
        <v>46036</v>
      </c>
      <c r="H51" t="str">
        <f>+VLOOKUP(A51,'Modelo Datos'!D:AD,19,0)</f>
        <v>MAPFRE</v>
      </c>
      <c r="I51">
        <f>+VLOOKUP(A51,'Modelo Datos'!D:AD,10,0)</f>
        <v>0</v>
      </c>
      <c r="J51">
        <f>+VLOOKUP(A51,'Modelo Datos'!D:AD,13,0)</f>
        <v>0</v>
      </c>
    </row>
    <row r="52" spans="1:10" x14ac:dyDescent="0.35">
      <c r="A52" t="s">
        <v>381</v>
      </c>
      <c r="B52">
        <v>2047.58</v>
      </c>
      <c r="C52">
        <v>225.2338</v>
      </c>
      <c r="D52">
        <v>163.8064</v>
      </c>
      <c r="E52">
        <v>61.427399999999999</v>
      </c>
      <c r="F52" s="39" t="str">
        <f>+VLOOKUP(A52,'Modelo Datos'!D:AD,27,0)</f>
        <v>77515769L</v>
      </c>
      <c r="G52" s="38">
        <f>+VLOOKUP(A52,'Modelo Datos'!D:F,3,0)</f>
        <v>46037</v>
      </c>
      <c r="H52" t="str">
        <f>+VLOOKUP(A52,'Modelo Datos'!D:AD,19,0)</f>
        <v>MAPFRE</v>
      </c>
      <c r="I52">
        <f>+VLOOKUP(A52,'Modelo Datos'!D:AD,10,0)</f>
        <v>0</v>
      </c>
      <c r="J52">
        <f>+VLOOKUP(A52,'Modelo Datos'!D:AD,13,0)</f>
        <v>0</v>
      </c>
    </row>
    <row r="53" spans="1:10" x14ac:dyDescent="0.35">
      <c r="A53" t="s">
        <v>141</v>
      </c>
      <c r="B53">
        <v>4951.95</v>
      </c>
      <c r="C53">
        <v>532.67389999999989</v>
      </c>
      <c r="D53">
        <v>396.15599999999995</v>
      </c>
      <c r="E53">
        <v>136.5179</v>
      </c>
      <c r="F53" s="39" t="str">
        <f>+VLOOKUP(A53,'Modelo Datos'!D:AD,27,0)</f>
        <v>22414243F</v>
      </c>
      <c r="G53" s="38">
        <f>+VLOOKUP(A53,'Modelo Datos'!D:F,3,0)</f>
        <v>46064</v>
      </c>
      <c r="H53" t="str">
        <f>+VLOOKUP(A53,'Modelo Datos'!D:AD,19,0)</f>
        <v>MAPFRE</v>
      </c>
      <c r="I53">
        <f>+VLOOKUP(A53,'Modelo Datos'!D:AD,10,0)</f>
        <v>0</v>
      </c>
      <c r="J53">
        <f>+VLOOKUP(A53,'Modelo Datos'!D:AD,13,0)</f>
        <v>0</v>
      </c>
    </row>
    <row r="54" spans="1:10" x14ac:dyDescent="0.35">
      <c r="A54" t="s">
        <v>144</v>
      </c>
      <c r="B54">
        <v>143.44</v>
      </c>
      <c r="C54">
        <v>24.384799999999998</v>
      </c>
      <c r="D54">
        <v>21.515999999999998</v>
      </c>
      <c r="E54">
        <v>2.8687999999999998</v>
      </c>
      <c r="F54" s="39" t="str">
        <f>+VLOOKUP(A54,'Modelo Datos'!D:AD,27,0)</f>
        <v>34807228V</v>
      </c>
      <c r="G54" s="38">
        <f>+VLOOKUP(A54,'Modelo Datos'!D:F,3,0)</f>
        <v>46064</v>
      </c>
      <c r="H54" t="str">
        <f>+VLOOKUP(A54,'Modelo Datos'!D:AD,19,0)</f>
        <v>MAPFRE</v>
      </c>
      <c r="I54">
        <f>+VLOOKUP(A54,'Modelo Datos'!D:AD,10,0)</f>
        <v>0</v>
      </c>
      <c r="J54">
        <f>+VLOOKUP(A54,'Modelo Datos'!D:AD,13,0)</f>
        <v>0</v>
      </c>
    </row>
    <row r="55" spans="1:10" x14ac:dyDescent="0.35">
      <c r="A55" t="s">
        <v>384</v>
      </c>
      <c r="B55">
        <v>2039.7</v>
      </c>
      <c r="C55">
        <v>224.36700000000002</v>
      </c>
      <c r="D55">
        <v>163.17600000000002</v>
      </c>
      <c r="E55">
        <v>61.191000000000003</v>
      </c>
      <c r="F55" s="39" t="str">
        <f>+VLOOKUP(A55,'Modelo Datos'!D:AD,27,0)</f>
        <v>48448271J</v>
      </c>
      <c r="G55" s="38">
        <f>+VLOOKUP(A55,'Modelo Datos'!D:F,3,0)</f>
        <v>46037</v>
      </c>
      <c r="H55" t="str">
        <f>+VLOOKUP(A55,'Modelo Datos'!D:AD,19,0)</f>
        <v>MAPFRE</v>
      </c>
      <c r="I55">
        <f>+VLOOKUP(A55,'Modelo Datos'!D:AD,10,0)</f>
        <v>0</v>
      </c>
      <c r="J55">
        <f>+VLOOKUP(A55,'Modelo Datos'!D:AD,13,0)</f>
        <v>0</v>
      </c>
    </row>
    <row r="56" spans="1:10" x14ac:dyDescent="0.35">
      <c r="A56" t="s">
        <v>387</v>
      </c>
      <c r="B56">
        <v>40993.699999999997</v>
      </c>
      <c r="C56">
        <v>4509.3069999999998</v>
      </c>
      <c r="D56">
        <v>3279.4959999999996</v>
      </c>
      <c r="E56">
        <v>1229.8109999999999</v>
      </c>
      <c r="F56" s="39" t="str">
        <f>+VLOOKUP(A56,'Modelo Datos'!D:AD,27,0)</f>
        <v>48846811D</v>
      </c>
      <c r="G56" s="38">
        <f>+VLOOKUP(A56,'Modelo Datos'!D:F,3,0)</f>
        <v>46037</v>
      </c>
      <c r="H56" t="str">
        <f>+VLOOKUP(A56,'Modelo Datos'!D:AD,19,0)</f>
        <v>MAPFRE</v>
      </c>
      <c r="I56">
        <f>+VLOOKUP(A56,'Modelo Datos'!D:AD,10,0)</f>
        <v>0</v>
      </c>
      <c r="J56">
        <f>+VLOOKUP(A56,'Modelo Datos'!D:AD,13,0)</f>
        <v>0</v>
      </c>
    </row>
    <row r="57" spans="1:10" x14ac:dyDescent="0.35">
      <c r="A57" t="s">
        <v>390</v>
      </c>
      <c r="B57">
        <v>8734.5</v>
      </c>
      <c r="C57">
        <v>873.45</v>
      </c>
      <c r="D57">
        <v>698.76</v>
      </c>
      <c r="E57">
        <v>174.69</v>
      </c>
      <c r="F57" s="39" t="str">
        <f>+VLOOKUP(A57,'Modelo Datos'!D:AD,27,0)</f>
        <v>77715764Y</v>
      </c>
      <c r="G57" s="38">
        <f>+VLOOKUP(A57,'Modelo Datos'!D:F,3,0)</f>
        <v>46037</v>
      </c>
      <c r="H57" t="str">
        <f>+VLOOKUP(A57,'Modelo Datos'!D:AD,19,0)</f>
        <v>ALLIANZ</v>
      </c>
      <c r="I57">
        <f>+VLOOKUP(A57,'Modelo Datos'!D:AD,10,0)</f>
        <v>0</v>
      </c>
      <c r="J57">
        <f>+VLOOKUP(A57,'Modelo Datos'!D:AD,13,0)</f>
        <v>0</v>
      </c>
    </row>
    <row r="58" spans="1:10" x14ac:dyDescent="0.35">
      <c r="A58" t="s">
        <v>393</v>
      </c>
      <c r="B58">
        <v>1038.47</v>
      </c>
      <c r="C58">
        <v>62.308199999999999</v>
      </c>
      <c r="D58">
        <v>41.538800000000002</v>
      </c>
      <c r="E58">
        <v>20.769400000000001</v>
      </c>
      <c r="F58" s="39" t="str">
        <f>+VLOOKUP(A58,'Modelo Datos'!D:AD,27,0)</f>
        <v>B14771331</v>
      </c>
      <c r="G58" s="38">
        <f>+VLOOKUP(A58,'Modelo Datos'!D:F,3,0)</f>
        <v>46037</v>
      </c>
      <c r="H58" t="str">
        <f>+VLOOKUP(A58,'Modelo Datos'!D:AD,19,0)</f>
        <v>OCCIDENT</v>
      </c>
      <c r="I58">
        <f>+VLOOKUP(A58,'Modelo Datos'!D:AD,10,0)</f>
        <v>0</v>
      </c>
      <c r="J58">
        <f>+VLOOKUP(A58,'Modelo Datos'!D:AD,13,0)</f>
        <v>0</v>
      </c>
    </row>
    <row r="59" spans="1:10" x14ac:dyDescent="0.35">
      <c r="A59" t="s">
        <v>394</v>
      </c>
      <c r="B59">
        <v>1497.05</v>
      </c>
      <c r="C59">
        <v>164.6755</v>
      </c>
      <c r="D59">
        <v>119.764</v>
      </c>
      <c r="E59">
        <v>44.911499999999997</v>
      </c>
      <c r="F59" s="39" t="str">
        <f>+VLOOKUP(A59,'Modelo Datos'!D:AD,27,0)</f>
        <v>74335086Y</v>
      </c>
      <c r="G59" s="38">
        <f>+VLOOKUP(A59,'Modelo Datos'!D:F,3,0)</f>
        <v>46037</v>
      </c>
      <c r="H59" t="str">
        <f>+VLOOKUP(A59,'Modelo Datos'!D:AD,19,0)</f>
        <v>MAPFRE</v>
      </c>
      <c r="I59">
        <f>+VLOOKUP(A59,'Modelo Datos'!D:AD,10,0)</f>
        <v>0</v>
      </c>
      <c r="J59">
        <f>+VLOOKUP(A59,'Modelo Datos'!D:AD,13,0)</f>
        <v>0</v>
      </c>
    </row>
    <row r="60" spans="1:10" x14ac:dyDescent="0.35">
      <c r="A60" t="s">
        <v>397</v>
      </c>
      <c r="B60">
        <v>1554.14</v>
      </c>
      <c r="C60">
        <v>170.9554</v>
      </c>
      <c r="D60">
        <v>124.33120000000001</v>
      </c>
      <c r="E60">
        <v>46.624200000000002</v>
      </c>
      <c r="F60" s="39" t="str">
        <f>+VLOOKUP(A60,'Modelo Datos'!D:AD,27,0)</f>
        <v>22463786P</v>
      </c>
      <c r="G60" s="38">
        <f>+VLOOKUP(A60,'Modelo Datos'!D:F,3,0)</f>
        <v>46037</v>
      </c>
      <c r="H60" t="str">
        <f>+VLOOKUP(A60,'Modelo Datos'!D:AD,19,0)</f>
        <v>MAPFRE</v>
      </c>
      <c r="I60">
        <f>+VLOOKUP(A60,'Modelo Datos'!D:AD,10,0)</f>
        <v>0</v>
      </c>
      <c r="J60">
        <f>+VLOOKUP(A60,'Modelo Datos'!D:AD,13,0)</f>
        <v>0</v>
      </c>
    </row>
    <row r="61" spans="1:10" x14ac:dyDescent="0.35">
      <c r="A61" t="s">
        <v>400</v>
      </c>
      <c r="B61">
        <v>3422.54</v>
      </c>
      <c r="C61">
        <v>383.32447999999999</v>
      </c>
      <c r="D61">
        <v>280.64828</v>
      </c>
      <c r="E61">
        <v>102.67619999999999</v>
      </c>
      <c r="F61" s="39" t="str">
        <f>+VLOOKUP(A61,'Modelo Datos'!D:AD,27,0)</f>
        <v>34812596A</v>
      </c>
      <c r="G61" s="38">
        <f>+VLOOKUP(A61,'Modelo Datos'!D:F,3,0)</f>
        <v>46037</v>
      </c>
      <c r="H61" t="str">
        <f>+VLOOKUP(A61,'Modelo Datos'!D:AD,19,0)</f>
        <v>MAPFRE</v>
      </c>
      <c r="I61">
        <f>+VLOOKUP(A61,'Modelo Datos'!D:AD,10,0)</f>
        <v>0</v>
      </c>
      <c r="J61">
        <f>+VLOOKUP(A61,'Modelo Datos'!D:AD,13,0)</f>
        <v>0</v>
      </c>
    </row>
    <row r="62" spans="1:10" x14ac:dyDescent="0.35">
      <c r="A62" t="s">
        <v>403</v>
      </c>
      <c r="B62">
        <v>4646.67</v>
      </c>
      <c r="C62">
        <v>464.66700000000003</v>
      </c>
      <c r="D62">
        <v>371.73360000000002</v>
      </c>
      <c r="E62">
        <v>92.933400000000006</v>
      </c>
      <c r="F62" s="39" t="str">
        <f>+VLOOKUP(A62,'Modelo Datos'!D:AD,27,0)</f>
        <v>74317261Y</v>
      </c>
      <c r="G62" s="38">
        <f>+VLOOKUP(A62,'Modelo Datos'!D:F,3,0)</f>
        <v>46037</v>
      </c>
      <c r="H62" t="str">
        <f>+VLOOKUP(A62,'Modelo Datos'!D:AD,19,0)</f>
        <v>MAPFRE</v>
      </c>
      <c r="I62">
        <f>+VLOOKUP(A62,'Modelo Datos'!D:AD,10,0)</f>
        <v>0</v>
      </c>
      <c r="J62">
        <f>+VLOOKUP(A62,'Modelo Datos'!D:AD,13,0)</f>
        <v>0</v>
      </c>
    </row>
    <row r="63" spans="1:10" x14ac:dyDescent="0.35">
      <c r="A63" t="s">
        <v>406</v>
      </c>
      <c r="B63">
        <v>16700.03</v>
      </c>
      <c r="C63">
        <v>2004.0036</v>
      </c>
      <c r="D63">
        <v>1670.0029999999999</v>
      </c>
      <c r="E63">
        <v>334.00059999999996</v>
      </c>
      <c r="F63" s="39" t="str">
        <f>+VLOOKUP(A63,'Modelo Datos'!D:AD,27,0)</f>
        <v>22476832J</v>
      </c>
      <c r="G63" s="38">
        <f>+VLOOKUP(A63,'Modelo Datos'!D:F,3,0)</f>
        <v>46037</v>
      </c>
      <c r="H63" t="str">
        <f>+VLOOKUP(A63,'Modelo Datos'!D:AD,19,0)</f>
        <v>ALLIANZ</v>
      </c>
      <c r="I63">
        <f>+VLOOKUP(A63,'Modelo Datos'!D:AD,10,0)</f>
        <v>0</v>
      </c>
      <c r="J63">
        <f>+VLOOKUP(A63,'Modelo Datos'!D:AD,13,0)</f>
        <v>0</v>
      </c>
    </row>
    <row r="64" spans="1:10" x14ac:dyDescent="0.35">
      <c r="A64" t="s">
        <v>409</v>
      </c>
      <c r="B64">
        <v>1601.39</v>
      </c>
      <c r="C64">
        <v>160.13900000000001</v>
      </c>
      <c r="D64">
        <v>128.1112</v>
      </c>
      <c r="E64">
        <v>32.027799999999999</v>
      </c>
      <c r="F64" s="39" t="str">
        <f>+VLOOKUP(A64,'Modelo Datos'!D:AD,27,0)</f>
        <v>77565448H</v>
      </c>
      <c r="G64" s="38">
        <f>+VLOOKUP(A64,'Modelo Datos'!D:F,3,0)</f>
        <v>46038</v>
      </c>
      <c r="H64" t="str">
        <f>+VLOOKUP(A64,'Modelo Datos'!D:AD,19,0)</f>
        <v>ALLIANZ</v>
      </c>
      <c r="I64">
        <f>+VLOOKUP(A64,'Modelo Datos'!D:AD,10,0)</f>
        <v>0</v>
      </c>
      <c r="J64">
        <f>+VLOOKUP(A64,'Modelo Datos'!D:AD,13,0)</f>
        <v>0</v>
      </c>
    </row>
    <row r="65" spans="1:10" x14ac:dyDescent="0.35">
      <c r="A65" t="s">
        <v>412</v>
      </c>
      <c r="B65">
        <v>2602.62</v>
      </c>
      <c r="C65">
        <v>286.28819999999996</v>
      </c>
      <c r="D65">
        <v>208.20959999999999</v>
      </c>
      <c r="E65">
        <v>78.078599999999994</v>
      </c>
      <c r="F65" s="39" t="str">
        <f>+VLOOKUP(A65,'Modelo Datos'!D:AD,27,0)</f>
        <v>29040382F</v>
      </c>
      <c r="G65" s="38">
        <f>+VLOOKUP(A65,'Modelo Datos'!D:F,3,0)</f>
        <v>46038</v>
      </c>
      <c r="H65" t="str">
        <f>+VLOOKUP(A65,'Modelo Datos'!D:AD,19,0)</f>
        <v>MAPFRE</v>
      </c>
      <c r="I65">
        <f>+VLOOKUP(A65,'Modelo Datos'!D:AD,10,0)</f>
        <v>0</v>
      </c>
      <c r="J65">
        <f>+VLOOKUP(A65,'Modelo Datos'!D:AD,13,0)</f>
        <v>0</v>
      </c>
    </row>
    <row r="66" spans="1:10" x14ac:dyDescent="0.35">
      <c r="A66" t="s">
        <v>415</v>
      </c>
      <c r="B66">
        <v>4071.75</v>
      </c>
      <c r="C66">
        <v>447.89249999999998</v>
      </c>
      <c r="D66">
        <v>325.74</v>
      </c>
      <c r="E66">
        <v>122.15249999999999</v>
      </c>
      <c r="F66" s="39" t="str">
        <f>+VLOOKUP(A66,'Modelo Datos'!D:AD,27,0)</f>
        <v>77721439T</v>
      </c>
      <c r="G66" s="38">
        <f>+VLOOKUP(A66,'Modelo Datos'!D:F,3,0)</f>
        <v>46038</v>
      </c>
      <c r="H66" t="str">
        <f>+VLOOKUP(A66,'Modelo Datos'!D:AD,19,0)</f>
        <v>MAPFRE</v>
      </c>
      <c r="I66">
        <f>+VLOOKUP(A66,'Modelo Datos'!D:AD,10,0)</f>
        <v>0</v>
      </c>
      <c r="J66">
        <f>+VLOOKUP(A66,'Modelo Datos'!D:AD,13,0)</f>
        <v>0</v>
      </c>
    </row>
    <row r="67" spans="1:10" x14ac:dyDescent="0.35">
      <c r="A67" t="s">
        <v>418</v>
      </c>
      <c r="B67">
        <v>36711.69</v>
      </c>
      <c r="C67">
        <v>3671.1690000000003</v>
      </c>
      <c r="D67">
        <v>2936.9352000000003</v>
      </c>
      <c r="E67">
        <v>734.23380000000009</v>
      </c>
      <c r="F67" s="39" t="str">
        <f>+VLOOKUP(A67,'Modelo Datos'!D:AD,27,0)</f>
        <v>B02791028</v>
      </c>
      <c r="G67" s="38">
        <f>+VLOOKUP(A67,'Modelo Datos'!D:F,3,0)</f>
        <v>46038</v>
      </c>
      <c r="H67" t="str">
        <f>+VLOOKUP(A67,'Modelo Datos'!D:AD,19,0)</f>
        <v>ALLIANZ</v>
      </c>
      <c r="I67">
        <f>+VLOOKUP(A67,'Modelo Datos'!D:AD,10,0)</f>
        <v>0</v>
      </c>
      <c r="J67">
        <f>+VLOOKUP(A67,'Modelo Datos'!D:AD,13,0)</f>
        <v>0</v>
      </c>
    </row>
    <row r="68" spans="1:10" x14ac:dyDescent="0.35">
      <c r="A68" t="s">
        <v>421</v>
      </c>
      <c r="B68">
        <v>6006.38</v>
      </c>
      <c r="C68">
        <v>600.63800000000003</v>
      </c>
      <c r="D68">
        <v>480.5104</v>
      </c>
      <c r="E68">
        <v>120.1276</v>
      </c>
      <c r="F68" s="39" t="str">
        <f>+VLOOKUP(A68,'Modelo Datos'!D:AD,27,0)</f>
        <v>E73836892</v>
      </c>
      <c r="G68" s="38">
        <f>+VLOOKUP(A68,'Modelo Datos'!D:F,3,0)</f>
        <v>46038</v>
      </c>
      <c r="H68" t="str">
        <f>+VLOOKUP(A68,'Modelo Datos'!D:AD,19,0)</f>
        <v>MAPFRE</v>
      </c>
      <c r="I68">
        <f>+VLOOKUP(A68,'Modelo Datos'!D:AD,10,0)</f>
        <v>0</v>
      </c>
      <c r="J68">
        <f>+VLOOKUP(A68,'Modelo Datos'!D:AD,13,0)</f>
        <v>0</v>
      </c>
    </row>
    <row r="69" spans="1:10" x14ac:dyDescent="0.35">
      <c r="A69" t="s">
        <v>424</v>
      </c>
      <c r="B69">
        <v>21544.01</v>
      </c>
      <c r="C69">
        <v>3877.9217999999996</v>
      </c>
      <c r="D69">
        <v>3447.0415999999996</v>
      </c>
      <c r="E69">
        <v>430.8802</v>
      </c>
      <c r="F69" s="39" t="str">
        <f>+VLOOKUP(A69,'Modelo Datos'!D:AD,27,0)</f>
        <v>B73664864</v>
      </c>
      <c r="G69" s="38">
        <f>+VLOOKUP(A69,'Modelo Datos'!D:F,3,0)</f>
        <v>46038</v>
      </c>
      <c r="H69" t="str">
        <f>+VLOOKUP(A69,'Modelo Datos'!D:AD,19,0)</f>
        <v>ALLIANZ</v>
      </c>
      <c r="I69">
        <f>+VLOOKUP(A69,'Modelo Datos'!D:AD,10,0)</f>
        <v>0</v>
      </c>
      <c r="J69">
        <f>+VLOOKUP(A69,'Modelo Datos'!D:AD,13,0)</f>
        <v>0</v>
      </c>
    </row>
    <row r="70" spans="1:10" x14ac:dyDescent="0.35">
      <c r="A70" t="s">
        <v>427</v>
      </c>
      <c r="B70">
        <v>117611.95</v>
      </c>
      <c r="C70">
        <v>16700.8969</v>
      </c>
      <c r="D70">
        <v>14348.657899999998</v>
      </c>
      <c r="E70">
        <v>2352.239</v>
      </c>
      <c r="F70" s="39" t="str">
        <f>+VLOOKUP(A70,'Modelo Datos'!D:AD,27,0)</f>
        <v>B05521521</v>
      </c>
      <c r="G70" s="38">
        <f>+VLOOKUP(A70,'Modelo Datos'!D:F,3,0)</f>
        <v>46038</v>
      </c>
      <c r="H70" t="str">
        <f>+VLOOKUP(A70,'Modelo Datos'!D:AD,19,0)</f>
        <v>ALLIANZ</v>
      </c>
      <c r="I70">
        <f>+VLOOKUP(A70,'Modelo Datos'!D:AD,10,0)</f>
        <v>0</v>
      </c>
      <c r="J70">
        <f>+VLOOKUP(A70,'Modelo Datos'!D:AD,13,0)</f>
        <v>0</v>
      </c>
    </row>
    <row r="71" spans="1:10" x14ac:dyDescent="0.35">
      <c r="A71" t="s">
        <v>430</v>
      </c>
      <c r="B71">
        <v>35049.86</v>
      </c>
      <c r="C71">
        <v>3855.4845999999998</v>
      </c>
      <c r="D71">
        <v>3154.4874</v>
      </c>
      <c r="E71">
        <v>700.99720000000002</v>
      </c>
      <c r="F71" s="39" t="str">
        <f>+VLOOKUP(A71,'Modelo Datos'!D:AD,27,0)</f>
        <v>52819599F</v>
      </c>
      <c r="G71" s="38">
        <f>+VLOOKUP(A71,'Modelo Datos'!D:F,3,0)</f>
        <v>46038</v>
      </c>
      <c r="H71" t="str">
        <f>+VLOOKUP(A71,'Modelo Datos'!D:AD,19,0)</f>
        <v>ALLIANZ</v>
      </c>
      <c r="I71">
        <f>+VLOOKUP(A71,'Modelo Datos'!D:AD,10,0)</f>
        <v>0</v>
      </c>
      <c r="J71">
        <f>+VLOOKUP(A71,'Modelo Datos'!D:AD,13,0)</f>
        <v>0</v>
      </c>
    </row>
    <row r="72" spans="1:10" x14ac:dyDescent="0.35">
      <c r="A72" t="s">
        <v>433</v>
      </c>
      <c r="B72">
        <v>7403.4</v>
      </c>
      <c r="C72">
        <v>814.37399999999991</v>
      </c>
      <c r="D72">
        <v>666.30599999999993</v>
      </c>
      <c r="E72">
        <v>148.06799999999998</v>
      </c>
      <c r="F72" s="39" t="str">
        <f>+VLOOKUP(A72,'Modelo Datos'!D:AD,27,0)</f>
        <v>77519457G</v>
      </c>
      <c r="G72" s="38">
        <f>+VLOOKUP(A72,'Modelo Datos'!D:F,3,0)</f>
        <v>46038</v>
      </c>
      <c r="H72" t="str">
        <f>+VLOOKUP(A72,'Modelo Datos'!D:AD,19,0)</f>
        <v>ALLIANZ</v>
      </c>
      <c r="I72">
        <f>+VLOOKUP(A72,'Modelo Datos'!D:AD,10,0)</f>
        <v>0</v>
      </c>
      <c r="J72">
        <f>+VLOOKUP(A72,'Modelo Datos'!D:AD,13,0)</f>
        <v>0</v>
      </c>
    </row>
    <row r="73" spans="1:10" x14ac:dyDescent="0.35">
      <c r="A73" t="s">
        <v>436</v>
      </c>
      <c r="B73">
        <v>5950.49</v>
      </c>
      <c r="C73">
        <v>1071.0881999999999</v>
      </c>
      <c r="D73">
        <v>892.57349999999997</v>
      </c>
      <c r="E73">
        <v>178.51469999999998</v>
      </c>
      <c r="F73" s="39" t="str">
        <f>+VLOOKUP(A73,'Modelo Datos'!D:AD,27,0)</f>
        <v>77720492L</v>
      </c>
      <c r="G73" s="38">
        <f>+VLOOKUP(A73,'Modelo Datos'!D:F,3,0)</f>
        <v>46038</v>
      </c>
      <c r="H73" t="str">
        <f>+VLOOKUP(A73,'Modelo Datos'!D:AD,19,0)</f>
        <v>MAPFRE</v>
      </c>
      <c r="I73">
        <f>+VLOOKUP(A73,'Modelo Datos'!D:AD,10,0)</f>
        <v>0</v>
      </c>
      <c r="J73">
        <f>+VLOOKUP(A73,'Modelo Datos'!D:AD,13,0)</f>
        <v>0</v>
      </c>
    </row>
    <row r="74" spans="1:10" x14ac:dyDescent="0.35">
      <c r="A74" t="s">
        <v>439</v>
      </c>
      <c r="B74">
        <v>6216.2</v>
      </c>
      <c r="C74">
        <v>683.78199999999993</v>
      </c>
      <c r="D74">
        <v>497.29599999999999</v>
      </c>
      <c r="E74">
        <v>186.48599999999999</v>
      </c>
      <c r="F74" s="39" t="str">
        <f>+VLOOKUP(A74,'Modelo Datos'!D:AD,27,0)</f>
        <v>48662393M</v>
      </c>
      <c r="G74" s="38">
        <f>+VLOOKUP(A74,'Modelo Datos'!D:F,3,0)</f>
        <v>46038</v>
      </c>
      <c r="H74" t="str">
        <f>+VLOOKUP(A74,'Modelo Datos'!D:AD,19,0)</f>
        <v>MAPFRE</v>
      </c>
      <c r="I74">
        <f>+VLOOKUP(A74,'Modelo Datos'!D:AD,10,0)</f>
        <v>0</v>
      </c>
      <c r="J74">
        <f>+VLOOKUP(A74,'Modelo Datos'!D:AD,13,0)</f>
        <v>0</v>
      </c>
    </row>
    <row r="75" spans="1:10" x14ac:dyDescent="0.35">
      <c r="A75" t="s">
        <v>442</v>
      </c>
      <c r="B75">
        <v>9537.36</v>
      </c>
      <c r="C75">
        <v>1049.1096000000002</v>
      </c>
      <c r="D75">
        <v>762.98880000000008</v>
      </c>
      <c r="E75">
        <v>286.12080000000003</v>
      </c>
      <c r="F75" s="39" t="str">
        <f>+VLOOKUP(A75,'Modelo Datos'!D:AD,27,0)</f>
        <v>77723076G</v>
      </c>
      <c r="G75" s="38">
        <f>+VLOOKUP(A75,'Modelo Datos'!D:F,3,0)</f>
        <v>46038</v>
      </c>
      <c r="H75" t="str">
        <f>+VLOOKUP(A75,'Modelo Datos'!D:AD,19,0)</f>
        <v>MAPFRE</v>
      </c>
      <c r="I75">
        <f>+VLOOKUP(A75,'Modelo Datos'!D:AD,10,0)</f>
        <v>0</v>
      </c>
      <c r="J75">
        <f>+VLOOKUP(A75,'Modelo Datos'!D:AD,13,0)</f>
        <v>0</v>
      </c>
    </row>
    <row r="76" spans="1:10" x14ac:dyDescent="0.35">
      <c r="A76" t="s">
        <v>445</v>
      </c>
      <c r="B76">
        <v>7019.51</v>
      </c>
      <c r="C76">
        <v>1052.9265</v>
      </c>
      <c r="D76">
        <v>842.34119999999996</v>
      </c>
      <c r="E76">
        <v>210.58529999999999</v>
      </c>
      <c r="F76" s="39" t="str">
        <f>+VLOOKUP(A76,'Modelo Datos'!D:AD,27,0)</f>
        <v>77510649M</v>
      </c>
      <c r="G76" s="38">
        <f>+VLOOKUP(A76,'Modelo Datos'!D:F,3,0)</f>
        <v>46038</v>
      </c>
      <c r="H76" t="str">
        <f>+VLOOKUP(A76,'Modelo Datos'!D:AD,19,0)</f>
        <v>MAPFRE</v>
      </c>
      <c r="I76">
        <f>+VLOOKUP(A76,'Modelo Datos'!D:AD,10,0)</f>
        <v>0</v>
      </c>
      <c r="J76">
        <f>+VLOOKUP(A76,'Modelo Datos'!D:AD,13,0)</f>
        <v>0</v>
      </c>
    </row>
    <row r="77" spans="1:10" x14ac:dyDescent="0.35">
      <c r="A77" t="s">
        <v>448</v>
      </c>
      <c r="B77">
        <v>29283.24</v>
      </c>
      <c r="C77">
        <v>3221.1564000000003</v>
      </c>
      <c r="D77">
        <v>2635.4916000000003</v>
      </c>
      <c r="E77">
        <v>585.66480000000001</v>
      </c>
      <c r="F77" s="39" t="str">
        <f>+VLOOKUP(A77,'Modelo Datos'!D:AD,27,0)</f>
        <v>45275163P</v>
      </c>
      <c r="G77" s="38">
        <f>+VLOOKUP(A77,'Modelo Datos'!D:F,3,0)</f>
        <v>46038</v>
      </c>
      <c r="H77" t="str">
        <f>+VLOOKUP(A77,'Modelo Datos'!D:AD,19,0)</f>
        <v>ALLIANZ</v>
      </c>
      <c r="I77">
        <f>+VLOOKUP(A77,'Modelo Datos'!D:AD,10,0)</f>
        <v>0</v>
      </c>
      <c r="J77">
        <f>+VLOOKUP(A77,'Modelo Datos'!D:AD,13,0)</f>
        <v>0</v>
      </c>
    </row>
    <row r="78" spans="1:10" x14ac:dyDescent="0.35">
      <c r="A78" t="s">
        <v>451</v>
      </c>
      <c r="B78">
        <v>23572.52</v>
      </c>
      <c r="C78">
        <v>3064.4276</v>
      </c>
      <c r="D78">
        <v>2357.252</v>
      </c>
      <c r="E78">
        <v>707.17560000000003</v>
      </c>
      <c r="F78" s="39" t="str">
        <f>+VLOOKUP(A78,'Modelo Datos'!D:AD,27,0)</f>
        <v>B73990368</v>
      </c>
      <c r="G78" s="38">
        <f>+VLOOKUP(A78,'Modelo Datos'!D:F,3,0)</f>
        <v>46038</v>
      </c>
      <c r="H78" t="str">
        <f>+VLOOKUP(A78,'Modelo Datos'!D:AD,19,0)</f>
        <v>MAPFRE</v>
      </c>
      <c r="I78">
        <f>+VLOOKUP(A78,'Modelo Datos'!D:AD,10,0)</f>
        <v>0</v>
      </c>
      <c r="J78">
        <f>+VLOOKUP(A78,'Modelo Datos'!D:AD,13,0)</f>
        <v>0</v>
      </c>
    </row>
    <row r="79" spans="1:10" x14ac:dyDescent="0.35">
      <c r="A79" t="s">
        <v>454</v>
      </c>
      <c r="B79">
        <v>1612.25</v>
      </c>
      <c r="C79">
        <v>177.3475</v>
      </c>
      <c r="D79">
        <v>128.97999999999999</v>
      </c>
      <c r="E79">
        <v>48.3675</v>
      </c>
      <c r="F79" s="39" t="str">
        <f>+VLOOKUP(A79,'Modelo Datos'!D:AD,27,0)</f>
        <v>77523430K</v>
      </c>
      <c r="G79" s="38">
        <f>+VLOOKUP(A79,'Modelo Datos'!D:F,3,0)</f>
        <v>46041</v>
      </c>
      <c r="H79" t="str">
        <f>+VLOOKUP(A79,'Modelo Datos'!D:AD,19,0)</f>
        <v>MAPFRE</v>
      </c>
      <c r="I79">
        <f>+VLOOKUP(A79,'Modelo Datos'!D:AD,10,0)</f>
        <v>0</v>
      </c>
      <c r="J79">
        <f>+VLOOKUP(A79,'Modelo Datos'!D:AD,13,0)</f>
        <v>0</v>
      </c>
    </row>
    <row r="80" spans="1:10" x14ac:dyDescent="0.35">
      <c r="A80" t="s">
        <v>457</v>
      </c>
      <c r="B80">
        <v>2979.83</v>
      </c>
      <c r="C80">
        <v>297.983</v>
      </c>
      <c r="D80">
        <v>238.38639999999998</v>
      </c>
      <c r="E80">
        <v>59.596600000000002</v>
      </c>
      <c r="F80" s="39" t="str">
        <f>+VLOOKUP(A80,'Modelo Datos'!D:AD,27,0)</f>
        <v>22402812F</v>
      </c>
      <c r="G80" s="38">
        <f>+VLOOKUP(A80,'Modelo Datos'!D:F,3,0)</f>
        <v>46041</v>
      </c>
      <c r="H80" t="str">
        <f>+VLOOKUP(A80,'Modelo Datos'!D:AD,19,0)</f>
        <v>ALLIANZ</v>
      </c>
      <c r="I80">
        <f>+VLOOKUP(A80,'Modelo Datos'!D:AD,10,0)</f>
        <v>0</v>
      </c>
      <c r="J80">
        <f>+VLOOKUP(A80,'Modelo Datos'!D:AD,13,0)</f>
        <v>0</v>
      </c>
    </row>
    <row r="81" spans="1:10" x14ac:dyDescent="0.35">
      <c r="A81" t="s">
        <v>460</v>
      </c>
      <c r="B81">
        <v>34907.519999999997</v>
      </c>
      <c r="C81">
        <v>3490.752</v>
      </c>
      <c r="D81">
        <v>2792.6016</v>
      </c>
      <c r="E81">
        <v>698.15039999999999</v>
      </c>
      <c r="F81" s="39" t="str">
        <f>+VLOOKUP(A81,'Modelo Datos'!D:AD,27,0)</f>
        <v>77567434A</v>
      </c>
      <c r="G81" s="38">
        <f>+VLOOKUP(A81,'Modelo Datos'!D:F,3,0)</f>
        <v>46041</v>
      </c>
      <c r="H81" t="str">
        <f>+VLOOKUP(A81,'Modelo Datos'!D:AD,19,0)</f>
        <v>MAPFRE</v>
      </c>
      <c r="I81">
        <f>+VLOOKUP(A81,'Modelo Datos'!D:AD,10,0)</f>
        <v>0</v>
      </c>
      <c r="J81">
        <f>+VLOOKUP(A81,'Modelo Datos'!D:AD,13,0)</f>
        <v>0</v>
      </c>
    </row>
    <row r="82" spans="1:10" x14ac:dyDescent="0.35">
      <c r="A82" t="s">
        <v>463</v>
      </c>
      <c r="B82">
        <v>16966.23</v>
      </c>
      <c r="C82">
        <v>2035.9475999999997</v>
      </c>
      <c r="D82">
        <v>1696.6229999999998</v>
      </c>
      <c r="E82">
        <v>339.32459999999998</v>
      </c>
      <c r="F82" s="39" t="str">
        <f>+VLOOKUP(A82,'Modelo Datos'!D:AD,27,0)</f>
        <v>74297057N</v>
      </c>
      <c r="G82" s="38">
        <f>+VLOOKUP(A82,'Modelo Datos'!D:F,3,0)</f>
        <v>46041</v>
      </c>
      <c r="H82" t="str">
        <f>+VLOOKUP(A82,'Modelo Datos'!D:AD,19,0)</f>
        <v>MAPFRE</v>
      </c>
      <c r="I82">
        <f>+VLOOKUP(A82,'Modelo Datos'!D:AD,10,0)</f>
        <v>0</v>
      </c>
      <c r="J82">
        <f>+VLOOKUP(A82,'Modelo Datos'!D:AD,13,0)</f>
        <v>0</v>
      </c>
    </row>
    <row r="83" spans="1:10" x14ac:dyDescent="0.35">
      <c r="A83" t="s">
        <v>466</v>
      </c>
      <c r="B83">
        <v>27124.11</v>
      </c>
      <c r="C83">
        <v>2983.6520999999998</v>
      </c>
      <c r="D83">
        <v>2441.1698999999999</v>
      </c>
      <c r="E83">
        <v>542.48220000000003</v>
      </c>
      <c r="F83" s="39" t="str">
        <f>+VLOOKUP(A83,'Modelo Datos'!D:AD,27,0)</f>
        <v>77571491N</v>
      </c>
      <c r="G83" s="38">
        <f>+VLOOKUP(A83,'Modelo Datos'!D:F,3,0)</f>
        <v>46041</v>
      </c>
      <c r="H83" t="str">
        <f>+VLOOKUP(A83,'Modelo Datos'!D:AD,19,0)</f>
        <v>ALLIANZ</v>
      </c>
      <c r="I83">
        <f>+VLOOKUP(A83,'Modelo Datos'!D:AD,10,0)</f>
        <v>0</v>
      </c>
      <c r="J83">
        <f>+VLOOKUP(A83,'Modelo Datos'!D:AD,13,0)</f>
        <v>0</v>
      </c>
    </row>
    <row r="84" spans="1:10" x14ac:dyDescent="0.35">
      <c r="A84" t="s">
        <v>469</v>
      </c>
      <c r="B84">
        <v>649.4</v>
      </c>
      <c r="C84">
        <v>84.421999999999997</v>
      </c>
      <c r="D84">
        <v>71.433999999999997</v>
      </c>
      <c r="E84">
        <v>12.988</v>
      </c>
      <c r="F84" s="39" t="str">
        <f>+VLOOKUP(A84,'Modelo Datos'!D:AD,27,0)</f>
        <v>74326372D</v>
      </c>
      <c r="G84" s="38">
        <f>+VLOOKUP(A84,'Modelo Datos'!D:F,3,0)</f>
        <v>46041</v>
      </c>
      <c r="H84" t="str">
        <f>+VLOOKUP(A84,'Modelo Datos'!D:AD,19,0)</f>
        <v>ALLIANZ</v>
      </c>
      <c r="I84">
        <f>+VLOOKUP(A84,'Modelo Datos'!D:AD,10,0)</f>
        <v>0</v>
      </c>
      <c r="J84">
        <f>+VLOOKUP(A84,'Modelo Datos'!D:AD,13,0)</f>
        <v>0</v>
      </c>
    </row>
    <row r="85" spans="1:10" x14ac:dyDescent="0.35">
      <c r="A85" t="s">
        <v>472</v>
      </c>
      <c r="B85">
        <v>9562.25</v>
      </c>
      <c r="C85">
        <v>1051.8475000000001</v>
      </c>
      <c r="D85">
        <v>764.98</v>
      </c>
      <c r="E85">
        <v>286.86750000000001</v>
      </c>
      <c r="F85" s="39" t="str">
        <f>+VLOOKUP(A85,'Modelo Datos'!D:AD,27,0)</f>
        <v>48424073B</v>
      </c>
      <c r="G85" s="38">
        <f>+VLOOKUP(A85,'Modelo Datos'!D:F,3,0)</f>
        <v>46041</v>
      </c>
      <c r="H85" t="str">
        <f>+VLOOKUP(A85,'Modelo Datos'!D:AD,19,0)</f>
        <v>MAPFRE</v>
      </c>
      <c r="I85">
        <f>+VLOOKUP(A85,'Modelo Datos'!D:AD,10,0)</f>
        <v>0</v>
      </c>
      <c r="J85">
        <f>+VLOOKUP(A85,'Modelo Datos'!D:AD,13,0)</f>
        <v>0</v>
      </c>
    </row>
    <row r="86" spans="1:10" x14ac:dyDescent="0.35">
      <c r="A86" t="s">
        <v>475</v>
      </c>
      <c r="B86">
        <v>2368.91</v>
      </c>
      <c r="C86">
        <v>307.95830000000001</v>
      </c>
      <c r="D86">
        <v>236.89099999999999</v>
      </c>
      <c r="E86">
        <v>71.067299999999989</v>
      </c>
      <c r="F86" s="39" t="str">
        <f>+VLOOKUP(A86,'Modelo Datos'!D:AD,27,0)</f>
        <v>52817727K</v>
      </c>
      <c r="G86" s="38">
        <f>+VLOOKUP(A86,'Modelo Datos'!D:F,3,0)</f>
        <v>46041</v>
      </c>
      <c r="H86" t="str">
        <f>+VLOOKUP(A86,'Modelo Datos'!D:AD,19,0)</f>
        <v>MAPFRE</v>
      </c>
      <c r="I86">
        <f>+VLOOKUP(A86,'Modelo Datos'!D:AD,10,0)</f>
        <v>0</v>
      </c>
      <c r="J86">
        <f>+VLOOKUP(A86,'Modelo Datos'!D:AD,13,0)</f>
        <v>0</v>
      </c>
    </row>
    <row r="87" spans="1:10" x14ac:dyDescent="0.35">
      <c r="A87" t="s">
        <v>478</v>
      </c>
      <c r="B87">
        <v>3923.14</v>
      </c>
      <c r="C87">
        <v>313.85120000000001</v>
      </c>
      <c r="D87">
        <v>235.38839999999999</v>
      </c>
      <c r="E87">
        <v>78.462800000000001</v>
      </c>
      <c r="F87" s="39" t="str">
        <f>+VLOOKUP(A87,'Modelo Datos'!D:AD,27,0)</f>
        <v>48662373P</v>
      </c>
      <c r="G87" s="38">
        <f>+VLOOKUP(A87,'Modelo Datos'!D:F,3,0)</f>
        <v>46041</v>
      </c>
      <c r="H87" t="str">
        <f>+VLOOKUP(A87,'Modelo Datos'!D:AD,19,0)</f>
        <v>OCCIDENT</v>
      </c>
      <c r="I87">
        <f>+VLOOKUP(A87,'Modelo Datos'!D:AD,10,0)</f>
        <v>0</v>
      </c>
      <c r="J87">
        <f>+VLOOKUP(A87,'Modelo Datos'!D:AD,13,0)</f>
        <v>0</v>
      </c>
    </row>
    <row r="88" spans="1:10" x14ac:dyDescent="0.35">
      <c r="A88" t="s">
        <v>481</v>
      </c>
      <c r="B88">
        <v>1330.16</v>
      </c>
      <c r="C88">
        <v>146.3176</v>
      </c>
      <c r="D88">
        <v>106.4128</v>
      </c>
      <c r="E88">
        <v>39.904800000000002</v>
      </c>
      <c r="F88" s="39" t="str">
        <f>+VLOOKUP(A88,'Modelo Datos'!D:AD,27,0)</f>
        <v>74309984C</v>
      </c>
      <c r="G88" s="38">
        <f>+VLOOKUP(A88,'Modelo Datos'!D:F,3,0)</f>
        <v>46041</v>
      </c>
      <c r="H88" t="str">
        <f>+VLOOKUP(A88,'Modelo Datos'!D:AD,19,0)</f>
        <v>MAPFRE</v>
      </c>
      <c r="I88">
        <f>+VLOOKUP(A88,'Modelo Datos'!D:AD,10,0)</f>
        <v>0</v>
      </c>
      <c r="J88">
        <f>+VLOOKUP(A88,'Modelo Datos'!D:AD,13,0)</f>
        <v>0</v>
      </c>
    </row>
    <row r="89" spans="1:10" x14ac:dyDescent="0.35">
      <c r="A89" t="s">
        <v>484</v>
      </c>
      <c r="B89">
        <v>140908.57</v>
      </c>
      <c r="C89">
        <v>11272.685600000001</v>
      </c>
      <c r="D89">
        <v>8454.5141999999996</v>
      </c>
      <c r="E89">
        <v>2818.1714000000002</v>
      </c>
      <c r="F89" s="39" t="str">
        <f>+VLOOKUP(A89,'Modelo Datos'!D:AD,27,0)</f>
        <v>B05500285</v>
      </c>
      <c r="G89" s="38">
        <f>+VLOOKUP(A89,'Modelo Datos'!D:F,3,0)</f>
        <v>46041</v>
      </c>
      <c r="H89" t="str">
        <f>+VLOOKUP(A89,'Modelo Datos'!D:AD,19,0)</f>
        <v>ALLIANZ</v>
      </c>
      <c r="I89">
        <f>+VLOOKUP(A89,'Modelo Datos'!D:AD,10,0)</f>
        <v>0</v>
      </c>
      <c r="J89">
        <f>+VLOOKUP(A89,'Modelo Datos'!D:AD,13,0)</f>
        <v>0</v>
      </c>
    </row>
    <row r="90" spans="1:10" x14ac:dyDescent="0.35">
      <c r="A90" t="s">
        <v>487</v>
      </c>
      <c r="B90">
        <v>86465.44</v>
      </c>
      <c r="C90">
        <v>9511.1984000000011</v>
      </c>
      <c r="D90">
        <v>6917.2352000000001</v>
      </c>
      <c r="E90">
        <v>2593.9632000000001</v>
      </c>
      <c r="F90" s="39" t="str">
        <f>+VLOOKUP(A90,'Modelo Datos'!D:AD,27,0)</f>
        <v>B42951905</v>
      </c>
      <c r="G90" s="38">
        <f>+VLOOKUP(A90,'Modelo Datos'!D:F,3,0)</f>
        <v>46041</v>
      </c>
      <c r="H90" t="str">
        <f>+VLOOKUP(A90,'Modelo Datos'!D:AD,19,0)</f>
        <v>MAPFRE</v>
      </c>
      <c r="I90">
        <f>+VLOOKUP(A90,'Modelo Datos'!D:AD,10,0)</f>
        <v>0</v>
      </c>
      <c r="J90">
        <f>+VLOOKUP(A90,'Modelo Datos'!D:AD,13,0)</f>
        <v>0</v>
      </c>
    </row>
    <row r="91" spans="1:10" x14ac:dyDescent="0.35">
      <c r="A91" t="s">
        <v>490</v>
      </c>
      <c r="B91">
        <v>29087.4</v>
      </c>
      <c r="C91">
        <v>2908.7400000000002</v>
      </c>
      <c r="D91">
        <v>2326.9920000000002</v>
      </c>
      <c r="E91">
        <v>581.74800000000005</v>
      </c>
      <c r="F91" s="39" t="str">
        <f>+VLOOKUP(A91,'Modelo Datos'!D:AD,27,0)</f>
        <v>V73502148</v>
      </c>
      <c r="G91" s="38">
        <f>+VLOOKUP(A91,'Modelo Datos'!D:F,3,0)</f>
        <v>46041</v>
      </c>
      <c r="H91" t="str">
        <f>+VLOOKUP(A91,'Modelo Datos'!D:AD,19,0)</f>
        <v>ALLIANZ</v>
      </c>
      <c r="I91">
        <f>+VLOOKUP(A91,'Modelo Datos'!D:AD,10,0)</f>
        <v>0</v>
      </c>
      <c r="J91">
        <f>+VLOOKUP(A91,'Modelo Datos'!D:AD,13,0)</f>
        <v>0</v>
      </c>
    </row>
    <row r="92" spans="1:10" x14ac:dyDescent="0.35">
      <c r="A92" t="s">
        <v>493</v>
      </c>
      <c r="B92">
        <v>22365.4</v>
      </c>
      <c r="C92">
        <v>2907.5020000000004</v>
      </c>
      <c r="D92">
        <v>2460.1940000000004</v>
      </c>
      <c r="E92">
        <v>447.30800000000005</v>
      </c>
      <c r="F92" s="39" t="str">
        <f>+VLOOKUP(A92,'Modelo Datos'!D:AD,27,0)</f>
        <v>70517655T</v>
      </c>
      <c r="G92" s="38">
        <f>+VLOOKUP(A92,'Modelo Datos'!D:F,3,0)</f>
        <v>46041</v>
      </c>
      <c r="H92" t="str">
        <f>+VLOOKUP(A92,'Modelo Datos'!D:AD,19,0)</f>
        <v>MAPFRE</v>
      </c>
      <c r="I92">
        <f>+VLOOKUP(A92,'Modelo Datos'!D:AD,10,0)</f>
        <v>0</v>
      </c>
      <c r="J92">
        <f>+VLOOKUP(A92,'Modelo Datos'!D:AD,13,0)</f>
        <v>0</v>
      </c>
    </row>
    <row r="93" spans="1:10" x14ac:dyDescent="0.35">
      <c r="A93" t="s">
        <v>496</v>
      </c>
      <c r="B93">
        <v>105695.63</v>
      </c>
      <c r="C93">
        <v>8455.6504000000004</v>
      </c>
      <c r="D93">
        <v>6341.7377999999999</v>
      </c>
      <c r="E93">
        <v>2113.9126000000001</v>
      </c>
      <c r="F93" s="39" t="str">
        <f>+VLOOKUP(A93,'Modelo Datos'!D:AD,27,0)</f>
        <v>B72480320</v>
      </c>
      <c r="G93" s="38">
        <f>+VLOOKUP(A93,'Modelo Datos'!D:F,3,0)</f>
        <v>46041</v>
      </c>
      <c r="H93" t="str">
        <f>+VLOOKUP(A93,'Modelo Datos'!D:AD,19,0)</f>
        <v>ALLIANZ</v>
      </c>
      <c r="I93">
        <f>+VLOOKUP(A93,'Modelo Datos'!D:AD,10,0)</f>
        <v>0</v>
      </c>
      <c r="J93">
        <f>+VLOOKUP(A93,'Modelo Datos'!D:AD,13,0)</f>
        <v>0</v>
      </c>
    </row>
    <row r="94" spans="1:10" x14ac:dyDescent="0.35">
      <c r="A94" t="s">
        <v>499</v>
      </c>
      <c r="B94">
        <v>3517.01</v>
      </c>
      <c r="C94">
        <v>316.53089999999997</v>
      </c>
      <c r="D94">
        <v>211.0206</v>
      </c>
      <c r="E94">
        <v>105.5103</v>
      </c>
      <c r="F94" s="39" t="str">
        <f>+VLOOKUP(A94,'Modelo Datos'!D:AD,27,0)</f>
        <v>29039152L</v>
      </c>
      <c r="G94" s="38">
        <f>+VLOOKUP(A94,'Modelo Datos'!D:F,3,0)</f>
        <v>46041</v>
      </c>
      <c r="H94" t="str">
        <f>+VLOOKUP(A94,'Modelo Datos'!D:AD,19,0)</f>
        <v>MAPFRE</v>
      </c>
      <c r="I94">
        <f>+VLOOKUP(A94,'Modelo Datos'!D:AD,10,0)</f>
        <v>0</v>
      </c>
      <c r="J94">
        <f>+VLOOKUP(A94,'Modelo Datos'!D:AD,13,0)</f>
        <v>0</v>
      </c>
    </row>
    <row r="95" spans="1:10" x14ac:dyDescent="0.35">
      <c r="A95" t="s">
        <v>502</v>
      </c>
      <c r="B95">
        <v>114229.67</v>
      </c>
      <c r="C95">
        <v>12736.608205</v>
      </c>
      <c r="D95">
        <v>10452.014805000001</v>
      </c>
      <c r="E95">
        <v>2284.5934000000002</v>
      </c>
      <c r="F95" s="39" t="str">
        <f>+VLOOKUP(A95,'Modelo Datos'!D:AD,27,0)</f>
        <v>E05520143</v>
      </c>
      <c r="G95" s="38">
        <f>+VLOOKUP(A95,'Modelo Datos'!D:F,3,0)</f>
        <v>46041</v>
      </c>
      <c r="H95" t="str">
        <f>+VLOOKUP(A95,'Modelo Datos'!D:AD,19,0)</f>
        <v>ALLIANZ</v>
      </c>
      <c r="I95">
        <f>+VLOOKUP(A95,'Modelo Datos'!D:AD,10,0)</f>
        <v>0</v>
      </c>
      <c r="J95">
        <f>+VLOOKUP(A95,'Modelo Datos'!D:AD,13,0)</f>
        <v>0</v>
      </c>
    </row>
    <row r="96" spans="1:10" x14ac:dyDescent="0.35">
      <c r="A96" t="s">
        <v>505</v>
      </c>
      <c r="B96">
        <v>4241.3100000000004</v>
      </c>
      <c r="C96">
        <v>466.54410000000007</v>
      </c>
      <c r="D96">
        <v>339.30480000000006</v>
      </c>
      <c r="E96">
        <v>127.23930000000001</v>
      </c>
      <c r="F96" s="39" t="str">
        <f>+VLOOKUP(A96,'Modelo Datos'!D:AD,27,0)</f>
        <v>48488675Y</v>
      </c>
      <c r="G96" s="38">
        <f>+VLOOKUP(A96,'Modelo Datos'!D:F,3,0)</f>
        <v>46041</v>
      </c>
      <c r="H96" t="str">
        <f>+VLOOKUP(A96,'Modelo Datos'!D:AD,19,0)</f>
        <v>MAPFRE</v>
      </c>
      <c r="I96">
        <f>+VLOOKUP(A96,'Modelo Datos'!D:AD,10,0)</f>
        <v>0</v>
      </c>
      <c r="J96">
        <f>+VLOOKUP(A96,'Modelo Datos'!D:AD,13,0)</f>
        <v>0</v>
      </c>
    </row>
    <row r="97" spans="1:10" x14ac:dyDescent="0.35">
      <c r="A97" t="s">
        <v>508</v>
      </c>
      <c r="B97">
        <v>3709.96</v>
      </c>
      <c r="C97">
        <v>408.09559999999999</v>
      </c>
      <c r="D97">
        <v>296.79680000000002</v>
      </c>
      <c r="E97">
        <v>111.2988</v>
      </c>
      <c r="F97" s="39" t="str">
        <f>+VLOOKUP(A97,'Modelo Datos'!D:AD,27,0)</f>
        <v>77510855G</v>
      </c>
      <c r="G97" s="38">
        <f>+VLOOKUP(A97,'Modelo Datos'!D:F,3,0)</f>
        <v>46041</v>
      </c>
      <c r="H97" t="str">
        <f>+VLOOKUP(A97,'Modelo Datos'!D:AD,19,0)</f>
        <v>MAPFRE</v>
      </c>
      <c r="I97">
        <f>+VLOOKUP(A97,'Modelo Datos'!D:AD,10,0)</f>
        <v>0</v>
      </c>
      <c r="J97">
        <f>+VLOOKUP(A97,'Modelo Datos'!D:AD,13,0)</f>
        <v>0</v>
      </c>
    </row>
    <row r="98" spans="1:10" x14ac:dyDescent="0.35">
      <c r="A98" t="s">
        <v>511</v>
      </c>
      <c r="B98">
        <v>7355.54</v>
      </c>
      <c r="C98">
        <v>809.10940000000005</v>
      </c>
      <c r="D98">
        <v>588.44320000000005</v>
      </c>
      <c r="E98">
        <v>220.6662</v>
      </c>
      <c r="F98" s="39" t="str">
        <f>+VLOOKUP(A98,'Modelo Datos'!D:AD,27,0)</f>
        <v>48421801Q</v>
      </c>
      <c r="G98" s="38">
        <f>+VLOOKUP(A98,'Modelo Datos'!D:F,3,0)</f>
        <v>46041</v>
      </c>
      <c r="H98" t="str">
        <f>+VLOOKUP(A98,'Modelo Datos'!D:AD,19,0)</f>
        <v>MAPFRE</v>
      </c>
      <c r="I98">
        <f>+VLOOKUP(A98,'Modelo Datos'!D:AD,10,0)</f>
        <v>0</v>
      </c>
      <c r="J98">
        <f>+VLOOKUP(A98,'Modelo Datos'!D:AD,13,0)</f>
        <v>0</v>
      </c>
    </row>
    <row r="99" spans="1:10" x14ac:dyDescent="0.35">
      <c r="A99" t="s">
        <v>514</v>
      </c>
      <c r="B99">
        <v>6480.11</v>
      </c>
      <c r="C99">
        <v>712.81209999999987</v>
      </c>
      <c r="D99">
        <v>518.40879999999993</v>
      </c>
      <c r="E99">
        <v>194.40329999999997</v>
      </c>
      <c r="F99" s="39" t="str">
        <f>+VLOOKUP(A99,'Modelo Datos'!D:AD,27,0)</f>
        <v>34827880S</v>
      </c>
      <c r="G99" s="38">
        <f>+VLOOKUP(A99,'Modelo Datos'!D:F,3,0)</f>
        <v>46041</v>
      </c>
      <c r="H99" t="str">
        <f>+VLOOKUP(A99,'Modelo Datos'!D:AD,19,0)</f>
        <v>MAPFRE</v>
      </c>
      <c r="I99">
        <f>+VLOOKUP(A99,'Modelo Datos'!D:AD,10,0)</f>
        <v>0</v>
      </c>
      <c r="J99">
        <f>+VLOOKUP(A99,'Modelo Datos'!D:AD,13,0)</f>
        <v>0</v>
      </c>
    </row>
    <row r="100" spans="1:10" x14ac:dyDescent="0.35">
      <c r="A100" t="s">
        <v>517</v>
      </c>
      <c r="B100">
        <v>58908.84</v>
      </c>
      <c r="C100">
        <v>6479.9723999999997</v>
      </c>
      <c r="D100">
        <v>5301.7955999999995</v>
      </c>
      <c r="E100">
        <v>1178.1768</v>
      </c>
      <c r="F100" s="39" t="str">
        <f>+VLOOKUP(A100,'Modelo Datos'!D:AD,27,0)</f>
        <v>B73828998</v>
      </c>
      <c r="G100" s="38">
        <f>+VLOOKUP(A100,'Modelo Datos'!D:F,3,0)</f>
        <v>46041</v>
      </c>
      <c r="H100" t="str">
        <f>+VLOOKUP(A100,'Modelo Datos'!D:AD,19,0)</f>
        <v>MAPFRE</v>
      </c>
      <c r="I100">
        <f>+VLOOKUP(A100,'Modelo Datos'!D:AD,10,0)</f>
        <v>0</v>
      </c>
      <c r="J100">
        <f>+VLOOKUP(A100,'Modelo Datos'!D:AD,13,0)</f>
        <v>0</v>
      </c>
    </row>
    <row r="101" spans="1:10" x14ac:dyDescent="0.35">
      <c r="A101" t="s">
        <v>520</v>
      </c>
      <c r="B101">
        <v>1362.1</v>
      </c>
      <c r="C101">
        <v>149.83099999999999</v>
      </c>
      <c r="D101">
        <v>108.96799999999999</v>
      </c>
      <c r="E101">
        <v>40.862999999999992</v>
      </c>
      <c r="F101" s="39" t="str">
        <f>+VLOOKUP(A101,'Modelo Datos'!D:AD,27,0)</f>
        <v>77514712C</v>
      </c>
      <c r="G101" s="38">
        <f>+VLOOKUP(A101,'Modelo Datos'!D:F,3,0)</f>
        <v>46041</v>
      </c>
      <c r="H101" t="str">
        <f>+VLOOKUP(A101,'Modelo Datos'!D:AD,19,0)</f>
        <v>MAPFRE</v>
      </c>
      <c r="I101">
        <f>+VLOOKUP(A101,'Modelo Datos'!D:AD,10,0)</f>
        <v>0</v>
      </c>
      <c r="J101">
        <f>+VLOOKUP(A101,'Modelo Datos'!D:AD,13,0)</f>
        <v>0</v>
      </c>
    </row>
    <row r="102" spans="1:10" x14ac:dyDescent="0.35">
      <c r="A102" t="s">
        <v>523</v>
      </c>
      <c r="B102">
        <v>3232.96</v>
      </c>
      <c r="C102">
        <v>355.62559999999996</v>
      </c>
      <c r="D102">
        <v>258.63679999999999</v>
      </c>
      <c r="E102">
        <v>96.988799999999998</v>
      </c>
      <c r="F102" s="39" t="str">
        <f>+VLOOKUP(A102,'Modelo Datos'!D:AD,27,0)</f>
        <v>34804325N</v>
      </c>
      <c r="G102" s="38">
        <f>+VLOOKUP(A102,'Modelo Datos'!D:F,3,0)</f>
        <v>46041</v>
      </c>
      <c r="H102" t="str">
        <f>+VLOOKUP(A102,'Modelo Datos'!D:AD,19,0)</f>
        <v>MAPFRE</v>
      </c>
      <c r="I102">
        <f>+VLOOKUP(A102,'Modelo Datos'!D:AD,10,0)</f>
        <v>0</v>
      </c>
      <c r="J102">
        <f>+VLOOKUP(A102,'Modelo Datos'!D:AD,13,0)</f>
        <v>0</v>
      </c>
    </row>
    <row r="103" spans="1:10" x14ac:dyDescent="0.35">
      <c r="A103" t="s">
        <v>526</v>
      </c>
      <c r="B103">
        <v>17036.43</v>
      </c>
      <c r="C103">
        <v>1899.5619449999999</v>
      </c>
      <c r="D103">
        <v>1558.833345</v>
      </c>
      <c r="E103">
        <v>340.72860000000003</v>
      </c>
      <c r="F103" s="39" t="str">
        <f>+VLOOKUP(A103,'Modelo Datos'!D:AD,27,0)</f>
        <v>B97823884</v>
      </c>
      <c r="G103" s="38">
        <f>+VLOOKUP(A103,'Modelo Datos'!D:F,3,0)</f>
        <v>46041</v>
      </c>
      <c r="H103" t="str">
        <f>+VLOOKUP(A103,'Modelo Datos'!D:AD,19,0)</f>
        <v>ALLIANZ</v>
      </c>
      <c r="I103">
        <f>+VLOOKUP(A103,'Modelo Datos'!D:AD,10,0)</f>
        <v>0</v>
      </c>
      <c r="J103">
        <f>+VLOOKUP(A103,'Modelo Datos'!D:AD,13,0)</f>
        <v>0</v>
      </c>
    </row>
    <row r="104" spans="1:10" x14ac:dyDescent="0.35">
      <c r="A104" t="s">
        <v>529</v>
      </c>
      <c r="B104">
        <v>28517.65</v>
      </c>
      <c r="C104">
        <v>3179.7179750000005</v>
      </c>
      <c r="D104">
        <v>2609.3649750000004</v>
      </c>
      <c r="E104">
        <v>570.35300000000007</v>
      </c>
      <c r="F104" s="39" t="str">
        <f>+VLOOKUP(A104,'Modelo Datos'!D:AD,27,0)</f>
        <v>E06776199</v>
      </c>
      <c r="G104" s="38">
        <f>+VLOOKUP(A104,'Modelo Datos'!D:F,3,0)</f>
        <v>46041</v>
      </c>
      <c r="H104" t="str">
        <f>+VLOOKUP(A104,'Modelo Datos'!D:AD,19,0)</f>
        <v>ALLIANZ</v>
      </c>
      <c r="I104">
        <f>+VLOOKUP(A104,'Modelo Datos'!D:AD,10,0)</f>
        <v>0</v>
      </c>
      <c r="J104">
        <f>+VLOOKUP(A104,'Modelo Datos'!D:AD,13,0)</f>
        <v>0</v>
      </c>
    </row>
    <row r="105" spans="1:10" x14ac:dyDescent="0.35">
      <c r="A105" t="s">
        <v>532</v>
      </c>
      <c r="B105">
        <v>7462.48</v>
      </c>
      <c r="C105">
        <v>671.6232</v>
      </c>
      <c r="D105">
        <v>447.74879999999996</v>
      </c>
      <c r="E105">
        <v>223.87439999999998</v>
      </c>
      <c r="F105" s="39" t="str">
        <f>+VLOOKUP(A105,'Modelo Datos'!D:AD,27,0)</f>
        <v>48516948N</v>
      </c>
      <c r="G105" s="38">
        <f>+VLOOKUP(A105,'Modelo Datos'!D:F,3,0)</f>
        <v>46041</v>
      </c>
      <c r="H105" t="str">
        <f>+VLOOKUP(A105,'Modelo Datos'!D:AD,19,0)</f>
        <v>MAPFRE</v>
      </c>
      <c r="I105">
        <f>+VLOOKUP(A105,'Modelo Datos'!D:AD,10,0)</f>
        <v>0</v>
      </c>
      <c r="J105">
        <f>+VLOOKUP(A105,'Modelo Datos'!D:AD,13,0)</f>
        <v>0</v>
      </c>
    </row>
    <row r="106" spans="1:10" x14ac:dyDescent="0.35">
      <c r="A106" t="s">
        <v>535</v>
      </c>
      <c r="B106">
        <v>47745.29</v>
      </c>
      <c r="C106">
        <v>4774.5290000000005</v>
      </c>
      <c r="D106">
        <v>3819.6232</v>
      </c>
      <c r="E106">
        <v>954.9058</v>
      </c>
      <c r="F106" s="39" t="str">
        <f>+VLOOKUP(A106,'Modelo Datos'!D:AD,27,0)</f>
        <v>F30157606</v>
      </c>
      <c r="G106" s="38">
        <f>+VLOOKUP(A106,'Modelo Datos'!D:F,3,0)</f>
        <v>46041</v>
      </c>
      <c r="H106" t="str">
        <f>+VLOOKUP(A106,'Modelo Datos'!D:AD,19,0)</f>
        <v>ALLIANZ</v>
      </c>
      <c r="I106">
        <f>+VLOOKUP(A106,'Modelo Datos'!D:AD,10,0)</f>
        <v>0</v>
      </c>
      <c r="J106">
        <f>+VLOOKUP(A106,'Modelo Datos'!D:AD,13,0)</f>
        <v>0</v>
      </c>
    </row>
    <row r="107" spans="1:10" x14ac:dyDescent="0.35">
      <c r="A107" t="s">
        <v>538</v>
      </c>
      <c r="B107">
        <v>42864.59</v>
      </c>
      <c r="C107">
        <v>4286.4589999999998</v>
      </c>
      <c r="D107">
        <v>3429.1671999999999</v>
      </c>
      <c r="E107">
        <v>857.29179999999997</v>
      </c>
      <c r="F107" s="39" t="str">
        <f>+VLOOKUP(A107,'Modelo Datos'!D:AD,27,0)</f>
        <v>48522540S</v>
      </c>
      <c r="G107" s="38">
        <f>+VLOOKUP(A107,'Modelo Datos'!D:F,3,0)</f>
        <v>46041</v>
      </c>
      <c r="H107" t="str">
        <f>+VLOOKUP(A107,'Modelo Datos'!D:AD,19,0)</f>
        <v>ALLIANZ</v>
      </c>
      <c r="I107">
        <f>+VLOOKUP(A107,'Modelo Datos'!D:AD,10,0)</f>
        <v>0</v>
      </c>
      <c r="J107">
        <f>+VLOOKUP(A107,'Modelo Datos'!D:AD,13,0)</f>
        <v>0</v>
      </c>
    </row>
    <row r="108" spans="1:10" x14ac:dyDescent="0.35">
      <c r="A108" t="s">
        <v>541</v>
      </c>
      <c r="B108">
        <v>2698.65</v>
      </c>
      <c r="C108">
        <v>323.83800000000002</v>
      </c>
      <c r="D108">
        <v>242.87850000000003</v>
      </c>
      <c r="E108">
        <v>80.959500000000006</v>
      </c>
      <c r="F108" s="39" t="str">
        <f>+VLOOKUP(A108,'Modelo Datos'!D:AD,27,0)</f>
        <v>77712582K</v>
      </c>
      <c r="G108" s="38">
        <f>+VLOOKUP(A108,'Modelo Datos'!D:F,3,0)</f>
        <v>46041</v>
      </c>
      <c r="H108" t="str">
        <f>+VLOOKUP(A108,'Modelo Datos'!D:AD,19,0)</f>
        <v>MAPFRE</v>
      </c>
      <c r="I108">
        <f>+VLOOKUP(A108,'Modelo Datos'!D:AD,10,0)</f>
        <v>0</v>
      </c>
      <c r="J108">
        <f>+VLOOKUP(A108,'Modelo Datos'!D:AD,13,0)</f>
        <v>0</v>
      </c>
    </row>
    <row r="109" spans="1:10" x14ac:dyDescent="0.35">
      <c r="A109" t="s">
        <v>259</v>
      </c>
      <c r="B109">
        <v>13327.54</v>
      </c>
      <c r="C109">
        <v>1332.7539999999999</v>
      </c>
      <c r="D109">
        <v>1066.2031999999999</v>
      </c>
      <c r="E109">
        <v>266.55079999999998</v>
      </c>
      <c r="F109" s="39" t="str">
        <f>+VLOOKUP(A109,'Modelo Datos'!D:AD,27,0)</f>
        <v>B30799713</v>
      </c>
      <c r="G109" s="38">
        <f>+VLOOKUP(A109,'Modelo Datos'!D:F,3,0)</f>
        <v>46043</v>
      </c>
      <c r="H109" t="str">
        <f>+VLOOKUP(A109,'Modelo Datos'!D:AD,19,0)</f>
        <v>OCCIDENT</v>
      </c>
      <c r="I109">
        <f>+VLOOKUP(A109,'Modelo Datos'!D:AD,10,0)</f>
        <v>0</v>
      </c>
      <c r="J109">
        <f>+VLOOKUP(A109,'Modelo Datos'!D:AD,13,0)</f>
        <v>0</v>
      </c>
    </row>
    <row r="110" spans="1:10" x14ac:dyDescent="0.35">
      <c r="A110" t="s">
        <v>544</v>
      </c>
      <c r="B110">
        <v>29272.98</v>
      </c>
      <c r="C110">
        <v>2634.5682000000002</v>
      </c>
      <c r="D110">
        <v>2049.1086</v>
      </c>
      <c r="E110">
        <v>585.45960000000002</v>
      </c>
      <c r="F110" s="39" t="str">
        <f>+VLOOKUP(A110,'Modelo Datos'!D:AD,27,0)</f>
        <v>B83478495</v>
      </c>
      <c r="G110" s="38">
        <f>+VLOOKUP(A110,'Modelo Datos'!D:F,3,0)</f>
        <v>46042</v>
      </c>
      <c r="H110" t="str">
        <f>+VLOOKUP(A110,'Modelo Datos'!D:AD,19,0)</f>
        <v>ALLIANZ</v>
      </c>
      <c r="I110">
        <f>+VLOOKUP(A110,'Modelo Datos'!D:AD,10,0)</f>
        <v>0</v>
      </c>
      <c r="J110">
        <f>+VLOOKUP(A110,'Modelo Datos'!D:AD,13,0)</f>
        <v>0</v>
      </c>
    </row>
    <row r="111" spans="1:10" x14ac:dyDescent="0.35">
      <c r="A111" t="s">
        <v>547</v>
      </c>
      <c r="B111">
        <v>3667.07</v>
      </c>
      <c r="C111">
        <v>440.04840000000002</v>
      </c>
      <c r="D111">
        <v>330.03630000000004</v>
      </c>
      <c r="E111">
        <v>110.0121</v>
      </c>
      <c r="F111" s="39" t="str">
        <f>+VLOOKUP(A111,'Modelo Datos'!D:AD,27,0)</f>
        <v>77518797B</v>
      </c>
      <c r="G111" s="38">
        <f>+VLOOKUP(A111,'Modelo Datos'!D:F,3,0)</f>
        <v>46042</v>
      </c>
      <c r="H111" t="str">
        <f>+VLOOKUP(A111,'Modelo Datos'!D:AD,19,0)</f>
        <v>MAPFRE</v>
      </c>
      <c r="I111">
        <f>+VLOOKUP(A111,'Modelo Datos'!D:AD,10,0)</f>
        <v>0</v>
      </c>
      <c r="J111">
        <f>+VLOOKUP(A111,'Modelo Datos'!D:AD,13,0)</f>
        <v>0</v>
      </c>
    </row>
    <row r="112" spans="1:10" x14ac:dyDescent="0.35">
      <c r="A112" t="s">
        <v>550</v>
      </c>
      <c r="B112">
        <v>2550.27</v>
      </c>
      <c r="C112">
        <v>255.02700000000002</v>
      </c>
      <c r="D112">
        <v>204.02160000000001</v>
      </c>
      <c r="E112">
        <v>51.005400000000002</v>
      </c>
      <c r="F112" s="39" t="str">
        <f>+VLOOKUP(A112,'Modelo Datos'!D:AD,27,0)</f>
        <v>21066346W</v>
      </c>
      <c r="G112" s="38">
        <f>+VLOOKUP(A112,'Modelo Datos'!D:F,3,0)</f>
        <v>46042</v>
      </c>
      <c r="H112" t="str">
        <f>+VLOOKUP(A112,'Modelo Datos'!D:AD,19,0)</f>
        <v>MAPFRE</v>
      </c>
      <c r="I112">
        <f>+VLOOKUP(A112,'Modelo Datos'!D:AD,10,0)</f>
        <v>0</v>
      </c>
      <c r="J112">
        <f>+VLOOKUP(A112,'Modelo Datos'!D:AD,13,0)</f>
        <v>0</v>
      </c>
    </row>
    <row r="113" spans="1:10" x14ac:dyDescent="0.35">
      <c r="A113" t="s">
        <v>553</v>
      </c>
      <c r="B113">
        <v>1897.24</v>
      </c>
      <c r="C113">
        <v>227.6688</v>
      </c>
      <c r="D113">
        <v>170.7516</v>
      </c>
      <c r="E113">
        <v>56.917200000000001</v>
      </c>
      <c r="F113" s="39" t="str">
        <f>+VLOOKUP(A113,'Modelo Datos'!D:AD,27,0)</f>
        <v>29041111T</v>
      </c>
      <c r="G113" s="38">
        <f>+VLOOKUP(A113,'Modelo Datos'!D:F,3,0)</f>
        <v>46042</v>
      </c>
      <c r="H113" t="str">
        <f>+VLOOKUP(A113,'Modelo Datos'!D:AD,19,0)</f>
        <v>MAPFRE</v>
      </c>
      <c r="I113">
        <f>+VLOOKUP(A113,'Modelo Datos'!D:AD,10,0)</f>
        <v>0</v>
      </c>
      <c r="J113">
        <f>+VLOOKUP(A113,'Modelo Datos'!D:AD,13,0)</f>
        <v>0</v>
      </c>
    </row>
    <row r="114" spans="1:10" x14ac:dyDescent="0.35">
      <c r="A114" t="s">
        <v>556</v>
      </c>
      <c r="B114">
        <v>16008.48</v>
      </c>
      <c r="C114">
        <v>1600.848</v>
      </c>
      <c r="D114">
        <v>1280.6784</v>
      </c>
      <c r="E114">
        <v>320.1696</v>
      </c>
      <c r="F114" s="39" t="str">
        <f>+VLOOKUP(A114,'Modelo Datos'!D:AD,27,0)</f>
        <v>29061592B</v>
      </c>
      <c r="G114" s="38">
        <f>+VLOOKUP(A114,'Modelo Datos'!D:F,3,0)</f>
        <v>46042</v>
      </c>
      <c r="H114" t="str">
        <f>+VLOOKUP(A114,'Modelo Datos'!D:AD,19,0)</f>
        <v>MAPFRE</v>
      </c>
      <c r="I114">
        <f>+VLOOKUP(A114,'Modelo Datos'!D:AD,10,0)</f>
        <v>0</v>
      </c>
      <c r="J114">
        <f>+VLOOKUP(A114,'Modelo Datos'!D:AD,13,0)</f>
        <v>0</v>
      </c>
    </row>
    <row r="115" spans="1:10" x14ac:dyDescent="0.35">
      <c r="A115" t="s">
        <v>559</v>
      </c>
      <c r="B115">
        <v>769589.92</v>
      </c>
      <c r="C115">
        <v>138526.1856</v>
      </c>
      <c r="D115">
        <v>115438.488</v>
      </c>
      <c r="E115">
        <v>23087.6976</v>
      </c>
      <c r="F115" s="39" t="str">
        <f>+VLOOKUP(A115,'Modelo Datos'!D:AD,27,0)</f>
        <v>B30879480</v>
      </c>
      <c r="G115" s="38">
        <f>+VLOOKUP(A115,'Modelo Datos'!D:F,3,0)</f>
        <v>46042</v>
      </c>
      <c r="H115" t="str">
        <f>+VLOOKUP(A115,'Modelo Datos'!D:AD,19,0)</f>
        <v>MAPFRE</v>
      </c>
      <c r="I115" t="str">
        <f>+VLOOKUP(A115,'Modelo Datos'!D:AD,10,0)</f>
        <v>El Ciruelo</v>
      </c>
      <c r="J115">
        <f>+VLOOKUP(A115,'Modelo Datos'!D:AD,13,0)</f>
        <v>130830.2956</v>
      </c>
    </row>
    <row r="116" spans="1:10" x14ac:dyDescent="0.35">
      <c r="A116" t="s">
        <v>562</v>
      </c>
      <c r="B116">
        <v>287104.96000000002</v>
      </c>
      <c r="C116">
        <v>66034.140800000008</v>
      </c>
      <c r="D116">
        <v>57420.992000000006</v>
      </c>
      <c r="E116">
        <v>8613.1488000000008</v>
      </c>
      <c r="F116" s="39" t="str">
        <f>+VLOOKUP(A116,'Modelo Datos'!D:AD,27,0)</f>
        <v>B73767238</v>
      </c>
      <c r="G116" s="38">
        <f>+VLOOKUP(A116,'Modelo Datos'!D:F,3,0)</f>
        <v>46042</v>
      </c>
      <c r="H116" t="str">
        <f>+VLOOKUP(A116,'Modelo Datos'!D:AD,19,0)</f>
        <v>MAPFRE</v>
      </c>
      <c r="I116" t="str">
        <f>+VLOOKUP(A116,'Modelo Datos'!D:AD,10,0)</f>
        <v>El Ciruelo</v>
      </c>
      <c r="J116">
        <f>+VLOOKUP(A116,'Modelo Datos'!D:AD,13,0)</f>
        <v>63163.090800000005</v>
      </c>
    </row>
    <row r="117" spans="1:10" x14ac:dyDescent="0.35">
      <c r="A117" t="s">
        <v>565</v>
      </c>
      <c r="B117">
        <v>1494124.27</v>
      </c>
      <c r="C117">
        <v>44823.7281</v>
      </c>
      <c r="D117">
        <v>0</v>
      </c>
      <c r="E117">
        <v>44823.7281</v>
      </c>
      <c r="F117" s="39" t="str">
        <f>+VLOOKUP(A117,'Modelo Datos'!D:AD,27,0)</f>
        <v>B73311326</v>
      </c>
      <c r="G117" s="38">
        <f>+VLOOKUP(A117,'Modelo Datos'!D:F,3,0)</f>
        <v>46042</v>
      </c>
      <c r="H117" t="str">
        <f>+VLOOKUP(A117,'Modelo Datos'!D:AD,19,0)</f>
        <v>MAPFRE</v>
      </c>
      <c r="I117" t="str">
        <f>+VLOOKUP(A117,'Modelo Datos'!D:AD,10,0)</f>
        <v>El Ciruelo</v>
      </c>
      <c r="J117">
        <f>+VLOOKUP(A117,'Modelo Datos'!D:AD,13,0)</f>
        <v>29882.488100000002</v>
      </c>
    </row>
    <row r="118" spans="1:10" x14ac:dyDescent="0.35">
      <c r="A118" t="s">
        <v>568</v>
      </c>
      <c r="B118">
        <v>19654.61</v>
      </c>
      <c r="C118">
        <v>2358.5532000000003</v>
      </c>
      <c r="D118">
        <v>1965.461</v>
      </c>
      <c r="E118">
        <v>393.09220000000005</v>
      </c>
      <c r="F118" s="39" t="str">
        <f>+VLOOKUP(A118,'Modelo Datos'!D:AD,27,0)</f>
        <v>74286831M</v>
      </c>
      <c r="G118" s="38">
        <f>+VLOOKUP(A118,'Modelo Datos'!D:F,3,0)</f>
        <v>46042</v>
      </c>
      <c r="H118" t="str">
        <f>+VLOOKUP(A118,'Modelo Datos'!D:AD,19,0)</f>
        <v>ALLIANZ</v>
      </c>
      <c r="I118">
        <f>+VLOOKUP(A118,'Modelo Datos'!D:AD,10,0)</f>
        <v>0</v>
      </c>
      <c r="J118">
        <f>+VLOOKUP(A118,'Modelo Datos'!D:AD,13,0)</f>
        <v>0</v>
      </c>
    </row>
    <row r="119" spans="1:10" x14ac:dyDescent="0.35">
      <c r="A119" t="s">
        <v>571</v>
      </c>
      <c r="B119">
        <v>97031.51</v>
      </c>
      <c r="C119">
        <v>2910.9452999999999</v>
      </c>
      <c r="D119">
        <v>0</v>
      </c>
      <c r="E119">
        <v>2910.9452999999999</v>
      </c>
      <c r="F119" s="39" t="str">
        <f>+VLOOKUP(A119,'Modelo Datos'!D:AD,27,0)</f>
        <v>B42949636</v>
      </c>
      <c r="G119" s="38">
        <f>+VLOOKUP(A119,'Modelo Datos'!D:F,3,0)</f>
        <v>46042</v>
      </c>
      <c r="H119" t="str">
        <f>+VLOOKUP(A119,'Modelo Datos'!D:AD,19,0)</f>
        <v>MAPFRE</v>
      </c>
      <c r="I119" t="str">
        <f>+VLOOKUP(A119,'Modelo Datos'!D:AD,10,0)</f>
        <v>El Ciruelo</v>
      </c>
      <c r="J119">
        <f>+VLOOKUP(A119,'Modelo Datos'!D:AD,13,0)</f>
        <v>1940.6352999999999</v>
      </c>
    </row>
    <row r="120" spans="1:10" x14ac:dyDescent="0.35">
      <c r="A120" t="s">
        <v>574</v>
      </c>
      <c r="B120">
        <v>341197.96</v>
      </c>
      <c r="C120">
        <v>75063.551200000002</v>
      </c>
      <c r="D120">
        <v>64827.612400000005</v>
      </c>
      <c r="E120">
        <v>10235.9388</v>
      </c>
      <c r="F120" s="39" t="str">
        <f>+VLOOKUP(A120,'Modelo Datos'!D:AD,27,0)</f>
        <v>B73767238</v>
      </c>
      <c r="G120" s="38">
        <f>+VLOOKUP(A120,'Modelo Datos'!D:F,3,0)</f>
        <v>46042</v>
      </c>
      <c r="H120" t="str">
        <f>+VLOOKUP(A120,'Modelo Datos'!D:AD,19,0)</f>
        <v>MAPFRE</v>
      </c>
      <c r="I120" t="str">
        <f>+VLOOKUP(A120,'Modelo Datos'!D:AD,10,0)</f>
        <v>El Ciruelo</v>
      </c>
      <c r="J120">
        <f>+VLOOKUP(A120,'Modelo Datos'!D:AD,13,0)</f>
        <v>71651.581200000001</v>
      </c>
    </row>
    <row r="121" spans="1:10" x14ac:dyDescent="0.35">
      <c r="A121" t="s">
        <v>576</v>
      </c>
      <c r="B121">
        <v>31482.23</v>
      </c>
      <c r="C121">
        <v>3463.0452999999998</v>
      </c>
      <c r="D121">
        <v>2518.5783999999999</v>
      </c>
      <c r="E121">
        <v>944.4668999999999</v>
      </c>
      <c r="F121" s="39" t="str">
        <f>+VLOOKUP(A121,'Modelo Datos'!D:AD,27,0)</f>
        <v>B73231680</v>
      </c>
      <c r="G121" s="38">
        <f>+VLOOKUP(A121,'Modelo Datos'!D:F,3,0)</f>
        <v>46042</v>
      </c>
      <c r="H121" t="str">
        <f>+VLOOKUP(A121,'Modelo Datos'!D:AD,19,0)</f>
        <v>MAPFRE</v>
      </c>
      <c r="I121" t="str">
        <f>+VLOOKUP(A121,'Modelo Datos'!D:AD,10,0)</f>
        <v>El Ciruelo</v>
      </c>
      <c r="J121">
        <f>+VLOOKUP(A121,'Modelo Datos'!D:AD,13,0)</f>
        <v>3148.2252999999996</v>
      </c>
    </row>
    <row r="122" spans="1:10" x14ac:dyDescent="0.35">
      <c r="A122" t="s">
        <v>579</v>
      </c>
      <c r="B122">
        <v>5321.27</v>
      </c>
      <c r="C122">
        <v>585.33969999999999</v>
      </c>
      <c r="D122">
        <v>425.70160000000004</v>
      </c>
      <c r="E122">
        <v>159.63810000000001</v>
      </c>
      <c r="F122" s="39" t="str">
        <f>+VLOOKUP(A122,'Modelo Datos'!D:AD,27,0)</f>
        <v>22406208E</v>
      </c>
      <c r="G122" s="38">
        <f>+VLOOKUP(A122,'Modelo Datos'!D:F,3,0)</f>
        <v>46044</v>
      </c>
      <c r="H122" t="str">
        <f>+VLOOKUP(A122,'Modelo Datos'!D:AD,19,0)</f>
        <v>MAPFRE</v>
      </c>
      <c r="I122">
        <f>+VLOOKUP(A122,'Modelo Datos'!D:AD,10,0)</f>
        <v>0</v>
      </c>
      <c r="J122">
        <f>+VLOOKUP(A122,'Modelo Datos'!D:AD,13,0)</f>
        <v>0</v>
      </c>
    </row>
    <row r="123" spans="1:10" x14ac:dyDescent="0.35">
      <c r="A123" t="s">
        <v>582</v>
      </c>
      <c r="B123">
        <v>9046.2900000000009</v>
      </c>
      <c r="C123">
        <v>633.24030000000005</v>
      </c>
      <c r="D123">
        <v>361.85160000000002</v>
      </c>
      <c r="E123">
        <v>271.38870000000003</v>
      </c>
      <c r="F123" s="39" t="str">
        <f>+VLOOKUP(A123,'Modelo Datos'!D:AD,27,0)</f>
        <v>74341855J</v>
      </c>
      <c r="G123" s="38">
        <f>+VLOOKUP(A123,'Modelo Datos'!D:F,3,0)</f>
        <v>46044</v>
      </c>
      <c r="H123" t="str">
        <f>+VLOOKUP(A123,'Modelo Datos'!D:AD,19,0)</f>
        <v>MAPFRE</v>
      </c>
      <c r="I123">
        <f>+VLOOKUP(A123,'Modelo Datos'!D:AD,10,0)</f>
        <v>0</v>
      </c>
      <c r="J123">
        <f>+VLOOKUP(A123,'Modelo Datos'!D:AD,13,0)</f>
        <v>0</v>
      </c>
    </row>
    <row r="124" spans="1:10" x14ac:dyDescent="0.35">
      <c r="A124" t="s">
        <v>585</v>
      </c>
      <c r="B124">
        <v>8386.11</v>
      </c>
      <c r="C124">
        <v>587.0277000000001</v>
      </c>
      <c r="D124">
        <v>419.30550000000005</v>
      </c>
      <c r="E124">
        <v>167.72220000000002</v>
      </c>
      <c r="F124" s="39" t="str">
        <f>+VLOOKUP(A124,'Modelo Datos'!D:AD,27,0)</f>
        <v>22424706M</v>
      </c>
      <c r="G124" s="38">
        <f>+VLOOKUP(A124,'Modelo Datos'!D:F,3,0)</f>
        <v>46044</v>
      </c>
      <c r="H124" t="str">
        <f>+VLOOKUP(A124,'Modelo Datos'!D:AD,19,0)</f>
        <v>ALLIANZ</v>
      </c>
      <c r="I124">
        <f>+VLOOKUP(A124,'Modelo Datos'!D:AD,10,0)</f>
        <v>0</v>
      </c>
      <c r="J124">
        <f>+VLOOKUP(A124,'Modelo Datos'!D:AD,13,0)</f>
        <v>0</v>
      </c>
    </row>
    <row r="125" spans="1:10" x14ac:dyDescent="0.35">
      <c r="A125" t="s">
        <v>588</v>
      </c>
      <c r="B125">
        <v>39246.47</v>
      </c>
      <c r="C125">
        <v>3139.7175999999999</v>
      </c>
      <c r="D125">
        <v>2354.7882</v>
      </c>
      <c r="E125">
        <v>784.92939999999999</v>
      </c>
      <c r="F125" s="39" t="str">
        <f>+VLOOKUP(A125,'Modelo Datos'!D:AD,27,0)</f>
        <v>B05514625</v>
      </c>
      <c r="G125" s="38">
        <f>+VLOOKUP(A125,'Modelo Datos'!D:F,3,0)</f>
        <v>46044</v>
      </c>
      <c r="H125" t="str">
        <f>+VLOOKUP(A125,'Modelo Datos'!D:AD,19,0)</f>
        <v>ALLIANZ</v>
      </c>
      <c r="I125">
        <f>+VLOOKUP(A125,'Modelo Datos'!D:AD,10,0)</f>
        <v>0</v>
      </c>
      <c r="J125">
        <f>+VLOOKUP(A125,'Modelo Datos'!D:AD,13,0)</f>
        <v>0</v>
      </c>
    </row>
    <row r="126" spans="1:10" x14ac:dyDescent="0.35">
      <c r="A126" t="s">
        <v>591</v>
      </c>
      <c r="B126">
        <v>60628.32</v>
      </c>
      <c r="C126">
        <v>7275.3983999999991</v>
      </c>
      <c r="D126">
        <v>6062.8319999999994</v>
      </c>
      <c r="E126">
        <v>1212.5663999999999</v>
      </c>
      <c r="F126" s="39" t="str">
        <f>+VLOOKUP(A126,'Modelo Datos'!D:AD,27,0)</f>
        <v>48399512Z</v>
      </c>
      <c r="G126" s="38">
        <f>+VLOOKUP(A126,'Modelo Datos'!D:F,3,0)</f>
        <v>46044</v>
      </c>
      <c r="H126" t="str">
        <f>+VLOOKUP(A126,'Modelo Datos'!D:AD,19,0)</f>
        <v>MAPFRE</v>
      </c>
      <c r="I126">
        <f>+VLOOKUP(A126,'Modelo Datos'!D:AD,10,0)</f>
        <v>0</v>
      </c>
      <c r="J126">
        <f>+VLOOKUP(A126,'Modelo Datos'!D:AD,13,0)</f>
        <v>0</v>
      </c>
    </row>
    <row r="127" spans="1:10" x14ac:dyDescent="0.35">
      <c r="A127" t="s">
        <v>594</v>
      </c>
      <c r="B127">
        <v>48204.32</v>
      </c>
      <c r="C127">
        <v>4820.4319999999998</v>
      </c>
      <c r="D127">
        <v>3856.3456000000001</v>
      </c>
      <c r="E127">
        <v>964.08640000000003</v>
      </c>
      <c r="F127" s="39" t="str">
        <f>+VLOOKUP(A127,'Modelo Datos'!D:AD,27,0)</f>
        <v>V30218135</v>
      </c>
      <c r="G127" s="38">
        <f>+VLOOKUP(A127,'Modelo Datos'!D:F,3,0)</f>
        <v>46044</v>
      </c>
      <c r="H127" t="str">
        <f>+VLOOKUP(A127,'Modelo Datos'!D:AD,19,0)</f>
        <v>MAPFRE</v>
      </c>
      <c r="I127">
        <f>+VLOOKUP(A127,'Modelo Datos'!D:AD,10,0)</f>
        <v>0</v>
      </c>
      <c r="J127">
        <f>+VLOOKUP(A127,'Modelo Datos'!D:AD,13,0)</f>
        <v>0</v>
      </c>
    </row>
    <row r="128" spans="1:10" x14ac:dyDescent="0.35">
      <c r="A128" t="s">
        <v>597</v>
      </c>
      <c r="B128">
        <v>23380.69</v>
      </c>
      <c r="C128">
        <v>2338.069</v>
      </c>
      <c r="D128">
        <v>1870.4551999999999</v>
      </c>
      <c r="E128">
        <v>467.61379999999997</v>
      </c>
      <c r="F128" s="39" t="str">
        <f>+VLOOKUP(A128,'Modelo Datos'!D:AD,27,0)</f>
        <v>48393075V</v>
      </c>
      <c r="G128" s="38">
        <f>+VLOOKUP(A128,'Modelo Datos'!D:F,3,0)</f>
        <v>46044</v>
      </c>
      <c r="H128" t="str">
        <f>+VLOOKUP(A128,'Modelo Datos'!D:AD,19,0)</f>
        <v>MAPFRE</v>
      </c>
      <c r="I128">
        <f>+VLOOKUP(A128,'Modelo Datos'!D:AD,10,0)</f>
        <v>0</v>
      </c>
      <c r="J128">
        <f>+VLOOKUP(A128,'Modelo Datos'!D:AD,13,0)</f>
        <v>0</v>
      </c>
    </row>
    <row r="129" spans="1:10" x14ac:dyDescent="0.35">
      <c r="A129" t="s">
        <v>600</v>
      </c>
      <c r="B129">
        <v>33394.769999999997</v>
      </c>
      <c r="C129">
        <v>3339.4769999999994</v>
      </c>
      <c r="D129">
        <v>2671.5815999999995</v>
      </c>
      <c r="E129">
        <v>667.8954</v>
      </c>
      <c r="F129" s="39" t="str">
        <f>+VLOOKUP(A129,'Modelo Datos'!D:AD,27,0)</f>
        <v>48399513S</v>
      </c>
      <c r="G129" s="38">
        <f>+VLOOKUP(A129,'Modelo Datos'!D:F,3,0)</f>
        <v>46044</v>
      </c>
      <c r="H129" t="str">
        <f>+VLOOKUP(A129,'Modelo Datos'!D:AD,19,0)</f>
        <v>MAPFRE</v>
      </c>
      <c r="I129">
        <f>+VLOOKUP(A129,'Modelo Datos'!D:AD,10,0)</f>
        <v>0</v>
      </c>
      <c r="J129">
        <f>+VLOOKUP(A129,'Modelo Datos'!D:AD,13,0)</f>
        <v>0</v>
      </c>
    </row>
    <row r="130" spans="1:10" x14ac:dyDescent="0.35">
      <c r="A130" t="s">
        <v>603</v>
      </c>
      <c r="B130">
        <v>53763.05</v>
      </c>
      <c r="C130">
        <v>8602.0880000000016</v>
      </c>
      <c r="D130">
        <v>7526.8270000000011</v>
      </c>
      <c r="E130">
        <v>1075.261</v>
      </c>
      <c r="F130" s="39" t="str">
        <f>+VLOOKUP(A130,'Modelo Datos'!D:AD,27,0)</f>
        <v>48393076H</v>
      </c>
      <c r="G130" s="38">
        <f>+VLOOKUP(A130,'Modelo Datos'!D:F,3,0)</f>
        <v>46044</v>
      </c>
      <c r="H130" t="str">
        <f>+VLOOKUP(A130,'Modelo Datos'!D:AD,19,0)</f>
        <v>MAPFRE</v>
      </c>
      <c r="I130">
        <f>+VLOOKUP(A130,'Modelo Datos'!D:AD,10,0)</f>
        <v>0</v>
      </c>
      <c r="J130">
        <f>+VLOOKUP(A130,'Modelo Datos'!D:AD,13,0)</f>
        <v>0</v>
      </c>
    </row>
    <row r="131" spans="1:10" x14ac:dyDescent="0.35">
      <c r="A131" t="s">
        <v>606</v>
      </c>
      <c r="B131">
        <v>9713.36</v>
      </c>
      <c r="C131">
        <v>1554.1376</v>
      </c>
      <c r="D131">
        <v>1359.8704</v>
      </c>
      <c r="E131">
        <v>194.2672</v>
      </c>
      <c r="F131" s="39" t="str">
        <f>+VLOOKUP(A131,'Modelo Datos'!D:AD,27,0)</f>
        <v>B73486839</v>
      </c>
      <c r="G131" s="38">
        <f>+VLOOKUP(A131,'Modelo Datos'!D:F,3,0)</f>
        <v>46044</v>
      </c>
      <c r="H131" t="str">
        <f>+VLOOKUP(A131,'Modelo Datos'!D:AD,19,0)</f>
        <v>MAPFRE</v>
      </c>
      <c r="I131">
        <f>+VLOOKUP(A131,'Modelo Datos'!D:AD,10,0)</f>
        <v>0</v>
      </c>
      <c r="J131">
        <f>+VLOOKUP(A131,'Modelo Datos'!D:AD,13,0)</f>
        <v>0</v>
      </c>
    </row>
    <row r="132" spans="1:10" x14ac:dyDescent="0.35">
      <c r="A132" t="s">
        <v>609</v>
      </c>
      <c r="B132">
        <v>12205.62</v>
      </c>
      <c r="C132">
        <v>1220.5620000000001</v>
      </c>
      <c r="D132">
        <v>976.44960000000003</v>
      </c>
      <c r="E132">
        <v>244.11240000000001</v>
      </c>
      <c r="F132" s="39" t="str">
        <f>+VLOOKUP(A132,'Modelo Datos'!D:AD,27,0)</f>
        <v>48649067L</v>
      </c>
      <c r="G132" s="38">
        <f>+VLOOKUP(A132,'Modelo Datos'!D:F,3,0)</f>
        <v>46044</v>
      </c>
      <c r="H132" t="str">
        <f>+VLOOKUP(A132,'Modelo Datos'!D:AD,19,0)</f>
        <v>MAPFRE</v>
      </c>
      <c r="I132">
        <f>+VLOOKUP(A132,'Modelo Datos'!D:AD,10,0)</f>
        <v>0</v>
      </c>
      <c r="J132">
        <f>+VLOOKUP(A132,'Modelo Datos'!D:AD,13,0)</f>
        <v>0</v>
      </c>
    </row>
    <row r="133" spans="1:10" x14ac:dyDescent="0.35">
      <c r="A133" t="s">
        <v>612</v>
      </c>
      <c r="B133">
        <v>22151.33</v>
      </c>
      <c r="C133">
        <v>2768.9162500000002</v>
      </c>
      <c r="D133">
        <v>2325.8896500000001</v>
      </c>
      <c r="E133">
        <v>443.02660000000003</v>
      </c>
      <c r="F133" s="39" t="str">
        <f>+VLOOKUP(A133,'Modelo Datos'!D:AD,27,0)</f>
        <v>B73706558</v>
      </c>
      <c r="G133" s="38">
        <f>+VLOOKUP(A133,'Modelo Datos'!D:F,3,0)</f>
        <v>46044</v>
      </c>
      <c r="H133" t="str">
        <f>+VLOOKUP(A133,'Modelo Datos'!D:AD,19,0)</f>
        <v>MAPFRE</v>
      </c>
      <c r="I133">
        <f>+VLOOKUP(A133,'Modelo Datos'!D:AD,10,0)</f>
        <v>0</v>
      </c>
      <c r="J133">
        <f>+VLOOKUP(A133,'Modelo Datos'!D:AD,13,0)</f>
        <v>0</v>
      </c>
    </row>
    <row r="134" spans="1:10" x14ac:dyDescent="0.35">
      <c r="A134" t="s">
        <v>615</v>
      </c>
      <c r="B134">
        <v>2950.41</v>
      </c>
      <c r="C134">
        <v>295.041</v>
      </c>
      <c r="D134">
        <v>236.03279999999998</v>
      </c>
      <c r="E134">
        <v>59.008199999999995</v>
      </c>
      <c r="F134" s="39" t="str">
        <f>+VLOOKUP(A134,'Modelo Datos'!D:AD,27,0)</f>
        <v>77522475D</v>
      </c>
      <c r="G134" s="38">
        <f>+VLOOKUP(A134,'Modelo Datos'!D:F,3,0)</f>
        <v>46044</v>
      </c>
      <c r="H134" t="str">
        <f>+VLOOKUP(A134,'Modelo Datos'!D:AD,19,0)</f>
        <v>MAPFRE</v>
      </c>
      <c r="I134">
        <f>+VLOOKUP(A134,'Modelo Datos'!D:AD,10,0)</f>
        <v>0</v>
      </c>
      <c r="J134">
        <f>+VLOOKUP(A134,'Modelo Datos'!D:AD,13,0)</f>
        <v>0</v>
      </c>
    </row>
    <row r="135" spans="1:10" x14ac:dyDescent="0.35">
      <c r="A135" t="s">
        <v>618</v>
      </c>
      <c r="B135">
        <v>46016</v>
      </c>
      <c r="C135">
        <v>5061.76</v>
      </c>
      <c r="D135">
        <v>3681.28</v>
      </c>
      <c r="E135">
        <v>1380.48</v>
      </c>
      <c r="F135" s="39" t="str">
        <f>+VLOOKUP(A135,'Modelo Datos'!D:AD,27,0)</f>
        <v>B73804593</v>
      </c>
      <c r="G135" s="38">
        <f>+VLOOKUP(A135,'Modelo Datos'!D:F,3,0)</f>
        <v>46044</v>
      </c>
      <c r="H135" t="str">
        <f>+VLOOKUP(A135,'Modelo Datos'!D:AD,19,0)</f>
        <v>MAPFRE</v>
      </c>
      <c r="I135">
        <f>+VLOOKUP(A135,'Modelo Datos'!D:AD,10,0)</f>
        <v>0</v>
      </c>
      <c r="J135">
        <f>+VLOOKUP(A135,'Modelo Datos'!D:AD,13,0)</f>
        <v>0</v>
      </c>
    </row>
    <row r="136" spans="1:10" x14ac:dyDescent="0.35">
      <c r="A136" t="s">
        <v>621</v>
      </c>
      <c r="B136">
        <v>43663.32</v>
      </c>
      <c r="C136">
        <v>5239.5983999999999</v>
      </c>
      <c r="D136">
        <v>3929.6988000000001</v>
      </c>
      <c r="E136">
        <v>1309.8996</v>
      </c>
      <c r="F136" s="39" t="str">
        <f>+VLOOKUP(A136,'Modelo Datos'!D:AD,27,0)</f>
        <v>E73809543</v>
      </c>
      <c r="G136" s="38">
        <f>+VLOOKUP(A136,'Modelo Datos'!D:F,3,0)</f>
        <v>46044</v>
      </c>
      <c r="H136" t="str">
        <f>+VLOOKUP(A136,'Modelo Datos'!D:AD,19,0)</f>
        <v>ALLIANZ</v>
      </c>
      <c r="I136">
        <f>+VLOOKUP(A136,'Modelo Datos'!D:AD,10,0)</f>
        <v>0</v>
      </c>
      <c r="J136">
        <f>+VLOOKUP(A136,'Modelo Datos'!D:AD,13,0)</f>
        <v>0</v>
      </c>
    </row>
    <row r="137" spans="1:10" x14ac:dyDescent="0.35">
      <c r="A137" t="s">
        <v>624</v>
      </c>
      <c r="B137">
        <v>6881.37</v>
      </c>
      <c r="C137">
        <v>756.95069999999998</v>
      </c>
      <c r="D137">
        <v>550.50959999999998</v>
      </c>
      <c r="E137">
        <v>206.44109999999998</v>
      </c>
      <c r="F137" s="39" t="str">
        <f>+VLOOKUP(A137,'Modelo Datos'!D:AD,27,0)</f>
        <v>X4142417W</v>
      </c>
      <c r="G137" s="38">
        <f>+VLOOKUP(A137,'Modelo Datos'!D:F,3,0)</f>
        <v>46045</v>
      </c>
      <c r="H137" t="str">
        <f>+VLOOKUP(A137,'Modelo Datos'!D:AD,19,0)</f>
        <v>MAPFRE</v>
      </c>
      <c r="I137">
        <f>+VLOOKUP(A137,'Modelo Datos'!D:AD,10,0)</f>
        <v>0</v>
      </c>
      <c r="J137">
        <f>+VLOOKUP(A137,'Modelo Datos'!D:AD,13,0)</f>
        <v>0</v>
      </c>
    </row>
    <row r="138" spans="1:10" x14ac:dyDescent="0.35">
      <c r="A138" t="s">
        <v>627</v>
      </c>
      <c r="B138">
        <v>9003.65</v>
      </c>
      <c r="C138">
        <v>990.40149999999994</v>
      </c>
      <c r="D138">
        <v>720.29199999999992</v>
      </c>
      <c r="E138">
        <v>270.10949999999997</v>
      </c>
      <c r="F138" s="39" t="str">
        <f>+VLOOKUP(A138,'Modelo Datos'!D:AD,27,0)</f>
        <v>48664087C</v>
      </c>
      <c r="G138" s="38">
        <f>+VLOOKUP(A138,'Modelo Datos'!D:F,3,0)</f>
        <v>46045</v>
      </c>
      <c r="H138" t="str">
        <f>+VLOOKUP(A138,'Modelo Datos'!D:AD,19,0)</f>
        <v>MAPFRE</v>
      </c>
      <c r="I138">
        <f>+VLOOKUP(A138,'Modelo Datos'!D:AD,10,0)</f>
        <v>0</v>
      </c>
      <c r="J138">
        <f>+VLOOKUP(A138,'Modelo Datos'!D:AD,13,0)</f>
        <v>0</v>
      </c>
    </row>
    <row r="139" spans="1:10" x14ac:dyDescent="0.35">
      <c r="A139" t="s">
        <v>630</v>
      </c>
      <c r="B139">
        <v>18305.64</v>
      </c>
      <c r="C139">
        <v>2013.6203999999998</v>
      </c>
      <c r="D139">
        <v>1464.4512</v>
      </c>
      <c r="E139">
        <v>549.16919999999993</v>
      </c>
      <c r="F139" s="39" t="str">
        <f>+VLOOKUP(A139,'Modelo Datos'!D:AD,27,0)</f>
        <v>E73702078</v>
      </c>
      <c r="G139" s="38">
        <f>+VLOOKUP(A139,'Modelo Datos'!D:F,3,0)</f>
        <v>46045</v>
      </c>
      <c r="H139" t="str">
        <f>+VLOOKUP(A139,'Modelo Datos'!D:AD,19,0)</f>
        <v>MAPFRE</v>
      </c>
      <c r="I139">
        <f>+VLOOKUP(A139,'Modelo Datos'!D:AD,10,0)</f>
        <v>0</v>
      </c>
      <c r="J139">
        <f>+VLOOKUP(A139,'Modelo Datos'!D:AD,13,0)</f>
        <v>0</v>
      </c>
    </row>
    <row r="140" spans="1:10" x14ac:dyDescent="0.35">
      <c r="A140" t="s">
        <v>633</v>
      </c>
      <c r="B140">
        <v>9281.7099999999991</v>
      </c>
      <c r="C140">
        <v>1020.9880999999999</v>
      </c>
      <c r="D140">
        <v>742.53679999999997</v>
      </c>
      <c r="E140">
        <v>278.45129999999995</v>
      </c>
      <c r="F140" s="39" t="str">
        <f>+VLOOKUP(A140,'Modelo Datos'!D:AD,27,0)</f>
        <v>77568653A</v>
      </c>
      <c r="G140" s="38">
        <f>+VLOOKUP(A140,'Modelo Datos'!D:F,3,0)</f>
        <v>46045</v>
      </c>
      <c r="H140" t="str">
        <f>+VLOOKUP(A140,'Modelo Datos'!D:AD,19,0)</f>
        <v>MAPFRE</v>
      </c>
      <c r="I140">
        <f>+VLOOKUP(A140,'Modelo Datos'!D:AD,10,0)</f>
        <v>0</v>
      </c>
      <c r="J140">
        <f>+VLOOKUP(A140,'Modelo Datos'!D:AD,13,0)</f>
        <v>0</v>
      </c>
    </row>
    <row r="141" spans="1:10" x14ac:dyDescent="0.35">
      <c r="A141" t="s">
        <v>636</v>
      </c>
      <c r="B141">
        <v>511.23</v>
      </c>
      <c r="C141">
        <v>30.6738</v>
      </c>
      <c r="D141">
        <v>20.449200000000001</v>
      </c>
      <c r="E141">
        <v>10.224600000000001</v>
      </c>
      <c r="F141" s="39" t="str">
        <f>+VLOOKUP(A141,'Modelo Datos'!D:AD,27,0)</f>
        <v>B14771331</v>
      </c>
      <c r="G141" s="38">
        <f>+VLOOKUP(A141,'Modelo Datos'!D:F,3,0)</f>
        <v>46045</v>
      </c>
      <c r="H141" t="str">
        <f>+VLOOKUP(A141,'Modelo Datos'!D:AD,19,0)</f>
        <v>OCCIDENT</v>
      </c>
      <c r="I141">
        <f>+VLOOKUP(A141,'Modelo Datos'!D:AD,10,0)</f>
        <v>0</v>
      </c>
      <c r="J141">
        <f>+VLOOKUP(A141,'Modelo Datos'!D:AD,13,0)</f>
        <v>0</v>
      </c>
    </row>
    <row r="142" spans="1:10" x14ac:dyDescent="0.35">
      <c r="A142" t="s">
        <v>637</v>
      </c>
      <c r="B142">
        <v>3628.99</v>
      </c>
      <c r="C142">
        <v>217.73939999999999</v>
      </c>
      <c r="D142">
        <v>145.15959999999998</v>
      </c>
      <c r="E142">
        <v>72.579799999999992</v>
      </c>
      <c r="F142" s="39" t="str">
        <f>+VLOOKUP(A142,'Modelo Datos'!D:AD,27,0)</f>
        <v>B14771331</v>
      </c>
      <c r="G142" s="38">
        <f>+VLOOKUP(A142,'Modelo Datos'!D:F,3,0)</f>
        <v>46045</v>
      </c>
      <c r="H142" t="str">
        <f>+VLOOKUP(A142,'Modelo Datos'!D:AD,19,0)</f>
        <v>OCCIDENT</v>
      </c>
      <c r="I142">
        <f>+VLOOKUP(A142,'Modelo Datos'!D:AD,10,0)</f>
        <v>0</v>
      </c>
      <c r="J142">
        <f>+VLOOKUP(A142,'Modelo Datos'!D:AD,13,0)</f>
        <v>0</v>
      </c>
    </row>
    <row r="143" spans="1:10" x14ac:dyDescent="0.35">
      <c r="A143" t="s">
        <v>638</v>
      </c>
      <c r="B143">
        <v>7517.07</v>
      </c>
      <c r="C143">
        <v>1127.5605</v>
      </c>
      <c r="D143">
        <v>902.04840000000002</v>
      </c>
      <c r="E143">
        <v>225.51209999999998</v>
      </c>
      <c r="F143" s="39" t="str">
        <f>+VLOOKUP(A143,'Modelo Datos'!D:AD,27,0)</f>
        <v>74221980Z</v>
      </c>
      <c r="G143" s="38">
        <f>+VLOOKUP(A143,'Modelo Datos'!D:F,3,0)</f>
        <v>46045</v>
      </c>
      <c r="H143" t="str">
        <f>+VLOOKUP(A143,'Modelo Datos'!D:AD,19,0)</f>
        <v>MAPFRE</v>
      </c>
      <c r="I143">
        <f>+VLOOKUP(A143,'Modelo Datos'!D:AD,10,0)</f>
        <v>0</v>
      </c>
      <c r="J143">
        <f>+VLOOKUP(A143,'Modelo Datos'!D:AD,13,0)</f>
        <v>0</v>
      </c>
    </row>
    <row r="144" spans="1:10" x14ac:dyDescent="0.35">
      <c r="A144" t="s">
        <v>641</v>
      </c>
      <c r="B144">
        <v>14576.02</v>
      </c>
      <c r="C144">
        <v>1457.6019999999999</v>
      </c>
      <c r="D144">
        <v>1166.0816</v>
      </c>
      <c r="E144">
        <v>291.5204</v>
      </c>
      <c r="F144" s="39" t="str">
        <f>+VLOOKUP(A144,'Modelo Datos'!D:AD,27,0)</f>
        <v>B30799712</v>
      </c>
      <c r="G144" s="38">
        <f>+VLOOKUP(A144,'Modelo Datos'!D:F,3,0)</f>
        <v>46048</v>
      </c>
      <c r="H144" t="str">
        <f>+VLOOKUP(A144,'Modelo Datos'!D:AD,19,0)</f>
        <v>OCCIDENT</v>
      </c>
      <c r="I144">
        <f>+VLOOKUP(A144,'Modelo Datos'!D:AD,10,0)</f>
        <v>0</v>
      </c>
      <c r="J144">
        <f>+VLOOKUP(A144,'Modelo Datos'!D:AD,13,0)</f>
        <v>0</v>
      </c>
    </row>
    <row r="145" spans="1:10" x14ac:dyDescent="0.35">
      <c r="A145" t="s">
        <v>643</v>
      </c>
      <c r="B145">
        <v>44400.79</v>
      </c>
      <c r="C145">
        <v>4884.0869000000002</v>
      </c>
      <c r="D145">
        <v>3552.0632000000001</v>
      </c>
      <c r="E145">
        <v>1332.0237</v>
      </c>
      <c r="F145" s="39" t="str">
        <f>+VLOOKUP(A145,'Modelo Datos'!D:AD,27,0)</f>
        <v>b03175072</v>
      </c>
      <c r="G145" s="38">
        <f>+VLOOKUP(A145,'Modelo Datos'!D:F,3,0)</f>
        <v>46048</v>
      </c>
      <c r="H145" t="str">
        <f>+VLOOKUP(A145,'Modelo Datos'!D:AD,19,0)</f>
        <v>MAPFRE</v>
      </c>
      <c r="I145">
        <f>+VLOOKUP(A145,'Modelo Datos'!D:AD,10,0)</f>
        <v>0</v>
      </c>
      <c r="J145">
        <f>+VLOOKUP(A145,'Modelo Datos'!D:AD,13,0)</f>
        <v>0</v>
      </c>
    </row>
    <row r="146" spans="1:10" x14ac:dyDescent="0.35">
      <c r="A146" t="s">
        <v>646</v>
      </c>
      <c r="B146">
        <v>6567.81</v>
      </c>
      <c r="C146">
        <v>722.45910000000003</v>
      </c>
      <c r="D146">
        <v>525.4248</v>
      </c>
      <c r="E146">
        <v>197.0343</v>
      </c>
      <c r="F146" s="39" t="str">
        <f>+VLOOKUP(A146,'Modelo Datos'!D:AD,27,0)</f>
        <v>49595362W</v>
      </c>
      <c r="G146" s="38">
        <f>+VLOOKUP(A146,'Modelo Datos'!D:F,3,0)</f>
        <v>46048</v>
      </c>
      <c r="H146" t="str">
        <f>+VLOOKUP(A146,'Modelo Datos'!D:AD,19,0)</f>
        <v>MAPFRE</v>
      </c>
      <c r="I146">
        <f>+VLOOKUP(A146,'Modelo Datos'!D:AD,10,0)</f>
        <v>0</v>
      </c>
      <c r="J146">
        <f>+VLOOKUP(A146,'Modelo Datos'!D:AD,13,0)</f>
        <v>0</v>
      </c>
    </row>
    <row r="147" spans="1:10" x14ac:dyDescent="0.35">
      <c r="A147" t="s">
        <v>649</v>
      </c>
      <c r="B147">
        <v>3316.96</v>
      </c>
      <c r="C147">
        <v>199.01760000000002</v>
      </c>
      <c r="D147">
        <v>132.67840000000001</v>
      </c>
      <c r="E147">
        <v>66.339200000000005</v>
      </c>
      <c r="F147" s="39" t="str">
        <f>+VLOOKUP(A147,'Modelo Datos'!D:AD,27,0)</f>
        <v>B14771331</v>
      </c>
      <c r="G147" s="38">
        <f>+VLOOKUP(A147,'Modelo Datos'!D:F,3,0)</f>
        <v>46052</v>
      </c>
      <c r="H147" t="str">
        <f>+VLOOKUP(A147,'Modelo Datos'!D:AD,19,0)</f>
        <v>OCCIDENT</v>
      </c>
      <c r="I147">
        <f>+VLOOKUP(A147,'Modelo Datos'!D:AD,10,0)</f>
        <v>0</v>
      </c>
      <c r="J147">
        <f>+VLOOKUP(A147,'Modelo Datos'!D:AD,13,0)</f>
        <v>0</v>
      </c>
    </row>
    <row r="148" spans="1:10" x14ac:dyDescent="0.35">
      <c r="A148" t="s">
        <v>650</v>
      </c>
      <c r="B148">
        <v>3959.95</v>
      </c>
      <c r="C148">
        <v>237.59699999999998</v>
      </c>
      <c r="D148">
        <v>158.398</v>
      </c>
      <c r="E148">
        <v>79.198999999999998</v>
      </c>
      <c r="F148" s="39" t="str">
        <f>+VLOOKUP(A148,'Modelo Datos'!D:AD,27,0)</f>
        <v>B14771331</v>
      </c>
      <c r="G148" s="38">
        <f>+VLOOKUP(A148,'Modelo Datos'!D:F,3,0)</f>
        <v>46052</v>
      </c>
      <c r="H148" t="str">
        <f>+VLOOKUP(A148,'Modelo Datos'!D:AD,19,0)</f>
        <v>OCCIDENT</v>
      </c>
      <c r="I148">
        <f>+VLOOKUP(A148,'Modelo Datos'!D:AD,10,0)</f>
        <v>0</v>
      </c>
      <c r="J148">
        <f>+VLOOKUP(A148,'Modelo Datos'!D:AD,13,0)</f>
        <v>0</v>
      </c>
    </row>
    <row r="149" spans="1:10" x14ac:dyDescent="0.35">
      <c r="A149" t="s">
        <v>92</v>
      </c>
      <c r="B149">
        <v>7730.15</v>
      </c>
      <c r="C149">
        <v>773.01499999999987</v>
      </c>
      <c r="D149">
        <v>618.41199999999992</v>
      </c>
      <c r="E149">
        <v>154.60300000000001</v>
      </c>
      <c r="F149" s="39" t="str">
        <f>+VLOOKUP(A149,'Modelo Datos'!D:AD,27,0)</f>
        <v>B30799712</v>
      </c>
      <c r="G149" s="38">
        <f>+VLOOKUP(A149,'Modelo Datos'!D:F,3,0)</f>
        <v>46057</v>
      </c>
      <c r="H149" t="str">
        <f>+VLOOKUP(A149,'Modelo Datos'!D:AD,19,0)</f>
        <v>OCCIDENT</v>
      </c>
      <c r="I149">
        <f>+VLOOKUP(A149,'Modelo Datos'!D:AD,10,0)</f>
        <v>0</v>
      </c>
      <c r="J149">
        <f>+VLOOKUP(A149,'Modelo Datos'!D:AD,13,0)</f>
        <v>0</v>
      </c>
    </row>
    <row r="150" spans="1:10" x14ac:dyDescent="0.35">
      <c r="A150" t="s">
        <v>104</v>
      </c>
      <c r="B150">
        <v>2899.02</v>
      </c>
      <c r="C150">
        <v>231.92159999999998</v>
      </c>
      <c r="D150">
        <v>173.94119999999998</v>
      </c>
      <c r="E150">
        <v>57.980400000000003</v>
      </c>
      <c r="F150" s="39" t="str">
        <f>+VLOOKUP(A150,'Modelo Datos'!D:AD,27,0)</f>
        <v>B14771331</v>
      </c>
      <c r="G150" s="38">
        <f>+VLOOKUP(A150,'Modelo Datos'!D:F,3,0)</f>
        <v>46059</v>
      </c>
      <c r="H150" t="str">
        <f>+VLOOKUP(A150,'Modelo Datos'!D:AD,19,0)</f>
        <v>OCCIDENT</v>
      </c>
      <c r="I150">
        <f>+VLOOKUP(A150,'Modelo Datos'!D:AD,10,0)</f>
        <v>0</v>
      </c>
      <c r="J150">
        <f>+VLOOKUP(A150,'Modelo Datos'!D:AD,13,0)</f>
        <v>0</v>
      </c>
    </row>
    <row r="151" spans="1:10" x14ac:dyDescent="0.35">
      <c r="A151" t="s">
        <v>101</v>
      </c>
      <c r="B151">
        <v>5057.8</v>
      </c>
      <c r="C151">
        <v>404.62400000000002</v>
      </c>
      <c r="D151">
        <v>303.46800000000002</v>
      </c>
      <c r="E151">
        <v>101.15600000000001</v>
      </c>
      <c r="F151" s="39" t="str">
        <f>+VLOOKUP(A151,'Modelo Datos'!D:AD,27,0)</f>
        <v>B14771331</v>
      </c>
      <c r="G151" s="38">
        <f>+VLOOKUP(A151,'Modelo Datos'!D:F,3,0)</f>
        <v>46059</v>
      </c>
      <c r="H151" t="str">
        <f>+VLOOKUP(A151,'Modelo Datos'!D:AD,19,0)</f>
        <v>OCCIDENT</v>
      </c>
      <c r="I151">
        <f>+VLOOKUP(A151,'Modelo Datos'!D:AD,10,0)</f>
        <v>0</v>
      </c>
      <c r="J151">
        <f>+VLOOKUP(A151,'Modelo Datos'!D:AD,13,0)</f>
        <v>0</v>
      </c>
    </row>
    <row r="152" spans="1:10" x14ac:dyDescent="0.35">
      <c r="A152" t="s">
        <v>105</v>
      </c>
      <c r="B152">
        <v>844.99</v>
      </c>
      <c r="C152">
        <v>84.498999999999995</v>
      </c>
      <c r="D152">
        <v>67.599199999999996</v>
      </c>
      <c r="E152">
        <v>16.899799999999999</v>
      </c>
      <c r="F152" s="39" t="str">
        <f>+VLOOKUP(A152,'Modelo Datos'!D:AD,27,0)</f>
        <v>29041143D</v>
      </c>
      <c r="G152" s="38">
        <f>+VLOOKUP(A152,'Modelo Datos'!D:F,3,0)</f>
        <v>46064</v>
      </c>
      <c r="H152" t="str">
        <f>+VLOOKUP(A152,'Modelo Datos'!D:AD,19,0)</f>
        <v>MAPFRE</v>
      </c>
      <c r="I152">
        <f>+VLOOKUP(A152,'Modelo Datos'!D:AD,10,0)</f>
        <v>0</v>
      </c>
      <c r="J152">
        <f>+VLOOKUP(A152,'Modelo Datos'!D:AD,13,0)</f>
        <v>0</v>
      </c>
    </row>
    <row r="153" spans="1:10" x14ac:dyDescent="0.35">
      <c r="A153" t="s">
        <v>150</v>
      </c>
      <c r="B153">
        <v>329.88</v>
      </c>
      <c r="C153">
        <v>32.988</v>
      </c>
      <c r="D153">
        <v>26.3904</v>
      </c>
      <c r="E153">
        <v>6.5975999999999999</v>
      </c>
      <c r="F153" s="39" t="str">
        <f>+VLOOKUP(A153,'Modelo Datos'!D:AD,27,0)</f>
        <v>77523319W</v>
      </c>
      <c r="G153" s="38">
        <f>+VLOOKUP(A153,'Modelo Datos'!D:F,3,0)</f>
        <v>46064</v>
      </c>
      <c r="H153" t="str">
        <f>+VLOOKUP(A153,'Modelo Datos'!D:AD,19,0)</f>
        <v>MAPFRE</v>
      </c>
      <c r="I153">
        <f>+VLOOKUP(A153,'Modelo Datos'!D:AD,10,0)</f>
        <v>0</v>
      </c>
      <c r="J153">
        <f>+VLOOKUP(A153,'Modelo Datos'!D:AD,13,0)</f>
        <v>0</v>
      </c>
    </row>
    <row r="154" spans="1:10" x14ac:dyDescent="0.35">
      <c r="A154" t="s">
        <v>153</v>
      </c>
      <c r="B154">
        <v>4116.83</v>
      </c>
      <c r="C154">
        <v>411.68299999999999</v>
      </c>
      <c r="D154">
        <v>329.34640000000002</v>
      </c>
      <c r="E154">
        <v>82.336600000000004</v>
      </c>
      <c r="F154" s="39" t="str">
        <f>+VLOOKUP(A154,'Modelo Datos'!D:AD,27,0)</f>
        <v>34788090S</v>
      </c>
      <c r="G154" s="38">
        <f>+VLOOKUP(A154,'Modelo Datos'!D:F,3,0)</f>
        <v>46065</v>
      </c>
      <c r="H154" t="str">
        <f>+VLOOKUP(A154,'Modelo Datos'!D:AD,19,0)</f>
        <v>ALLIANZ</v>
      </c>
      <c r="I154">
        <f>+VLOOKUP(A154,'Modelo Datos'!D:AD,10,0)</f>
        <v>0</v>
      </c>
      <c r="J154">
        <f>+VLOOKUP(A154,'Modelo Datos'!D:AD,13,0)</f>
        <v>0</v>
      </c>
    </row>
    <row r="155" spans="1:10" x14ac:dyDescent="0.35">
      <c r="A155" t="s">
        <v>156</v>
      </c>
      <c r="B155">
        <v>11694.64</v>
      </c>
      <c r="C155">
        <v>1403.3568</v>
      </c>
      <c r="D155">
        <v>1169.4639999999999</v>
      </c>
      <c r="E155">
        <v>233.89279999999999</v>
      </c>
      <c r="F155" s="39" t="str">
        <f>+VLOOKUP(A155,'Modelo Datos'!D:AD,27,0)</f>
        <v>34788090S</v>
      </c>
      <c r="G155" s="38">
        <f>+VLOOKUP(A155,'Modelo Datos'!D:F,3,0)</f>
        <v>46065</v>
      </c>
      <c r="H155" t="str">
        <f>+VLOOKUP(A155,'Modelo Datos'!D:AD,19,0)</f>
        <v>ALLIANZ</v>
      </c>
      <c r="I155">
        <f>+VLOOKUP(A155,'Modelo Datos'!D:AD,10,0)</f>
        <v>0</v>
      </c>
      <c r="J155">
        <f>+VLOOKUP(A155,'Modelo Datos'!D:AD,13,0)</f>
        <v>0</v>
      </c>
    </row>
    <row r="156" spans="1:10" x14ac:dyDescent="0.35">
      <c r="A156" t="s">
        <v>157</v>
      </c>
      <c r="B156">
        <v>13643.87</v>
      </c>
      <c r="C156">
        <v>1637.2644000000003</v>
      </c>
      <c r="D156">
        <v>1364.3870000000002</v>
      </c>
      <c r="E156">
        <v>272.87740000000002</v>
      </c>
      <c r="F156" s="39" t="str">
        <f>+VLOOKUP(A156,'Modelo Datos'!D:AD,27,0)</f>
        <v>34825356K</v>
      </c>
      <c r="G156" s="38">
        <f>+VLOOKUP(A156,'Modelo Datos'!D:F,3,0)</f>
        <v>46065</v>
      </c>
      <c r="H156" t="str">
        <f>+VLOOKUP(A156,'Modelo Datos'!D:AD,19,0)</f>
        <v>ALLIANZ</v>
      </c>
      <c r="I156">
        <f>+VLOOKUP(A156,'Modelo Datos'!D:AD,10,0)</f>
        <v>0</v>
      </c>
      <c r="J156">
        <f>+VLOOKUP(A156,'Modelo Datos'!D:AD,13,0)</f>
        <v>0</v>
      </c>
    </row>
    <row r="157" spans="1:10" x14ac:dyDescent="0.35">
      <c r="A157" t="s">
        <v>215</v>
      </c>
      <c r="B157">
        <v>2124.9</v>
      </c>
      <c r="C157">
        <v>169.99200000000002</v>
      </c>
      <c r="D157">
        <v>127.49400000000001</v>
      </c>
      <c r="E157">
        <v>42.498000000000005</v>
      </c>
      <c r="F157" s="39" t="str">
        <f>+VLOOKUP(A157,'Modelo Datos'!D:AD,27,0)</f>
        <v>B14771331</v>
      </c>
      <c r="G157" s="38">
        <f>+VLOOKUP(A157,'Modelo Datos'!D:F,3,0)</f>
        <v>46065</v>
      </c>
      <c r="H157" t="str">
        <f>+VLOOKUP(A157,'Modelo Datos'!D:AD,19,0)</f>
        <v>OCCIDENT</v>
      </c>
      <c r="I157">
        <f>+VLOOKUP(A157,'Modelo Datos'!D:AD,10,0)</f>
        <v>0</v>
      </c>
      <c r="J157">
        <f>+VLOOKUP(A157,'Modelo Datos'!D:AD,13,0)</f>
        <v>0</v>
      </c>
    </row>
    <row r="158" spans="1:10" x14ac:dyDescent="0.35">
      <c r="A158" t="s">
        <v>216</v>
      </c>
      <c r="B158">
        <v>1302.8399999999999</v>
      </c>
      <c r="C158">
        <v>104.22719999999998</v>
      </c>
      <c r="D158">
        <v>78.170399999999987</v>
      </c>
      <c r="E158">
        <v>26.056799999999999</v>
      </c>
      <c r="F158" s="39" t="str">
        <f>+VLOOKUP(A158,'Modelo Datos'!D:AD,27,0)</f>
        <v>B14771331</v>
      </c>
      <c r="G158" s="38">
        <f>+VLOOKUP(A158,'Modelo Datos'!D:F,3,0)</f>
        <v>46065</v>
      </c>
      <c r="H158" t="str">
        <f>+VLOOKUP(A158,'Modelo Datos'!D:AD,19,0)</f>
        <v>OCCIDENT</v>
      </c>
      <c r="I158">
        <f>+VLOOKUP(A158,'Modelo Datos'!D:AD,10,0)</f>
        <v>0</v>
      </c>
      <c r="J158">
        <f>+VLOOKUP(A158,'Modelo Datos'!D:AD,13,0)</f>
        <v>0</v>
      </c>
    </row>
    <row r="159" spans="1:10" x14ac:dyDescent="0.35">
      <c r="A159" t="s">
        <v>208</v>
      </c>
      <c r="B159">
        <v>4400</v>
      </c>
      <c r="C159">
        <v>440</v>
      </c>
      <c r="D159">
        <v>352</v>
      </c>
      <c r="E159">
        <v>88</v>
      </c>
      <c r="F159" s="39" t="str">
        <f>+VLOOKUP(A159,'Modelo Datos'!D:AD,27,0)</f>
        <v>B73956161</v>
      </c>
      <c r="G159" s="38">
        <f>+VLOOKUP(A159,'Modelo Datos'!D:F,3,0)</f>
        <v>46066</v>
      </c>
      <c r="H159" t="str">
        <f>+VLOOKUP(A159,'Modelo Datos'!D:AD,19,0)</f>
        <v>OCCIDENT</v>
      </c>
      <c r="I159">
        <f>+VLOOKUP(A159,'Modelo Datos'!D:AD,10,0)</f>
        <v>0</v>
      </c>
      <c r="J159">
        <f>+VLOOKUP(A159,'Modelo Datos'!D:AD,13,0)</f>
        <v>0</v>
      </c>
    </row>
    <row r="160" spans="1:10" x14ac:dyDescent="0.35">
      <c r="A160" t="s">
        <v>138</v>
      </c>
      <c r="B160">
        <v>3017.83</v>
      </c>
      <c r="C160">
        <v>301.78300000000002</v>
      </c>
      <c r="D160">
        <v>241.4264</v>
      </c>
      <c r="E160">
        <v>60.3566</v>
      </c>
      <c r="F160" s="39" t="str">
        <f>+VLOOKUP(A160,'Modelo Datos'!D:AD,27,0)</f>
        <v>74309986E</v>
      </c>
      <c r="G160" s="38">
        <f>+VLOOKUP(A160,'Modelo Datos'!D:F,3,0)</f>
        <v>46069</v>
      </c>
      <c r="H160" t="str">
        <f>+VLOOKUP(A160,'Modelo Datos'!D:AD,19,0)</f>
        <v>MAPFRE</v>
      </c>
      <c r="I160">
        <f>+VLOOKUP(A160,'Modelo Datos'!D:AD,10,0)</f>
        <v>0</v>
      </c>
      <c r="J160">
        <f>+VLOOKUP(A160,'Modelo Datos'!D:AD,13,0)</f>
        <v>0</v>
      </c>
    </row>
    <row r="161" spans="1:10" x14ac:dyDescent="0.35">
      <c r="A161" t="s">
        <v>160</v>
      </c>
      <c r="B161">
        <v>1821.18</v>
      </c>
      <c r="C161">
        <v>162.08502000000001</v>
      </c>
      <c r="D161">
        <v>125.66142000000002</v>
      </c>
      <c r="E161">
        <v>36.4236</v>
      </c>
      <c r="F161" s="39" t="str">
        <f>+VLOOKUP(A161,'Modelo Datos'!D:AD,27,0)</f>
        <v>22404202V</v>
      </c>
      <c r="G161" s="38">
        <f>+VLOOKUP(A161,'Modelo Datos'!D:F,3,0)</f>
        <v>46069</v>
      </c>
      <c r="H161" t="str">
        <f>+VLOOKUP(A161,'Modelo Datos'!D:AD,19,0)</f>
        <v>MAPFRE</v>
      </c>
      <c r="I161">
        <f>+VLOOKUP(A161,'Modelo Datos'!D:AD,10,0)</f>
        <v>0</v>
      </c>
      <c r="J161">
        <f>+VLOOKUP(A161,'Modelo Datos'!D:AD,13,0)</f>
        <v>0</v>
      </c>
    </row>
    <row r="162" spans="1:10" x14ac:dyDescent="0.35">
      <c r="A162" t="s">
        <v>167</v>
      </c>
      <c r="B162">
        <v>3436.83</v>
      </c>
      <c r="C162">
        <v>343.68299999999999</v>
      </c>
      <c r="D162">
        <v>274.94639999999998</v>
      </c>
      <c r="E162">
        <v>68.736599999999996</v>
      </c>
      <c r="F162" s="39" t="str">
        <f>+VLOOKUP(A162,'Modelo Datos'!D:AD,27,0)</f>
        <v>77712739V</v>
      </c>
      <c r="G162" s="38">
        <f>+VLOOKUP(A162,'Modelo Datos'!D:F,3,0)</f>
        <v>46069</v>
      </c>
      <c r="H162" t="str">
        <f>+VLOOKUP(A162,'Modelo Datos'!D:AD,19,0)</f>
        <v>ALLIANZ</v>
      </c>
      <c r="I162">
        <f>+VLOOKUP(A162,'Modelo Datos'!D:AD,10,0)</f>
        <v>0</v>
      </c>
      <c r="J162">
        <f>+VLOOKUP(A162,'Modelo Datos'!D:AD,13,0)</f>
        <v>0</v>
      </c>
    </row>
    <row r="163" spans="1:10" x14ac:dyDescent="0.35">
      <c r="A163" t="s">
        <v>166</v>
      </c>
      <c r="B163">
        <v>49211.64</v>
      </c>
      <c r="C163">
        <v>2460.5819999999999</v>
      </c>
      <c r="D163">
        <v>1476.3491999999999</v>
      </c>
      <c r="E163">
        <v>984.2328</v>
      </c>
      <c r="F163" s="39" t="str">
        <f>+VLOOKUP(A163,'Modelo Datos'!D:AD,27,0)</f>
        <v>B73439390</v>
      </c>
      <c r="G163" s="38">
        <f>+VLOOKUP(A163,'Modelo Datos'!D:F,3,0)</f>
        <v>46069</v>
      </c>
      <c r="H163" t="str">
        <f>+VLOOKUP(A163,'Modelo Datos'!D:AD,19,0)</f>
        <v>ALLIANZ</v>
      </c>
      <c r="I163">
        <f>+VLOOKUP(A163,'Modelo Datos'!D:AD,10,0)</f>
        <v>0</v>
      </c>
      <c r="J163">
        <f>+VLOOKUP(A163,'Modelo Datos'!D:AD,13,0)</f>
        <v>0</v>
      </c>
    </row>
    <row r="164" spans="1:10" x14ac:dyDescent="0.35">
      <c r="A164" t="s">
        <v>163</v>
      </c>
      <c r="B164">
        <v>9784.32</v>
      </c>
      <c r="C164">
        <v>587.05919999999992</v>
      </c>
      <c r="D164">
        <v>391.37279999999998</v>
      </c>
      <c r="E164">
        <v>195.68639999999999</v>
      </c>
      <c r="F164" s="39" t="str">
        <f>+VLOOKUP(A164,'Modelo Datos'!D:AD,27,0)</f>
        <v>B73439390</v>
      </c>
      <c r="G164" s="38">
        <f>+VLOOKUP(A164,'Modelo Datos'!D:F,3,0)</f>
        <v>46069</v>
      </c>
      <c r="H164" t="str">
        <f>+VLOOKUP(A164,'Modelo Datos'!D:AD,19,0)</f>
        <v>ALLIANZ</v>
      </c>
      <c r="I164">
        <f>+VLOOKUP(A164,'Modelo Datos'!D:AD,10,0)</f>
        <v>0</v>
      </c>
      <c r="J164">
        <f>+VLOOKUP(A164,'Modelo Datos'!D:AD,13,0)</f>
        <v>0</v>
      </c>
    </row>
    <row r="165" spans="1:10" x14ac:dyDescent="0.35">
      <c r="A165" t="s">
        <v>211</v>
      </c>
      <c r="B165">
        <v>145246.03</v>
      </c>
      <c r="C165">
        <v>14524.602999999999</v>
      </c>
      <c r="D165">
        <v>11619.6824</v>
      </c>
      <c r="E165">
        <v>2904.9205999999999</v>
      </c>
      <c r="F165" s="39" t="str">
        <f>+VLOOKUP(A165,'Modelo Datos'!D:AD,27,0)</f>
        <v>B60209384</v>
      </c>
      <c r="G165" s="38">
        <f>+VLOOKUP(A165,'Modelo Datos'!D:F,3,0)</f>
        <v>46069</v>
      </c>
      <c r="H165" t="str">
        <f>+VLOOKUP(A165,'Modelo Datos'!D:AD,19,0)</f>
        <v>MAPFRE</v>
      </c>
      <c r="I165">
        <f>+VLOOKUP(A165,'Modelo Datos'!D:AD,10,0)</f>
        <v>0</v>
      </c>
      <c r="J165">
        <f>+VLOOKUP(A165,'Modelo Datos'!D:AD,13,0)</f>
        <v>0</v>
      </c>
    </row>
    <row r="166" spans="1:10" x14ac:dyDescent="0.35">
      <c r="A166" t="s">
        <v>176</v>
      </c>
      <c r="B166">
        <v>4995.16</v>
      </c>
      <c r="C166">
        <v>499.51599999999996</v>
      </c>
      <c r="D166">
        <v>399.61279999999999</v>
      </c>
      <c r="E166">
        <v>99.903199999999998</v>
      </c>
      <c r="F166" s="39" t="str">
        <f>+VLOOKUP(A166,'Modelo Datos'!D:AD,27,0)</f>
        <v>E05282850</v>
      </c>
      <c r="G166" s="38">
        <f>+VLOOKUP(A166,'Modelo Datos'!D:F,3,0)</f>
        <v>46070</v>
      </c>
      <c r="H166" t="str">
        <f>+VLOOKUP(A166,'Modelo Datos'!D:AD,19,0)</f>
        <v>ALLIANZ</v>
      </c>
      <c r="I166">
        <f>+VLOOKUP(A166,'Modelo Datos'!D:AD,10,0)</f>
        <v>0</v>
      </c>
      <c r="J166">
        <f>+VLOOKUP(A166,'Modelo Datos'!D:AD,13,0)</f>
        <v>0</v>
      </c>
    </row>
    <row r="167" spans="1:10" x14ac:dyDescent="0.35">
      <c r="A167" t="s">
        <v>173</v>
      </c>
      <c r="B167">
        <v>7793.45</v>
      </c>
      <c r="C167">
        <v>779.34500000000003</v>
      </c>
      <c r="D167">
        <v>623.476</v>
      </c>
      <c r="E167">
        <v>155.869</v>
      </c>
      <c r="F167" s="39" t="str">
        <f>+VLOOKUP(A167,'Modelo Datos'!D:AD,27,0)</f>
        <v>E05282850</v>
      </c>
      <c r="G167" s="38">
        <f>+VLOOKUP(A167,'Modelo Datos'!D:F,3,0)</f>
        <v>46070</v>
      </c>
      <c r="H167" t="str">
        <f>+VLOOKUP(A167,'Modelo Datos'!D:AD,19,0)</f>
        <v>ALLIANZ</v>
      </c>
      <c r="I167">
        <f>+VLOOKUP(A167,'Modelo Datos'!D:AD,10,0)</f>
        <v>0</v>
      </c>
      <c r="J167">
        <f>+VLOOKUP(A167,'Modelo Datos'!D:AD,13,0)</f>
        <v>0</v>
      </c>
    </row>
    <row r="168" spans="1:10" x14ac:dyDescent="0.35">
      <c r="A168" t="s">
        <v>184</v>
      </c>
      <c r="B168">
        <v>1786.72</v>
      </c>
      <c r="C168">
        <v>178.672</v>
      </c>
      <c r="D168">
        <v>142.9376</v>
      </c>
      <c r="E168">
        <v>35.734400000000001</v>
      </c>
      <c r="F168" s="39" t="str">
        <f>+VLOOKUP(A168,'Modelo Datos'!D:AD,27,0)</f>
        <v>74342252L</v>
      </c>
      <c r="G168" s="38">
        <f>+VLOOKUP(A168,'Modelo Datos'!D:F,3,0)</f>
        <v>46070</v>
      </c>
      <c r="H168" t="str">
        <f>+VLOOKUP(A168,'Modelo Datos'!D:AD,19,0)</f>
        <v>ALLIANZ</v>
      </c>
      <c r="I168">
        <f>+VLOOKUP(A168,'Modelo Datos'!D:AD,10,0)</f>
        <v>0</v>
      </c>
      <c r="J168">
        <f>+VLOOKUP(A168,'Modelo Datos'!D:AD,13,0)</f>
        <v>0</v>
      </c>
    </row>
    <row r="169" spans="1:10" x14ac:dyDescent="0.35">
      <c r="A169" t="s">
        <v>135</v>
      </c>
      <c r="B169">
        <v>672.13</v>
      </c>
      <c r="C169">
        <v>67.213000000000008</v>
      </c>
      <c r="D169">
        <v>53.770400000000002</v>
      </c>
      <c r="E169">
        <v>13.442600000000001</v>
      </c>
      <c r="F169" s="39" t="str">
        <f>+VLOOKUP(A169,'Modelo Datos'!D:AD,27,0)</f>
        <v>48398357D</v>
      </c>
      <c r="G169" s="38">
        <f>+VLOOKUP(A169,'Modelo Datos'!D:F,3,0)</f>
        <v>46071</v>
      </c>
      <c r="H169" t="str">
        <f>+VLOOKUP(A169,'Modelo Datos'!D:AD,19,0)</f>
        <v>ALLIANZ</v>
      </c>
      <c r="I169">
        <f>+VLOOKUP(A169,'Modelo Datos'!D:AD,10,0)</f>
        <v>0</v>
      </c>
      <c r="J169">
        <f>+VLOOKUP(A169,'Modelo Datos'!D:AD,13,0)</f>
        <v>0</v>
      </c>
    </row>
    <row r="170" spans="1:10" x14ac:dyDescent="0.35">
      <c r="A170" t="s">
        <v>120</v>
      </c>
      <c r="B170">
        <v>1352.09</v>
      </c>
      <c r="C170">
        <v>135.209</v>
      </c>
      <c r="D170">
        <v>108.16719999999999</v>
      </c>
      <c r="E170">
        <v>27.041799999999999</v>
      </c>
      <c r="F170" s="39" t="str">
        <f>+VLOOKUP(A170,'Modelo Datos'!D:AD,27,0)</f>
        <v>77568646L</v>
      </c>
      <c r="G170" s="38">
        <f>+VLOOKUP(A170,'Modelo Datos'!D:F,3,0)</f>
        <v>46072</v>
      </c>
      <c r="H170" t="str">
        <f>+VLOOKUP(A170,'Modelo Datos'!D:AD,19,0)</f>
        <v>ALLIANZ</v>
      </c>
      <c r="I170">
        <f>+VLOOKUP(A170,'Modelo Datos'!D:AD,10,0)</f>
        <v>0</v>
      </c>
      <c r="J170">
        <f>+VLOOKUP(A170,'Modelo Datos'!D:AD,13,0)</f>
        <v>0</v>
      </c>
    </row>
    <row r="171" spans="1:10" x14ac:dyDescent="0.35">
      <c r="A171" t="s">
        <v>123</v>
      </c>
      <c r="B171">
        <v>886.94</v>
      </c>
      <c r="C171">
        <v>88.694000000000003</v>
      </c>
      <c r="D171">
        <v>70.955200000000005</v>
      </c>
      <c r="E171">
        <v>17.738800000000001</v>
      </c>
      <c r="F171" s="39" t="str">
        <f>+VLOOKUP(A171,'Modelo Datos'!D:AD,27,0)</f>
        <v>48482486G</v>
      </c>
      <c r="G171" s="38">
        <f>+VLOOKUP(A171,'Modelo Datos'!D:F,3,0)</f>
        <v>46071</v>
      </c>
      <c r="H171" t="str">
        <f>+VLOOKUP(A171,'Modelo Datos'!D:AD,19,0)</f>
        <v>ALLIANZ</v>
      </c>
      <c r="I171">
        <f>+VLOOKUP(A171,'Modelo Datos'!D:AD,10,0)</f>
        <v>0</v>
      </c>
      <c r="J171">
        <f>+VLOOKUP(A171,'Modelo Datos'!D:AD,13,0)</f>
        <v>0</v>
      </c>
    </row>
    <row r="172" spans="1:10" x14ac:dyDescent="0.35">
      <c r="A172" t="s">
        <v>126</v>
      </c>
      <c r="B172">
        <v>679.89</v>
      </c>
      <c r="C172">
        <v>67.989000000000004</v>
      </c>
      <c r="D172">
        <v>54.391199999999998</v>
      </c>
      <c r="E172">
        <v>13.597799999999999</v>
      </c>
      <c r="F172" s="39" t="str">
        <f>+VLOOKUP(A172,'Modelo Datos'!D:AD,27,0)</f>
        <v>77570187L</v>
      </c>
      <c r="G172" s="38">
        <f>+VLOOKUP(A172,'Modelo Datos'!D:F,3,0)</f>
        <v>46072</v>
      </c>
      <c r="H172" t="str">
        <f>+VLOOKUP(A172,'Modelo Datos'!D:AD,19,0)</f>
        <v>MAPFRE</v>
      </c>
      <c r="I172">
        <f>+VLOOKUP(A172,'Modelo Datos'!D:AD,10,0)</f>
        <v>0</v>
      </c>
      <c r="J172">
        <f>+VLOOKUP(A172,'Modelo Datos'!D:AD,13,0)</f>
        <v>0</v>
      </c>
    </row>
    <row r="173" spans="1:10" x14ac:dyDescent="0.35">
      <c r="A173" t="s">
        <v>205</v>
      </c>
      <c r="B173">
        <v>1705.28</v>
      </c>
      <c r="C173">
        <v>204.6336</v>
      </c>
      <c r="D173">
        <v>170.52799999999999</v>
      </c>
      <c r="E173">
        <v>34.105600000000003</v>
      </c>
      <c r="F173" s="39" t="str">
        <f>+VLOOKUP(A173,'Modelo Datos'!D:AD,27,0)</f>
        <v>B30298053</v>
      </c>
      <c r="G173" s="38">
        <f>+VLOOKUP(A173,'Modelo Datos'!D:F,3,0)</f>
        <v>46073</v>
      </c>
      <c r="H173" t="str">
        <f>+VLOOKUP(A173,'Modelo Datos'!D:AD,19,0)</f>
        <v>OCCIDENT</v>
      </c>
      <c r="I173">
        <f>+VLOOKUP(A173,'Modelo Datos'!D:AD,10,0)</f>
        <v>0</v>
      </c>
      <c r="J173">
        <f>+VLOOKUP(A173,'Modelo Datos'!D:AD,13,0)</f>
        <v>0</v>
      </c>
    </row>
    <row r="174" spans="1:10" x14ac:dyDescent="0.35">
      <c r="A174" t="s">
        <v>222</v>
      </c>
      <c r="B174">
        <v>6972.34</v>
      </c>
      <c r="C174">
        <v>557.78719999999998</v>
      </c>
      <c r="D174">
        <v>418.34039999999999</v>
      </c>
      <c r="E174">
        <v>139.4468</v>
      </c>
      <c r="F174" s="39" t="str">
        <f>+VLOOKUP(A174,'Modelo Datos'!D:AD,27,0)</f>
        <v>B14771331</v>
      </c>
      <c r="G174" s="38">
        <f>+VLOOKUP(A174,'Modelo Datos'!D:F,3,0)</f>
        <v>46073</v>
      </c>
      <c r="H174" t="str">
        <f>+VLOOKUP(A174,'Modelo Datos'!D:AD,19,0)</f>
        <v>OCCIDENT</v>
      </c>
      <c r="I174">
        <f>+VLOOKUP(A174,'Modelo Datos'!D:AD,10,0)</f>
        <v>0</v>
      </c>
      <c r="J174">
        <f>+VLOOKUP(A174,'Modelo Datos'!D:AD,13,0)</f>
        <v>0</v>
      </c>
    </row>
    <row r="175" spans="1:10" x14ac:dyDescent="0.35">
      <c r="A175" t="s">
        <v>197</v>
      </c>
      <c r="B175">
        <v>22360.78</v>
      </c>
      <c r="C175">
        <v>1788.8624</v>
      </c>
      <c r="D175">
        <v>1341.6468</v>
      </c>
      <c r="E175">
        <v>447.21559999999999</v>
      </c>
      <c r="F175" s="39" t="str">
        <f>+VLOOKUP(A175,'Modelo Datos'!D:AD,27,0)</f>
        <v>77721143A</v>
      </c>
      <c r="G175" s="38">
        <f>+VLOOKUP(A175,'Modelo Datos'!D:F,3,0)</f>
        <v>46073</v>
      </c>
      <c r="H175" t="str">
        <f>+VLOOKUP(A175,'Modelo Datos'!D:AD,19,0)</f>
        <v>OCCIDENT</v>
      </c>
      <c r="I175">
        <f>+VLOOKUP(A175,'Modelo Datos'!D:AD,10,0)</f>
        <v>0</v>
      </c>
      <c r="J175">
        <f>+VLOOKUP(A175,'Modelo Datos'!D:AD,13,0)</f>
        <v>0</v>
      </c>
    </row>
    <row r="176" spans="1:10" x14ac:dyDescent="0.35">
      <c r="A176" t="s">
        <v>194</v>
      </c>
      <c r="B176">
        <v>10604.42</v>
      </c>
      <c r="C176">
        <v>848.35360000000003</v>
      </c>
      <c r="D176">
        <v>636.26520000000005</v>
      </c>
      <c r="E176">
        <v>212.08840000000001</v>
      </c>
      <c r="F176" s="39" t="str">
        <f>+VLOOKUP(A176,'Modelo Datos'!D:AD,27,0)</f>
        <v>77721143A</v>
      </c>
      <c r="G176" s="38">
        <f>+VLOOKUP(A176,'Modelo Datos'!D:F,3,0)</f>
        <v>46073</v>
      </c>
      <c r="H176" t="str">
        <f>+VLOOKUP(A176,'Modelo Datos'!D:AD,19,0)</f>
        <v>OCCIDENT</v>
      </c>
      <c r="I176">
        <f>+VLOOKUP(A176,'Modelo Datos'!D:AD,10,0)</f>
        <v>0</v>
      </c>
      <c r="J176">
        <f>+VLOOKUP(A176,'Modelo Datos'!D:AD,13,0)</f>
        <v>0</v>
      </c>
    </row>
    <row r="177" spans="1:10" x14ac:dyDescent="0.35">
      <c r="A177" t="s">
        <v>223</v>
      </c>
      <c r="B177">
        <v>12299.68</v>
      </c>
      <c r="C177">
        <v>983.97440000000006</v>
      </c>
      <c r="D177">
        <v>737.98080000000004</v>
      </c>
      <c r="E177">
        <v>245.99360000000001</v>
      </c>
      <c r="F177" s="39" t="str">
        <f>+VLOOKUP(A177,'Modelo Datos'!D:AD,27,0)</f>
        <v>B14771331</v>
      </c>
      <c r="G177" s="38">
        <f>+VLOOKUP(A177,'Modelo Datos'!D:F,3,0)</f>
        <v>46073</v>
      </c>
      <c r="H177" t="str">
        <f>+VLOOKUP(A177,'Modelo Datos'!D:AD,19,0)</f>
        <v>OCCIDENT</v>
      </c>
      <c r="I177">
        <f>+VLOOKUP(A177,'Modelo Datos'!D:AD,10,0)</f>
        <v>0</v>
      </c>
      <c r="J177">
        <f>+VLOOKUP(A177,'Modelo Datos'!D:AD,13,0)</f>
        <v>0</v>
      </c>
    </row>
    <row r="178" spans="1:10" x14ac:dyDescent="0.35">
      <c r="A178" t="s">
        <v>217</v>
      </c>
      <c r="B178">
        <v>2543.19</v>
      </c>
      <c r="C178">
        <v>203.45519999999999</v>
      </c>
      <c r="D178">
        <v>152.59139999999999</v>
      </c>
      <c r="E178">
        <v>50.863800000000005</v>
      </c>
      <c r="F178" s="39" t="str">
        <f>+VLOOKUP(A178,'Modelo Datos'!D:AD,27,0)</f>
        <v>B14771331</v>
      </c>
      <c r="G178" s="38">
        <f>+VLOOKUP(A178,'Modelo Datos'!D:F,3,0)</f>
        <v>46076</v>
      </c>
      <c r="H178" t="str">
        <f>+VLOOKUP(A178,'Modelo Datos'!D:AD,19,0)</f>
        <v>OCCIDENT</v>
      </c>
      <c r="I178">
        <f>+VLOOKUP(A178,'Modelo Datos'!D:AD,10,0)</f>
        <v>0</v>
      </c>
      <c r="J178">
        <f>+VLOOKUP(A178,'Modelo Datos'!D:AD,13,0)</f>
        <v>0</v>
      </c>
    </row>
    <row r="179" spans="1:10" x14ac:dyDescent="0.35">
      <c r="A179" t="s">
        <v>218</v>
      </c>
      <c r="B179">
        <v>388.08</v>
      </c>
      <c r="C179">
        <v>31.046399999999998</v>
      </c>
      <c r="D179">
        <v>23.284800000000001</v>
      </c>
      <c r="E179">
        <v>7.7615999999999996</v>
      </c>
      <c r="F179" s="39" t="str">
        <f>+VLOOKUP(A179,'Modelo Datos'!D:AD,27,0)</f>
        <v>B14771331</v>
      </c>
      <c r="G179" s="38">
        <f>+VLOOKUP(A179,'Modelo Datos'!D:F,3,0)</f>
        <v>46076</v>
      </c>
      <c r="H179" t="str">
        <f>+VLOOKUP(A179,'Modelo Datos'!D:AD,19,0)</f>
        <v>OCCIDENT</v>
      </c>
      <c r="I179">
        <f>+VLOOKUP(A179,'Modelo Datos'!D:AD,10,0)</f>
        <v>0</v>
      </c>
      <c r="J179">
        <f>+VLOOKUP(A179,'Modelo Datos'!D:AD,13,0)</f>
        <v>0</v>
      </c>
    </row>
    <row r="180" spans="1:10" x14ac:dyDescent="0.35">
      <c r="A180" t="s">
        <v>191</v>
      </c>
      <c r="B180">
        <v>12420.91</v>
      </c>
      <c r="C180">
        <v>1490.5092000000002</v>
      </c>
      <c r="D180">
        <v>1242.0910000000001</v>
      </c>
      <c r="E180">
        <v>248.41820000000001</v>
      </c>
      <c r="F180" s="39" t="str">
        <f>+VLOOKUP(A180,'Modelo Datos'!D:AD,27,0)</f>
        <v>E22886600</v>
      </c>
      <c r="G180" s="38">
        <f>+VLOOKUP(A180,'Modelo Datos'!D:F,3,0)</f>
        <v>46077</v>
      </c>
      <c r="H180" t="str">
        <f>+VLOOKUP(A180,'Modelo Datos'!D:AD,19,0)</f>
        <v>MAPFRE</v>
      </c>
      <c r="I180">
        <f>+VLOOKUP(A180,'Modelo Datos'!D:AD,10,0)</f>
        <v>0</v>
      </c>
      <c r="J180">
        <f>+VLOOKUP(A180,'Modelo Datos'!D:AD,13,0)</f>
        <v>0</v>
      </c>
    </row>
    <row r="181" spans="1:10" x14ac:dyDescent="0.35">
      <c r="A181" t="s">
        <v>187</v>
      </c>
      <c r="B181">
        <v>8693.17</v>
      </c>
      <c r="C181">
        <v>869.31700000000001</v>
      </c>
      <c r="D181">
        <v>695.45360000000005</v>
      </c>
      <c r="E181">
        <v>173.86340000000001</v>
      </c>
      <c r="F181" s="39" t="str">
        <f>+VLOOKUP(A181,'Modelo Datos'!D:AD,27,0)</f>
        <v>27464791P</v>
      </c>
      <c r="G181" s="38">
        <f>+VLOOKUP(A181,'Modelo Datos'!D:F,3,0)</f>
        <v>46059</v>
      </c>
      <c r="H181" t="str">
        <f>+VLOOKUP(A181,'Modelo Datos'!D:AD,19,0)</f>
        <v>ALLIANZ</v>
      </c>
      <c r="I181">
        <f>+VLOOKUP(A181,'Modelo Datos'!D:AD,10,0)</f>
        <v>0</v>
      </c>
      <c r="J181">
        <f>+VLOOKUP(A181,'Modelo Datos'!D:AD,13,0)</f>
        <v>0</v>
      </c>
    </row>
    <row r="182" spans="1:10" x14ac:dyDescent="0.35">
      <c r="A182" t="s">
        <v>190</v>
      </c>
      <c r="B182">
        <v>23884.07</v>
      </c>
      <c r="C182">
        <v>2866.0884000000001</v>
      </c>
      <c r="D182">
        <v>2388.4070000000002</v>
      </c>
      <c r="E182">
        <v>477.6814</v>
      </c>
      <c r="F182" s="39" t="str">
        <f>+VLOOKUP(A182,'Modelo Datos'!D:AD,27,0)</f>
        <v>27464791P</v>
      </c>
      <c r="G182" s="38">
        <f>+VLOOKUP(A182,'Modelo Datos'!D:F,3,0)</f>
        <v>46059</v>
      </c>
      <c r="H182" t="str">
        <f>+VLOOKUP(A182,'Modelo Datos'!D:AD,19,0)</f>
        <v>ALLIANZ</v>
      </c>
      <c r="I182">
        <f>+VLOOKUP(A182,'Modelo Datos'!D:AD,10,0)</f>
        <v>0</v>
      </c>
      <c r="J182">
        <f>+VLOOKUP(A182,'Modelo Datos'!D:AD,13,0)</f>
        <v>0</v>
      </c>
    </row>
    <row r="183" spans="1:10" x14ac:dyDescent="0.35">
      <c r="A183" t="s">
        <v>248</v>
      </c>
      <c r="B183">
        <v>42785.16</v>
      </c>
      <c r="C183">
        <v>5989.9224000000004</v>
      </c>
      <c r="D183">
        <v>5134.2192000000005</v>
      </c>
      <c r="E183">
        <v>855.70320000000004</v>
      </c>
      <c r="F183" s="39" t="str">
        <f>+VLOOKUP(A183,'Modelo Datos'!D:AD,27,0)</f>
        <v>B56936479</v>
      </c>
      <c r="G183" s="38">
        <f>+VLOOKUP(A183,'Modelo Datos'!D:F,3,0)</f>
        <v>46077</v>
      </c>
      <c r="H183" t="str">
        <f>+VLOOKUP(A183,'Modelo Datos'!D:AD,19,0)</f>
        <v>ALLIANZ</v>
      </c>
      <c r="I183">
        <f>+VLOOKUP(A183,'Modelo Datos'!D:AD,10,0)</f>
        <v>0</v>
      </c>
      <c r="J183">
        <f>+VLOOKUP(A183,'Modelo Datos'!D:AD,13,0)</f>
        <v>0</v>
      </c>
    </row>
    <row r="184" spans="1:10" x14ac:dyDescent="0.35">
      <c r="A184" t="s">
        <v>251</v>
      </c>
      <c r="B184">
        <v>26573</v>
      </c>
      <c r="C184">
        <v>3720.2200000000003</v>
      </c>
      <c r="D184">
        <v>3188.76</v>
      </c>
      <c r="E184">
        <v>531.46</v>
      </c>
      <c r="F184" s="39" t="str">
        <f>+VLOOKUP(A184,'Modelo Datos'!D:AD,27,0)</f>
        <v>B56936479</v>
      </c>
      <c r="G184" s="38">
        <f>+VLOOKUP(A184,'Modelo Datos'!D:F,3,0)</f>
        <v>46077</v>
      </c>
      <c r="H184" t="str">
        <f>+VLOOKUP(A184,'Modelo Datos'!D:AD,19,0)</f>
        <v>ALLIANZ</v>
      </c>
      <c r="I184">
        <f>+VLOOKUP(A184,'Modelo Datos'!D:AD,10,0)</f>
        <v>0</v>
      </c>
      <c r="J184">
        <f>+VLOOKUP(A184,'Modelo Datos'!D:AD,13,0)</f>
        <v>0</v>
      </c>
    </row>
    <row r="185" spans="1:10" x14ac:dyDescent="0.35">
      <c r="A185" t="s">
        <v>245</v>
      </c>
      <c r="B185">
        <v>2253.38</v>
      </c>
      <c r="C185">
        <v>270.40560000000005</v>
      </c>
      <c r="D185">
        <v>225.33800000000002</v>
      </c>
      <c r="E185">
        <v>45.067600000000006</v>
      </c>
      <c r="F185" s="39" t="str">
        <f>+VLOOKUP(A185,'Modelo Datos'!D:AD,27,0)</f>
        <v>52816981B</v>
      </c>
      <c r="G185" s="38">
        <f>+VLOOKUP(A185,'Modelo Datos'!D:F,3,0)</f>
        <v>46078</v>
      </c>
      <c r="H185" t="str">
        <f>+VLOOKUP(A185,'Modelo Datos'!D:AD,19,0)</f>
        <v>ALLIANZ</v>
      </c>
      <c r="I185">
        <f>+VLOOKUP(A185,'Modelo Datos'!D:AD,10,0)</f>
        <v>0</v>
      </c>
      <c r="J185">
        <f>+VLOOKUP(A185,'Modelo Datos'!D:AD,13,0)</f>
        <v>0</v>
      </c>
    </row>
    <row r="186" spans="1:10" x14ac:dyDescent="0.35">
      <c r="A186" t="s">
        <v>180</v>
      </c>
      <c r="B186">
        <v>8836.7900000000009</v>
      </c>
      <c r="C186">
        <v>901.35257999999999</v>
      </c>
      <c r="D186">
        <v>724.61677999999995</v>
      </c>
      <c r="E186">
        <v>176.73580000000001</v>
      </c>
      <c r="F186" s="39" t="str">
        <f>+VLOOKUP(A186,'Modelo Datos'!D:AD,27,0)</f>
        <v>77512892V</v>
      </c>
      <c r="G186" s="38">
        <f>+VLOOKUP(A186,'Modelo Datos'!D:F,3,0)</f>
        <v>46078</v>
      </c>
      <c r="H186" t="str">
        <f>+VLOOKUP(A186,'Modelo Datos'!D:AD,19,0)</f>
        <v>MAPFRE</v>
      </c>
      <c r="I186">
        <f>+VLOOKUP(A186,'Modelo Datos'!D:AD,10,0)</f>
        <v>0</v>
      </c>
      <c r="J186">
        <f>+VLOOKUP(A186,'Modelo Datos'!D:AD,13,0)</f>
        <v>0</v>
      </c>
    </row>
    <row r="187" spans="1:10" x14ac:dyDescent="0.35">
      <c r="A187" t="s">
        <v>183</v>
      </c>
      <c r="B187">
        <v>10875.14</v>
      </c>
      <c r="C187">
        <v>1109.2642799999999</v>
      </c>
      <c r="D187">
        <v>891.76147999999989</v>
      </c>
      <c r="E187">
        <v>217.50279999999998</v>
      </c>
      <c r="F187" s="39" t="str">
        <f>+VLOOKUP(A187,'Modelo Datos'!D:AD,27,0)</f>
        <v>77512892V</v>
      </c>
      <c r="G187" s="38">
        <f>+VLOOKUP(A187,'Modelo Datos'!D:F,3,0)</f>
        <v>46078</v>
      </c>
      <c r="H187" t="str">
        <f>+VLOOKUP(A187,'Modelo Datos'!D:AD,19,0)</f>
        <v>MAPFRE</v>
      </c>
      <c r="I187">
        <f>+VLOOKUP(A187,'Modelo Datos'!D:AD,10,0)</f>
        <v>0</v>
      </c>
      <c r="J187">
        <f>+VLOOKUP(A187,'Modelo Datos'!D:AD,13,0)</f>
        <v>0</v>
      </c>
    </row>
    <row r="188" spans="1:10" x14ac:dyDescent="0.35">
      <c r="A188" t="s">
        <v>204</v>
      </c>
      <c r="B188">
        <v>5713.81</v>
      </c>
      <c r="C188">
        <v>457.10480000000001</v>
      </c>
      <c r="D188">
        <v>342.82859999999999</v>
      </c>
      <c r="E188">
        <v>114.27620000000002</v>
      </c>
      <c r="F188" s="39" t="str">
        <f>+VLOOKUP(A188,'Modelo Datos'!D:AD,27,0)</f>
        <v>B30537302</v>
      </c>
      <c r="G188" s="38">
        <f>+VLOOKUP(A188,'Modelo Datos'!D:F,3,0)</f>
        <v>46078</v>
      </c>
      <c r="H188" t="str">
        <f>+VLOOKUP(A188,'Modelo Datos'!D:AD,19,0)</f>
        <v>OCCIDENT</v>
      </c>
      <c r="I188">
        <f>+VLOOKUP(A188,'Modelo Datos'!D:AD,10,0)</f>
        <v>0</v>
      </c>
      <c r="J188">
        <f>+VLOOKUP(A188,'Modelo Datos'!D:AD,13,0)</f>
        <v>0</v>
      </c>
    </row>
    <row r="189" spans="1:10" x14ac:dyDescent="0.35">
      <c r="A189" t="s">
        <v>201</v>
      </c>
      <c r="B189">
        <v>1977.94</v>
      </c>
      <c r="C189">
        <v>158.23520000000002</v>
      </c>
      <c r="D189">
        <v>118.6764</v>
      </c>
      <c r="E189">
        <v>39.558800000000005</v>
      </c>
      <c r="F189" s="39" t="str">
        <f>+VLOOKUP(A189,'Modelo Datos'!D:AD,27,0)</f>
        <v>B30537302</v>
      </c>
      <c r="G189" s="38">
        <f>+VLOOKUP(A189,'Modelo Datos'!D:F,3,0)</f>
        <v>46078</v>
      </c>
      <c r="H189" t="str">
        <f>+VLOOKUP(A189,'Modelo Datos'!D:AD,19,0)</f>
        <v>OCCIDENT</v>
      </c>
      <c r="I189">
        <f>+VLOOKUP(A189,'Modelo Datos'!D:AD,10,0)</f>
        <v>0</v>
      </c>
      <c r="J189">
        <f>+VLOOKUP(A189,'Modelo Datos'!D:AD,13,0)</f>
        <v>0</v>
      </c>
    </row>
    <row r="190" spans="1:10" x14ac:dyDescent="0.35">
      <c r="A190" t="s">
        <v>239</v>
      </c>
      <c r="B190">
        <v>5589.73</v>
      </c>
      <c r="C190">
        <v>558.97299999999996</v>
      </c>
      <c r="D190">
        <v>447.17839999999995</v>
      </c>
      <c r="E190">
        <v>111.79459999999999</v>
      </c>
      <c r="F190" s="39" t="str">
        <f>+VLOOKUP(A190,'Modelo Datos'!D:AD,27,0)</f>
        <v>B73357477</v>
      </c>
      <c r="G190" s="38">
        <f>+VLOOKUP(A190,'Modelo Datos'!D:F,3,0)</f>
        <v>46080</v>
      </c>
      <c r="H190" t="str">
        <f>+VLOOKUP(A190,'Modelo Datos'!D:AD,19,0)</f>
        <v>OCCIDENT</v>
      </c>
      <c r="I190">
        <f>+VLOOKUP(A190,'Modelo Datos'!D:AD,10,0)</f>
        <v>0</v>
      </c>
      <c r="J190">
        <f>+VLOOKUP(A190,'Modelo Datos'!D:AD,13,0)</f>
        <v>0</v>
      </c>
    </row>
    <row r="191" spans="1:10" x14ac:dyDescent="0.35">
      <c r="A191" t="s">
        <v>242</v>
      </c>
      <c r="B191">
        <v>4005.55</v>
      </c>
      <c r="C191">
        <v>400.55500000000001</v>
      </c>
      <c r="D191">
        <v>320.44400000000002</v>
      </c>
      <c r="E191">
        <v>80.111000000000004</v>
      </c>
      <c r="F191" s="39" t="str">
        <f>+VLOOKUP(A191,'Modelo Datos'!D:AD,27,0)</f>
        <v>B64070642</v>
      </c>
      <c r="G191" s="38">
        <f>+VLOOKUP(A191,'Modelo Datos'!D:F,3,0)</f>
        <v>46080</v>
      </c>
      <c r="H191" t="str">
        <f>+VLOOKUP(A191,'Modelo Datos'!D:AD,19,0)</f>
        <v>OCCIDENT</v>
      </c>
      <c r="I191">
        <f>+VLOOKUP(A191,'Modelo Datos'!D:AD,10,0)</f>
        <v>0</v>
      </c>
      <c r="J191">
        <f>+VLOOKUP(A191,'Modelo Datos'!D:AD,13,0)</f>
        <v>0</v>
      </c>
    </row>
    <row r="192" spans="1:10" x14ac:dyDescent="0.35">
      <c r="A192" t="s">
        <v>177</v>
      </c>
      <c r="B192">
        <v>8473.3700000000008</v>
      </c>
      <c r="C192">
        <v>847.3370000000001</v>
      </c>
      <c r="D192">
        <v>677.8696000000001</v>
      </c>
      <c r="E192">
        <v>169.46740000000003</v>
      </c>
      <c r="F192" s="39" t="str">
        <f>+VLOOKUP(A192,'Modelo Datos'!D:AD,27,0)</f>
        <v>74335842A</v>
      </c>
      <c r="G192" s="38">
        <f>+VLOOKUP(A192,'Modelo Datos'!D:F,3,0)</f>
        <v>46079</v>
      </c>
      <c r="H192" t="str">
        <f>+VLOOKUP(A192,'Modelo Datos'!D:AD,19,0)</f>
        <v>MAPFRE</v>
      </c>
      <c r="I192">
        <f>+VLOOKUP(A192,'Modelo Datos'!D:AD,10,0)</f>
        <v>0</v>
      </c>
      <c r="J192">
        <f>+VLOOKUP(A192,'Modelo Datos'!D:AD,13,0)</f>
        <v>0</v>
      </c>
    </row>
    <row r="193" spans="1:10" x14ac:dyDescent="0.35">
      <c r="A193" t="s">
        <v>170</v>
      </c>
      <c r="B193">
        <v>6456.39</v>
      </c>
      <c r="C193">
        <v>645.63900000000001</v>
      </c>
      <c r="D193">
        <v>516.51120000000003</v>
      </c>
      <c r="E193">
        <v>129.12780000000001</v>
      </c>
      <c r="F193" s="39" t="str">
        <f>+VLOOKUP(A193,'Modelo Datos'!D:AD,27,0)</f>
        <v>48517554C</v>
      </c>
      <c r="G193" s="38">
        <f>+VLOOKUP(A193,'Modelo Datos'!D:F,3,0)</f>
        <v>46079</v>
      </c>
      <c r="H193" t="str">
        <f>+VLOOKUP(A193,'Modelo Datos'!D:AD,19,0)</f>
        <v>MAPFRE</v>
      </c>
      <c r="I193">
        <f>+VLOOKUP(A193,'Modelo Datos'!D:AD,10,0)</f>
        <v>0</v>
      </c>
      <c r="J193">
        <f>+VLOOKUP(A193,'Modelo Datos'!D:AD,13,0)</f>
        <v>0</v>
      </c>
    </row>
    <row r="194" spans="1:10" x14ac:dyDescent="0.35">
      <c r="A194" t="s">
        <v>219</v>
      </c>
      <c r="B194">
        <v>1519.32</v>
      </c>
      <c r="C194">
        <v>121.54559999999999</v>
      </c>
      <c r="D194">
        <v>91.159199999999998</v>
      </c>
      <c r="E194">
        <v>30.386399999999998</v>
      </c>
      <c r="F194" s="39" t="str">
        <f>+VLOOKUP(A194,'Modelo Datos'!D:AD,27,0)</f>
        <v>B14771331</v>
      </c>
      <c r="G194" s="38">
        <f>+VLOOKUP(A194,'Modelo Datos'!D:F,3,0)</f>
        <v>46079</v>
      </c>
      <c r="H194" t="str">
        <f>+VLOOKUP(A194,'Modelo Datos'!D:AD,19,0)</f>
        <v>OCCIDENT</v>
      </c>
      <c r="I194">
        <f>+VLOOKUP(A194,'Modelo Datos'!D:AD,10,0)</f>
        <v>0</v>
      </c>
      <c r="J194">
        <f>+VLOOKUP(A194,'Modelo Datos'!D:AD,13,0)</f>
        <v>0</v>
      </c>
    </row>
    <row r="195" spans="1:10" x14ac:dyDescent="0.35">
      <c r="A195" t="s">
        <v>220</v>
      </c>
      <c r="B195">
        <v>13940.34</v>
      </c>
      <c r="C195">
        <v>1115.2272</v>
      </c>
      <c r="D195">
        <v>836.42040000000009</v>
      </c>
      <c r="E195">
        <v>278.80680000000001</v>
      </c>
      <c r="F195" s="39" t="str">
        <f>+VLOOKUP(A195,'Modelo Datos'!D:AD,27,0)</f>
        <v>B14771331</v>
      </c>
      <c r="G195" s="38">
        <f>+VLOOKUP(A195,'Modelo Datos'!D:F,3,0)</f>
        <v>46079</v>
      </c>
      <c r="H195" t="str">
        <f>+VLOOKUP(A195,'Modelo Datos'!D:AD,19,0)</f>
        <v>OCCIDENT</v>
      </c>
      <c r="I195">
        <f>+VLOOKUP(A195,'Modelo Datos'!D:AD,10,0)</f>
        <v>0</v>
      </c>
      <c r="J195">
        <f>+VLOOKUP(A195,'Modelo Datos'!D:AD,13,0)</f>
        <v>0</v>
      </c>
    </row>
    <row r="196" spans="1:10" x14ac:dyDescent="0.35">
      <c r="A196" t="s">
        <v>221</v>
      </c>
      <c r="B196">
        <v>2954.94</v>
      </c>
      <c r="C196">
        <v>236.39520000000002</v>
      </c>
      <c r="D196">
        <v>177.29640000000001</v>
      </c>
      <c r="E196">
        <v>59.098800000000004</v>
      </c>
      <c r="F196" s="39" t="str">
        <f>+VLOOKUP(A196,'Modelo Datos'!D:AD,27,0)</f>
        <v>B14771331</v>
      </c>
      <c r="G196" s="38">
        <f>+VLOOKUP(A196,'Modelo Datos'!D:F,3,0)</f>
        <v>46079</v>
      </c>
      <c r="H196" t="str">
        <f>+VLOOKUP(A196,'Modelo Datos'!D:AD,19,0)</f>
        <v>OCCIDENT</v>
      </c>
      <c r="I196">
        <f>+VLOOKUP(A196,'Modelo Datos'!D:AD,10,0)</f>
        <v>0</v>
      </c>
      <c r="J196">
        <f>+VLOOKUP(A196,'Modelo Datos'!D:AD,13,0)</f>
        <v>0</v>
      </c>
    </row>
    <row r="197" spans="1:10" x14ac:dyDescent="0.35">
      <c r="A197" t="s">
        <v>255</v>
      </c>
      <c r="B197">
        <v>1405.06</v>
      </c>
      <c r="C197">
        <v>196.70840000000001</v>
      </c>
      <c r="D197">
        <v>168.60720000000001</v>
      </c>
      <c r="E197">
        <v>28.101199999999999</v>
      </c>
      <c r="F197" s="39" t="str">
        <f>+VLOOKUP(A197,'Modelo Datos'!D:AD,27,0)</f>
        <v>34829778G</v>
      </c>
      <c r="G197" s="38">
        <f>+VLOOKUP(A197,'Modelo Datos'!D:F,3,0)</f>
        <v>46079</v>
      </c>
      <c r="H197" t="str">
        <f>+VLOOKUP(A197,'Modelo Datos'!D:AD,19,0)</f>
        <v>ALLIANZ</v>
      </c>
      <c r="I197">
        <f>+VLOOKUP(A197,'Modelo Datos'!D:AD,10,0)</f>
        <v>0</v>
      </c>
      <c r="J197">
        <f>+VLOOKUP(A197,'Modelo Datos'!D:AD,13,0)</f>
        <v>0</v>
      </c>
    </row>
    <row r="198" spans="1:10" x14ac:dyDescent="0.35">
      <c r="A198" t="s">
        <v>252</v>
      </c>
      <c r="B198">
        <v>10149.57</v>
      </c>
      <c r="C198">
        <v>1116.4527</v>
      </c>
      <c r="D198">
        <v>913.46130000000005</v>
      </c>
      <c r="E198">
        <v>202.9914</v>
      </c>
      <c r="F198" s="39" t="str">
        <f>+VLOOKUP(A198,'Modelo Datos'!D:AD,27,0)</f>
        <v>27450223E</v>
      </c>
      <c r="G198" s="38">
        <f>+VLOOKUP(A198,'Modelo Datos'!D:F,3,0)</f>
        <v>46080</v>
      </c>
      <c r="H198" t="str">
        <f>+VLOOKUP(A198,'Modelo Datos'!D:AD,19,0)</f>
        <v>ALLIANZ</v>
      </c>
      <c r="I198">
        <f>+VLOOKUP(A198,'Modelo Datos'!D:AD,10,0)</f>
        <v>0</v>
      </c>
      <c r="J198">
        <f>+VLOOKUP(A198,'Modelo Datos'!D:AD,13,0)</f>
        <v>0</v>
      </c>
    </row>
    <row r="199" spans="1:10" x14ac:dyDescent="0.35">
      <c r="A199" t="s">
        <v>224</v>
      </c>
      <c r="B199">
        <v>43933.4</v>
      </c>
      <c r="C199">
        <v>4393.34</v>
      </c>
      <c r="D199">
        <v>3514.672</v>
      </c>
      <c r="E199">
        <v>878.66800000000001</v>
      </c>
      <c r="F199" s="39" t="str">
        <f>+VLOOKUP(A199,'Modelo Datos'!D:AD,27,0)</f>
        <v>B75604611</v>
      </c>
      <c r="G199" s="38">
        <f>+VLOOKUP(A199,'Modelo Datos'!D:F,3,0)</f>
        <v>46080</v>
      </c>
      <c r="H199" t="str">
        <f>+VLOOKUP(A199,'Modelo Datos'!D:AD,19,0)</f>
        <v>OCCIDENT</v>
      </c>
      <c r="I199">
        <f>+VLOOKUP(A199,'Modelo Datos'!D:AD,10,0)</f>
        <v>0</v>
      </c>
      <c r="J199">
        <f>+VLOOKUP(A199,'Modelo Datos'!D:AD,13,0)</f>
        <v>0</v>
      </c>
    </row>
    <row r="200" spans="1:10" x14ac:dyDescent="0.35">
      <c r="A200" t="s">
        <v>110</v>
      </c>
      <c r="B200">
        <v>483.06</v>
      </c>
      <c r="C200">
        <v>14.491800000000001</v>
      </c>
      <c r="D200">
        <v>4.8306000000000004</v>
      </c>
      <c r="E200">
        <v>9.6612000000000009</v>
      </c>
      <c r="F200" s="39" t="str">
        <f>+VLOOKUP(A200,'Modelo Datos'!D:AD,27,0)</f>
        <v>29040770G</v>
      </c>
      <c r="G200" s="38">
        <f>+VLOOKUP(A200,'Modelo Datos'!D:F,3,0)</f>
        <v>46080</v>
      </c>
      <c r="H200" t="str">
        <f>+VLOOKUP(A200,'Modelo Datos'!D:AD,19,0)</f>
        <v>ALLIANZ</v>
      </c>
      <c r="I200">
        <f>+VLOOKUP(A200,'Modelo Datos'!D:AD,10,0)</f>
        <v>0</v>
      </c>
      <c r="J200">
        <f>+VLOOKUP(A200,'Modelo Datos'!D:AD,13,0)</f>
        <v>0</v>
      </c>
    </row>
    <row r="201" spans="1:10" x14ac:dyDescent="0.35">
      <c r="A201" t="s">
        <v>233</v>
      </c>
      <c r="B201">
        <v>128691.73000000001</v>
      </c>
      <c r="C201">
        <v>14993.779859999999</v>
      </c>
      <c r="D201">
        <v>13613.23516</v>
      </c>
      <c r="E201">
        <v>1380.5446999999999</v>
      </c>
      <c r="F201" s="39" t="str">
        <f>+VLOOKUP(A201,'Modelo Datos'!D:AD,27,0)</f>
        <v>B05570288</v>
      </c>
      <c r="G201" s="38">
        <f>+VLOOKUP(A201,'Modelo Datos'!D:F,3,0)</f>
        <v>46073</v>
      </c>
      <c r="H201" t="str">
        <f>+VLOOKUP(A201,'Modelo Datos'!D:AD,19,0)</f>
        <v>MUSSAP</v>
      </c>
      <c r="I201">
        <f>+VLOOKUP(A201,'Modelo Datos'!D:AD,10,0)</f>
        <v>0</v>
      </c>
      <c r="J201">
        <f>+VLOOKUP(A201,'Modelo Datos'!D:AD,13,0)</f>
        <v>0</v>
      </c>
    </row>
    <row r="202" spans="1:10" x14ac:dyDescent="0.35">
      <c r="A202" t="s">
        <v>236</v>
      </c>
      <c r="B202">
        <v>170829.16999999998</v>
      </c>
      <c r="C202">
        <v>19841.207010000002</v>
      </c>
      <c r="D202">
        <v>17595.40451</v>
      </c>
      <c r="E202">
        <v>2245.8024999999998</v>
      </c>
      <c r="F202" s="39" t="str">
        <f>+VLOOKUP(A202,'Modelo Datos'!D:AD,27,0)</f>
        <v>B02633626</v>
      </c>
      <c r="G202" s="38">
        <f>+VLOOKUP(A202,'Modelo Datos'!D:F,3,0)</f>
        <v>46079</v>
      </c>
      <c r="H202" t="str">
        <f>+VLOOKUP(A202,'Modelo Datos'!D:AD,19,0)</f>
        <v>MUSSAP</v>
      </c>
      <c r="I202">
        <f>+VLOOKUP(A202,'Modelo Datos'!D:AD,10,0)</f>
        <v>0</v>
      </c>
      <c r="J202">
        <f>+VLOOKUP(A202,'Modelo Datos'!D:AD,13,0)</f>
        <v>0</v>
      </c>
    </row>
    <row r="203" spans="1:10" x14ac:dyDescent="0.35">
      <c r="A203" t="s">
        <v>661</v>
      </c>
      <c r="B203">
        <v>163174.9</v>
      </c>
      <c r="C203">
        <v>19988.92525</v>
      </c>
      <c r="D203">
        <v>18357.17625</v>
      </c>
      <c r="E203">
        <v>1631.749</v>
      </c>
      <c r="F203" s="39" t="str">
        <f>+VLOOKUP(A203,'Modelo Datos'!D:AD,27,0)</f>
        <v>B73656480</v>
      </c>
      <c r="G203" s="38">
        <f>+VLOOKUP(A203,'Modelo Datos'!D:F,3,0)</f>
        <v>46048</v>
      </c>
      <c r="H203" t="str">
        <f>+VLOOKUP(A203,'Modelo Datos'!D:AD,19,0)</f>
        <v>MUSSAP</v>
      </c>
      <c r="I203">
        <f>+VLOOKUP(A203,'Modelo Datos'!D:AD,10,0)</f>
        <v>0</v>
      </c>
      <c r="J203">
        <f>+VLOOKUP(A203,'Modelo Datos'!D:AD,13,0)</f>
        <v>0</v>
      </c>
    </row>
    <row r="204" spans="1:10" x14ac:dyDescent="0.35">
      <c r="A204" t="s">
        <v>651</v>
      </c>
      <c r="B204">
        <v>65164.72</v>
      </c>
      <c r="C204">
        <v>8797.2371999999996</v>
      </c>
      <c r="D204">
        <v>8145.59</v>
      </c>
      <c r="E204">
        <v>651.6472</v>
      </c>
      <c r="F204" s="39" t="str">
        <f>+VLOOKUP(A204,'Modelo Datos'!D:AD,27,0)</f>
        <v>B54508940</v>
      </c>
      <c r="G204" s="38">
        <f>+VLOOKUP(A204,'Modelo Datos'!D:F,3,0)</f>
        <v>46050</v>
      </c>
      <c r="H204" t="str">
        <f>+VLOOKUP(A204,'Modelo Datos'!D:AD,19,0)</f>
        <v>MUSSAP</v>
      </c>
      <c r="I204">
        <f>+VLOOKUP(A204,'Modelo Datos'!D:AD,10,0)</f>
        <v>0</v>
      </c>
      <c r="J204">
        <f>+VLOOKUP(A204,'Modelo Datos'!D:AD,13,0)</f>
        <v>0</v>
      </c>
    </row>
    <row r="205" spans="1:10" x14ac:dyDescent="0.35">
      <c r="A205" t="s">
        <v>654</v>
      </c>
      <c r="B205">
        <v>33676.839999999997</v>
      </c>
      <c r="C205">
        <v>4125.4128999999994</v>
      </c>
      <c r="D205">
        <v>3788.6444999999994</v>
      </c>
      <c r="E205">
        <v>336.76839999999999</v>
      </c>
      <c r="F205" s="39" t="str">
        <f>+VLOOKUP(A205,'Modelo Datos'!D:AD,27,0)</f>
        <v>B73952970</v>
      </c>
      <c r="G205" s="38">
        <f>+VLOOKUP(A205,'Modelo Datos'!D:F,3,0)</f>
        <v>46050</v>
      </c>
      <c r="H205" t="str">
        <f>+VLOOKUP(A205,'Modelo Datos'!D:AD,19,0)</f>
        <v>MUSSAP</v>
      </c>
      <c r="I205">
        <f>+VLOOKUP(A205,'Modelo Datos'!D:AD,10,0)</f>
        <v>0</v>
      </c>
      <c r="J205">
        <f>+VLOOKUP(A205,'Modelo Datos'!D:AD,13,0)</f>
        <v>0</v>
      </c>
    </row>
    <row r="206" spans="1:10" x14ac:dyDescent="0.35">
      <c r="A206" t="s">
        <v>227</v>
      </c>
      <c r="B206">
        <v>19187.89</v>
      </c>
      <c r="C206">
        <v>2168.2315700000004</v>
      </c>
      <c r="D206">
        <v>1976.3526700000002</v>
      </c>
      <c r="E206">
        <v>191.87889999999999</v>
      </c>
      <c r="F206" s="39" t="str">
        <f>+VLOOKUP(A206,'Modelo Datos'!D:AD,27,0)</f>
        <v>B05570270</v>
      </c>
      <c r="G206" s="38">
        <f>+VLOOKUP(A206,'Modelo Datos'!D:F,3,0)</f>
        <v>46073</v>
      </c>
      <c r="H206" t="str">
        <f>+VLOOKUP(A206,'Modelo Datos'!D:AD,19,0)</f>
        <v>MUSSAP</v>
      </c>
      <c r="I206">
        <f>+VLOOKUP(A206,'Modelo Datos'!D:AD,10,0)</f>
        <v>0</v>
      </c>
      <c r="J206">
        <f>+VLOOKUP(A206,'Modelo Datos'!D:AD,13,0)</f>
        <v>0</v>
      </c>
    </row>
    <row r="207" spans="1:10" x14ac:dyDescent="0.35">
      <c r="A207" t="s">
        <v>232</v>
      </c>
      <c r="B207">
        <v>40792.44</v>
      </c>
      <c r="C207">
        <v>4609.5457200000001</v>
      </c>
      <c r="D207">
        <v>4201.6213200000002</v>
      </c>
      <c r="E207">
        <v>407.92440000000005</v>
      </c>
      <c r="F207" s="39" t="str">
        <f>+VLOOKUP(A207,'Modelo Datos'!D:AD,27,0)</f>
        <v>B05570270</v>
      </c>
      <c r="G207" s="38">
        <f>+VLOOKUP(A207,'Modelo Datos'!D:F,3,0)</f>
        <v>46073</v>
      </c>
      <c r="H207" t="str">
        <f>+VLOOKUP(A207,'Modelo Datos'!D:AD,19,0)</f>
        <v>MUSSAP</v>
      </c>
      <c r="I207">
        <f>+VLOOKUP(A207,'Modelo Datos'!D:AD,10,0)</f>
        <v>0</v>
      </c>
      <c r="J207">
        <f>+VLOOKUP(A207,'Modelo Datos'!D:AD,13,0)</f>
        <v>0</v>
      </c>
    </row>
    <row r="208" spans="1:10" x14ac:dyDescent="0.35">
      <c r="A208" t="s">
        <v>711</v>
      </c>
      <c r="F208" s="39" t="e">
        <f>+VLOOKUP(A208,'Modelo Datos'!D:AD,27,0)</f>
        <v>#N/A</v>
      </c>
      <c r="G208" s="38"/>
      <c r="H208" t="e">
        <f>+VLOOKUP(A208,'Modelo Datos'!D:AD,19,0)</f>
        <v>#N/A</v>
      </c>
      <c r="I208" t="e">
        <f>+VLOOKUP(A208,'Modelo Datos'!D:AD,10,0)</f>
        <v>#N/A</v>
      </c>
      <c r="J208" t="e">
        <f>+VLOOKUP(A208,'Modelo Datos'!D:AD,13,0)</f>
        <v>#N/A</v>
      </c>
    </row>
    <row r="209" spans="1:10" x14ac:dyDescent="0.35">
      <c r="A209" t="s">
        <v>677</v>
      </c>
      <c r="B209">
        <v>6791165.0300000031</v>
      </c>
      <c r="C209">
        <v>748332.17964499956</v>
      </c>
      <c r="D209">
        <v>580133.15634500026</v>
      </c>
      <c r="E209">
        <v>168199.02329999997</v>
      </c>
      <c r="F209" s="39" t="e">
        <f>+VLOOKUP(A209,'Modelo Datos'!D:AD,27,0)</f>
        <v>#N/A</v>
      </c>
      <c r="G209" s="38"/>
      <c r="H209" t="e">
        <f>+VLOOKUP(A209,'Modelo Datos'!D:AD,19,0)</f>
        <v>#N/A</v>
      </c>
      <c r="I209" t="e">
        <f>+VLOOKUP(A209,'Modelo Datos'!D:AD,10,0)</f>
        <v>#N/A</v>
      </c>
      <c r="J209" t="e">
        <f>+VLOOKUP(A209,'Modelo Datos'!D:AD,13,0)</f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D59B25-0BE4-4092-A380-FE4CC87DD9DC}">
  <ds:schemaRefs>
    <ds:schemaRef ds:uri="http://purl.org/dc/elements/1.1/"/>
    <ds:schemaRef ds:uri="76700608-87c1-4b7c-937f-b2582eea695b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5c680a88-8913-4f49-a90f-96ec542e1a5b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5C4984C-1532-4EF4-BF02-3CE9A3C98C1C}"/>
</file>

<file path=customXml/itemProps3.xml><?xml version="1.0" encoding="utf-8"?>
<ds:datastoreItem xmlns:ds="http://schemas.openxmlformats.org/officeDocument/2006/customXml" ds:itemID="{FE3283E5-3A07-49D6-A69A-14E2C452FE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Descripción</vt:lpstr>
      <vt:lpstr>Modelo Datos</vt:lpstr>
      <vt:lpstr>TD</vt:lpstr>
      <vt:lpstr>REPORT</vt:lpstr>
      <vt:lpstr>Otros ingresos</vt:lpstr>
      <vt:lpstr>Validación Datos</vt:lpstr>
      <vt:lpstr>clientes</vt:lpstr>
      <vt:lpstr>polizas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 Torres</dc:creator>
  <cp:keywords/>
  <dc:description/>
  <cp:lastModifiedBy>Pere Torres</cp:lastModifiedBy>
  <cp:revision/>
  <dcterms:created xsi:type="dcterms:W3CDTF">2025-06-26T11:08:49Z</dcterms:created>
  <dcterms:modified xsi:type="dcterms:W3CDTF">2026-03-09T12:37:11Z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0x010100526B37DCBE27DF4DB781863BFA31B7FA</vt:lpwstr>
  </property>
  <property fmtid="{D5CDD505-2E9C-101B-9397-08002B2CF9AE}" pid="3" name="MediaServiceImageTags">
    <vt:lpwstr/>
  </property>
</Properties>
</file>