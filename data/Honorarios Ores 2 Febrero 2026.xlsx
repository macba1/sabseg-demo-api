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bsegseguros.sharepoint.com/sites/OresyBryan/Shared Documents/ADMINISTRACIÓN/ABRAHAM/O&amp;B/2026/Honorarios/Estadistica mensual/"/>
    </mc:Choice>
  </mc:AlternateContent>
  <xr:revisionPtr revIDLastSave="0" documentId="8_{DFF0A3C2-E785-4539-AA3B-5C7AD2014C86}" xr6:coauthVersionLast="47" xr6:coauthVersionMax="47" xr10:uidLastSave="{00000000-0000-0000-0000-000000000000}"/>
  <bookViews>
    <workbookView xWindow="-120" yWindow="-120" windowWidth="29040" windowHeight="15720" xr2:uid="{D53B408A-195A-410F-A974-6D9B451C3B40}"/>
  </bookViews>
  <sheets>
    <sheet name="Hoja1" sheetId="1" r:id="rId1"/>
  </sheets>
  <definedNames>
    <definedName name="_xlnm._FilterDatabase" localSheetId="0" hidden="1">Hoja1!$A$1:$P$77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7" i="1" l="1"/>
  <c r="I77" i="1"/>
  <c r="D82" i="1" s="1"/>
  <c r="D77" i="1"/>
  <c r="D81" i="1" s="1"/>
  <c r="D83" i="1" l="1"/>
</calcChain>
</file>

<file path=xl/sharedStrings.xml><?xml version="1.0" encoding="utf-8"?>
<sst xmlns="http://schemas.openxmlformats.org/spreadsheetml/2006/main" count="547" uniqueCount="190">
  <si>
    <t>Nº</t>
  </si>
  <si>
    <t>FECHA</t>
  </si>
  <si>
    <t>CLIENTE</t>
  </si>
  <si>
    <t>BASE</t>
  </si>
  <si>
    <t>IVA</t>
  </si>
  <si>
    <t>TOTAL</t>
  </si>
  <si>
    <t>Fecha Cobro</t>
  </si>
  <si>
    <t>COLABORADOR 1</t>
  </si>
  <si>
    <t>IMP. COLAB.</t>
  </si>
  <si>
    <t>% COMIS.</t>
  </si>
  <si>
    <t>COLABORADOR 2</t>
  </si>
  <si>
    <t>IMP. COLAB.2</t>
  </si>
  <si>
    <t>% COMIS.2</t>
  </si>
  <si>
    <t>ORDEN DE FRA.</t>
  </si>
  <si>
    <t>EQUIPO</t>
  </si>
  <si>
    <t>OFICNA</t>
  </si>
  <si>
    <t>FV2-26-000001</t>
  </si>
  <si>
    <t>MIGUEL A OREJA</t>
  </si>
  <si>
    <t>NO HAY COLABORADOR</t>
  </si>
  <si>
    <t>ANA MONTAÑEZ</t>
  </si>
  <si>
    <t>FV2-26-000002</t>
  </si>
  <si>
    <t>JOSE MARIA ESTEBAN</t>
  </si>
  <si>
    <t>LUCIA RODRIGUEZ</t>
  </si>
  <si>
    <t>FV2-26-000003</t>
  </si>
  <si>
    <t>JAVIER RODRIGUEZ / ARCARIO&amp;BROKER</t>
  </si>
  <si>
    <t>FV2-26-000004</t>
  </si>
  <si>
    <t>JOSE LUIS COSTA</t>
  </si>
  <si>
    <t>FV2-26-000005</t>
  </si>
  <si>
    <t>FV2-26-000006</t>
  </si>
  <si>
    <t>CARMEN DIAZ</t>
  </si>
  <si>
    <t>FV2-26-000007</t>
  </si>
  <si>
    <t>ANDRES LOPEZ / LUROPANIAMPI</t>
  </si>
  <si>
    <t>PAULA GALLARDO</t>
  </si>
  <si>
    <t>FV2-26-000008</t>
  </si>
  <si>
    <t>PEPE PEREZ-BRYAN / SCHEDULE S.L.</t>
  </si>
  <si>
    <t>EMILIO SANCHEZ</t>
  </si>
  <si>
    <t>FV2-26-000009</t>
  </si>
  <si>
    <t>ANGEL PEREZ</t>
  </si>
  <si>
    <t>FV2-26-000010</t>
  </si>
  <si>
    <t>RAFAEL GARCIA / GG MANJARON</t>
  </si>
  <si>
    <t>CELIA CARDENETE</t>
  </si>
  <si>
    <t>FV2-26-000011</t>
  </si>
  <si>
    <t>FV2-26-000012</t>
  </si>
  <si>
    <t>FV2-26-000013</t>
  </si>
  <si>
    <t>SANTIAGO RODRIGUEZ</t>
  </si>
  <si>
    <t>FV2-26-000014</t>
  </si>
  <si>
    <t>LUIS MIGUEL ESTEBAN</t>
  </si>
  <si>
    <t>FV2-26-000015</t>
  </si>
  <si>
    <t>FV2-26-000016</t>
  </si>
  <si>
    <t>FV2-26-000017</t>
  </si>
  <si>
    <t>FV2-26-000018</t>
  </si>
  <si>
    <t>FV2-26-000019</t>
  </si>
  <si>
    <t>FV2-26-000020</t>
  </si>
  <si>
    <t>FV2-26-000021</t>
  </si>
  <si>
    <t>VICTOR LOPEZ SANHEMERLANDO</t>
  </si>
  <si>
    <t>FV1-26-000027</t>
  </si>
  <si>
    <t>Vicofa Promocións S.L.</t>
  </si>
  <si>
    <t>FV2-26-000022</t>
  </si>
  <si>
    <t>FV2-26-000023</t>
  </si>
  <si>
    <t>ARTURO RENESES</t>
  </si>
  <si>
    <t>FV2-26-000024</t>
  </si>
  <si>
    <t>FV2-26-000025</t>
  </si>
  <si>
    <t>FV2-26-000026</t>
  </si>
  <si>
    <t>FV2-26-000027</t>
  </si>
  <si>
    <t>FV2-26-000028</t>
  </si>
  <si>
    <t>FV1-26-000024</t>
  </si>
  <si>
    <t>Eurofalp S.L.</t>
  </si>
  <si>
    <t>JON LASFUENTE / THESSALIAN GROUP</t>
  </si>
  <si>
    <t>FV2-26-000029</t>
  </si>
  <si>
    <t>IGNACIO DE LA PEDRAJA</t>
  </si>
  <si>
    <t>TAMARA BAUTISTA</t>
  </si>
  <si>
    <t>FV1-26-000066</t>
  </si>
  <si>
    <t>Aire Limpio S.L.</t>
  </si>
  <si>
    <t>JOSE ESCRIBANO / JET RISK</t>
  </si>
  <si>
    <t>FV2-26-000030</t>
  </si>
  <si>
    <t>FV2-26-000031</t>
  </si>
  <si>
    <t>FV2-26-000032</t>
  </si>
  <si>
    <t>FV2-26-000033</t>
  </si>
  <si>
    <t>FV2-26-000034</t>
  </si>
  <si>
    <t>FV2-26-000035</t>
  </si>
  <si>
    <t>FV2-26-000036</t>
  </si>
  <si>
    <t>FV2-26-000037</t>
  </si>
  <si>
    <t>FV2-26-000038</t>
  </si>
  <si>
    <t>FV2-26-000039</t>
  </si>
  <si>
    <t>FV2-26-000040</t>
  </si>
  <si>
    <t>FV2-26-000041</t>
  </si>
  <si>
    <t>FV2-26-000042</t>
  </si>
  <si>
    <t>FV2-26-000043</t>
  </si>
  <si>
    <t>MANUEL CALERO</t>
  </si>
  <si>
    <t>FV2-26-000044</t>
  </si>
  <si>
    <t>FV2-26-000045</t>
  </si>
  <si>
    <t>FV2-26-000046</t>
  </si>
  <si>
    <t>FV2-26-000047</t>
  </si>
  <si>
    <t>LUIS MARTINEZ</t>
  </si>
  <si>
    <t>FV2-26-000048</t>
  </si>
  <si>
    <t>FV2-26-000049</t>
  </si>
  <si>
    <t>FV2-26-000050</t>
  </si>
  <si>
    <t>FV2-26-000051</t>
  </si>
  <si>
    <t>JUAN CARLOS ESTEBAN</t>
  </si>
  <si>
    <t>FV2-26-000052</t>
  </si>
  <si>
    <t>FV2-26-000053</t>
  </si>
  <si>
    <t>FV2-26-000054</t>
  </si>
  <si>
    <t>EMILIO VARGAS / VARINVEST</t>
  </si>
  <si>
    <t>FV2-26-000055</t>
  </si>
  <si>
    <t>FV2-26-000056</t>
  </si>
  <si>
    <t>FV2-26-000057</t>
  </si>
  <si>
    <t>AV2-26-000001</t>
  </si>
  <si>
    <t>MAGDALENA PASCUAL</t>
  </si>
  <si>
    <t>FV2-26-000058</t>
  </si>
  <si>
    <t>AV2-26-000002</t>
  </si>
  <si>
    <t>FV2-25-000343</t>
  </si>
  <si>
    <t>FV2-26-000059</t>
  </si>
  <si>
    <t>FV2-26-000060</t>
  </si>
  <si>
    <t>FV2-26-000061</t>
  </si>
  <si>
    <t>FV2-26-000062</t>
  </si>
  <si>
    <t>GUSTAVO JIMENEZ / MAQUEDANO</t>
  </si>
  <si>
    <t>BBVA BROKER</t>
  </si>
  <si>
    <t>FV2-26-000063</t>
  </si>
  <si>
    <t>FV2-26-000064</t>
  </si>
  <si>
    <t>FV2-26-000065</t>
  </si>
  <si>
    <t>FV2-26-000066</t>
  </si>
  <si>
    <t>MIGUEL ESTEBAN</t>
  </si>
  <si>
    <t>FV2-26-000067</t>
  </si>
  <si>
    <t>FV2-26-000068</t>
  </si>
  <si>
    <t>FV2-26-000069</t>
  </si>
  <si>
    <t>FV2-26-000070</t>
  </si>
  <si>
    <t>Global Tektia S.L.</t>
  </si>
  <si>
    <t>CAUCIÓN</t>
  </si>
  <si>
    <t>MARBELLA</t>
  </si>
  <si>
    <t>NEGOCIO Y PLAYA S.L.</t>
  </si>
  <si>
    <t>Onlyparking S.L.</t>
  </si>
  <si>
    <t>STRAIT VILLA S.L.</t>
  </si>
  <si>
    <t>Alse Park S.L.</t>
  </si>
  <si>
    <t>Pink Bay Investments S.L.</t>
  </si>
  <si>
    <t>GENERALES</t>
  </si>
  <si>
    <t>MALAGA</t>
  </si>
  <si>
    <t>Constructora Lateral 10 S.L.U.</t>
  </si>
  <si>
    <t>YOUR PLACE REAL ESTATE SL</t>
  </si>
  <si>
    <t>Resa collantes Sur S.L.</t>
  </si>
  <si>
    <t>SEVILLA</t>
  </si>
  <si>
    <t>Oasis Living Resort S.L.</t>
  </si>
  <si>
    <t>Promocions Citavik S.L.</t>
  </si>
  <si>
    <t>Numta Constructora S.L.</t>
  </si>
  <si>
    <t>MADRID</t>
  </si>
  <si>
    <t>Ebury Partners Belgium</t>
  </si>
  <si>
    <t>Thessalian Engineering Group S.L.</t>
  </si>
  <si>
    <t>COGITARI PINARES DE SAN ANTON</t>
  </si>
  <si>
    <t>Urbania Resi Developments I S.A.</t>
  </si>
  <si>
    <t>Máximo Décimo Meridio Invest S.L.</t>
  </si>
  <si>
    <t>Desarrollos Pradomarina 2022 S.L.</t>
  </si>
  <si>
    <t>Mirador del Pinar S.C.A.</t>
  </si>
  <si>
    <t>MAGALLSUR CONSTRUCCIONES REHABILITACIONES S.L.</t>
  </si>
  <si>
    <t>Lomas del Sur S.A.</t>
  </si>
  <si>
    <t>Nordal Antigua S.L.U.</t>
  </si>
  <si>
    <t>ARENA POWER REN 31 S.L.</t>
  </si>
  <si>
    <t>ARENA POWER REN 32 S.L.</t>
  </si>
  <si>
    <t>ARENA POWER REN 33 S.L.</t>
  </si>
  <si>
    <t>ARENA POWER REN 34 S.L.</t>
  </si>
  <si>
    <t>ARENA POWER REN 35 S.L.</t>
  </si>
  <si>
    <t>ARENA POWER REN 36 S.L.</t>
  </si>
  <si>
    <t>ARENA POWER REN 37 S.L.</t>
  </si>
  <si>
    <t>ARENA POWER REN 38 S.L.</t>
  </si>
  <si>
    <t>SAVANNA POWER SOLAR 15 S.L.U.</t>
  </si>
  <si>
    <t>SAVANNA POWER SOLAR 17 S.L.U.</t>
  </si>
  <si>
    <t>SAVANNA POWER SOLAR 18 S.L.U.</t>
  </si>
  <si>
    <t>SAVANNA POWER SOLAR 14 S.L.U.</t>
  </si>
  <si>
    <t>EXTENSION DEPORTIVA XXI SLU</t>
  </si>
  <si>
    <t>WHITE PEAK PROPERTIES</t>
  </si>
  <si>
    <t>ABU SAN PEDRO II S.L.</t>
  </si>
  <si>
    <t>Promolipal S.L.</t>
  </si>
  <si>
    <t>LA FINCA DE JASMINE, S.L.</t>
  </si>
  <si>
    <t>Residencial Puertalcantara S.L.</t>
  </si>
  <si>
    <t>Novo Calpe Sociedad Cooperativa Madrileña</t>
  </si>
  <si>
    <t>ELS PLANS PLANTA FOTOVOLTAICA SL</t>
  </si>
  <si>
    <t>LES QUADRES PLANTA FOTOVOLTAICA SL</t>
  </si>
  <si>
    <t>Rosaleda Gardens Cooperativa</t>
  </si>
  <si>
    <t>AFIANZA ASESORES S.L.</t>
  </si>
  <si>
    <t>El Laberinto de las Mariposas SL</t>
  </si>
  <si>
    <t>Dossia Complementos S.L.</t>
  </si>
  <si>
    <t>Empledis S.L.</t>
  </si>
  <si>
    <t>Lusena Real Estate S.L.</t>
  </si>
  <si>
    <t>Construcciones Frances S.A.</t>
  </si>
  <si>
    <t>Asoc. Humanos con Recursos</t>
  </si>
  <si>
    <t>Roots Desarrollos Constructivos S.A.</t>
  </si>
  <si>
    <t>Const. y Rehab. Integral de Viviendas Hispalis S.L</t>
  </si>
  <si>
    <t>CLUB DE ESPACIO DEPORTIVO Y OCIO S.L.</t>
  </si>
  <si>
    <t>Alcyon Photonics S.L.</t>
  </si>
  <si>
    <t>Honorarios a 28/02/2026</t>
  </si>
  <si>
    <t>Honorarios cedidos a 28/02/2026</t>
  </si>
  <si>
    <t>% Honorarios cedidos a 28/02/2026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</si>
</sst>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;@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1" fontId="0" fillId="0" borderId="0" xfId="0" applyNumberFormat="1"/>
    <xf numFmtId="14" fontId="0" fillId="0" borderId="0" xfId="0" applyNumberFormat="1"/>
    <xf numFmtId="2" fontId="0" fillId="0" borderId="0" xfId="0" applyNumberFormat="1"/>
    <xf numFmtId="4" fontId="0" fillId="0" borderId="0" xfId="0" applyNumberFormat="1"/>
    <xf numFmtId="164" fontId="0" fillId="0" borderId="0" xfId="0" applyNumberFormat="1"/>
    <xf numFmtId="9" fontId="0" fillId="0" borderId="0" xfId="0" applyNumberFormat="1"/>
    <xf numFmtId="49" fontId="0" fillId="0" borderId="0" xfId="0" applyNumberFormat="1"/>
    <xf numFmtId="0" fontId="0" fillId="0" borderId="1" xfId="0" applyBorder="1"/>
    <xf numFmtId="4" fontId="0" fillId="0" borderId="1" xfId="0" applyNumberFormat="1" applyBorder="1"/>
    <xf numFmtId="10" fontId="0" fillId="0" borderId="1" xfId="1" applyNumberFormat="1" applyFont="1" applyBorder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D99C4-0722-4C2D-83FE-AF9E39C5AC59}">
  <dimension ref="A1:P83"/>
  <sheetViews>
    <sheetView tabSelected="1" topLeftCell="A52" workbookViewId="0">
      <selection activeCell="C81" sqref="C81"/>
    </sheetView>
  </sheetViews>
  <sheetFormatPr baseColWidth="10" defaultRowHeight="15" x14ac:dyDescent="0.25"/>
  <cols>
    <col min="1" max="1" width="13.7109375" bestFit="1" customWidth="1"/>
    <col min="2" max="2" width="10.42578125" bestFit="1" customWidth="1"/>
    <col min="3" max="3" width="49.140625" bestFit="1" customWidth="1"/>
    <col min="4" max="4" width="10.140625" bestFit="1" customWidth="1"/>
    <col min="5" max="5" width="9.140625" bestFit="1" customWidth="1"/>
    <col min="6" max="6" width="10.140625" bestFit="1" customWidth="1"/>
    <col min="7" max="7" width="13.7109375" bestFit="1" customWidth="1"/>
    <col min="8" max="8" width="35.42578125" bestFit="1" customWidth="1"/>
    <col min="9" max="9" width="11.5703125" bestFit="1" customWidth="1"/>
    <col min="10" max="10" width="9.28515625" bestFit="1" customWidth="1"/>
    <col min="11" max="11" width="21.7109375" bestFit="1" customWidth="1"/>
    <col min="12" max="12" width="12.5703125" bestFit="1" customWidth="1"/>
    <col min="13" max="13" width="10.28515625" bestFit="1" customWidth="1"/>
    <col min="14" max="14" width="20.7109375" bestFit="1" customWidth="1"/>
    <col min="15" max="15" width="14" bestFit="1" customWidth="1"/>
    <col min="16" max="16" width="9.85546875" bestFit="1" customWidth="1"/>
  </cols>
  <sheetData>
    <row r="1" spans="1:16" x14ac:dyDescent="0.2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3" t="s">
        <v>7</v>
      </c>
      <c r="I1" s="4" t="s">
        <v>8</v>
      </c>
      <c r="J1" s="6" t="s">
        <v>9</v>
      </c>
      <c r="K1" s="3" t="s">
        <v>10</v>
      </c>
      <c r="L1" s="4" t="s">
        <v>11</v>
      </c>
      <c r="M1" s="6" t="s">
        <v>12</v>
      </c>
      <c r="N1" s="3" t="s">
        <v>13</v>
      </c>
      <c r="O1" s="3" t="s">
        <v>14</v>
      </c>
      <c r="P1" t="s">
        <v>15</v>
      </c>
    </row>
    <row r="2" spans="1:16" x14ac:dyDescent="0.25">
      <c r="A2" s="7" t="s">
        <v>16</v>
      </c>
      <c r="B2" s="2">
        <v>46051</v>
      </c>
      <c r="C2" s="2" t="s">
        <v>126</v>
      </c>
      <c r="D2" s="4">
        <v>900</v>
      </c>
      <c r="E2" s="4">
        <v>189</v>
      </c>
      <c r="F2" s="4">
        <v>1089</v>
      </c>
      <c r="G2" s="2">
        <v>46031</v>
      </c>
      <c r="H2" t="s">
        <v>17</v>
      </c>
      <c r="I2" s="4">
        <v>225</v>
      </c>
      <c r="J2" s="6">
        <v>0.25</v>
      </c>
      <c r="K2" t="s">
        <v>18</v>
      </c>
      <c r="L2" s="4">
        <v>0</v>
      </c>
      <c r="M2" s="6">
        <v>0</v>
      </c>
      <c r="N2" t="s">
        <v>19</v>
      </c>
      <c r="O2" t="s">
        <v>127</v>
      </c>
      <c r="P2" t="s">
        <v>128</v>
      </c>
    </row>
    <row r="3" spans="1:16" x14ac:dyDescent="0.25">
      <c r="A3" s="7" t="s">
        <v>20</v>
      </c>
      <c r="B3" s="2">
        <v>46051</v>
      </c>
      <c r="C3" s="2" t="s">
        <v>129</v>
      </c>
      <c r="D3" s="4">
        <v>484</v>
      </c>
      <c r="E3" s="4">
        <v>101.63999999999999</v>
      </c>
      <c r="F3" s="4">
        <v>585.64</v>
      </c>
      <c r="G3" s="2">
        <v>46049</v>
      </c>
      <c r="H3" t="s">
        <v>21</v>
      </c>
      <c r="I3" s="4">
        <v>0</v>
      </c>
      <c r="J3" s="6">
        <v>0</v>
      </c>
      <c r="K3" t="s">
        <v>18</v>
      </c>
      <c r="L3" s="4">
        <v>0</v>
      </c>
      <c r="M3" s="6">
        <v>0</v>
      </c>
      <c r="N3" t="s">
        <v>22</v>
      </c>
      <c r="O3" t="s">
        <v>127</v>
      </c>
      <c r="P3" t="s">
        <v>128</v>
      </c>
    </row>
    <row r="4" spans="1:16" x14ac:dyDescent="0.25">
      <c r="A4" s="7" t="s">
        <v>23</v>
      </c>
      <c r="B4" s="2">
        <v>46051</v>
      </c>
      <c r="C4" s="2" t="s">
        <v>130</v>
      </c>
      <c r="D4" s="4">
        <v>6150</v>
      </c>
      <c r="E4" s="4">
        <v>1291.5</v>
      </c>
      <c r="F4" s="4">
        <v>7441.5</v>
      </c>
      <c r="G4" s="2">
        <v>46031</v>
      </c>
      <c r="H4" t="s">
        <v>24</v>
      </c>
      <c r="I4" s="4">
        <v>3075</v>
      </c>
      <c r="J4" s="6">
        <v>0.5</v>
      </c>
      <c r="K4" t="s">
        <v>18</v>
      </c>
      <c r="L4" s="4">
        <v>0</v>
      </c>
      <c r="M4" s="6">
        <v>0</v>
      </c>
      <c r="N4" t="s">
        <v>19</v>
      </c>
      <c r="O4" t="s">
        <v>127</v>
      </c>
      <c r="P4" t="s">
        <v>128</v>
      </c>
    </row>
    <row r="5" spans="1:16" x14ac:dyDescent="0.25">
      <c r="A5" s="7" t="s">
        <v>25</v>
      </c>
      <c r="B5" s="2">
        <v>46051</v>
      </c>
      <c r="C5" s="2" t="s">
        <v>131</v>
      </c>
      <c r="D5" s="4">
        <v>3640</v>
      </c>
      <c r="E5" s="4">
        <v>764.39999999999964</v>
      </c>
      <c r="F5" s="4">
        <v>4404.3999999999996</v>
      </c>
      <c r="G5" s="2">
        <v>46034</v>
      </c>
      <c r="H5" t="s">
        <v>26</v>
      </c>
      <c r="I5" s="4">
        <v>1820</v>
      </c>
      <c r="J5" s="6">
        <v>0.5</v>
      </c>
      <c r="K5" t="s">
        <v>18</v>
      </c>
      <c r="L5" s="4">
        <v>0</v>
      </c>
      <c r="M5" s="6">
        <v>0</v>
      </c>
      <c r="N5" t="s">
        <v>19</v>
      </c>
      <c r="O5" t="s">
        <v>127</v>
      </c>
      <c r="P5" t="s">
        <v>128</v>
      </c>
    </row>
    <row r="6" spans="1:16" x14ac:dyDescent="0.25">
      <c r="A6" s="7" t="s">
        <v>27</v>
      </c>
      <c r="B6" s="2">
        <v>46051</v>
      </c>
      <c r="C6" s="2" t="s">
        <v>131</v>
      </c>
      <c r="D6" s="4">
        <v>5531</v>
      </c>
      <c r="E6" s="4">
        <v>1161.5100000000002</v>
      </c>
      <c r="F6" s="4">
        <v>6692.51</v>
      </c>
      <c r="G6" s="2">
        <v>46034</v>
      </c>
      <c r="H6" t="s">
        <v>26</v>
      </c>
      <c r="I6" s="4">
        <v>2765.5</v>
      </c>
      <c r="J6" s="6">
        <v>0.5</v>
      </c>
      <c r="K6" t="s">
        <v>18</v>
      </c>
      <c r="L6" s="4">
        <v>0</v>
      </c>
      <c r="M6" s="6">
        <v>0</v>
      </c>
      <c r="N6" t="s">
        <v>19</v>
      </c>
      <c r="O6" t="s">
        <v>127</v>
      </c>
      <c r="P6" t="s">
        <v>128</v>
      </c>
    </row>
    <row r="7" spans="1:16" x14ac:dyDescent="0.25">
      <c r="A7" s="7" t="s">
        <v>28</v>
      </c>
      <c r="B7" s="2">
        <v>46051</v>
      </c>
      <c r="C7" s="2" t="s">
        <v>132</v>
      </c>
      <c r="D7" s="4">
        <v>339.78</v>
      </c>
      <c r="E7" s="4">
        <v>71.350000000000023</v>
      </c>
      <c r="F7" s="4">
        <v>411.13</v>
      </c>
      <c r="G7" s="2">
        <v>46043</v>
      </c>
      <c r="H7" t="s">
        <v>24</v>
      </c>
      <c r="I7" s="4">
        <v>169.89</v>
      </c>
      <c r="J7" s="6">
        <v>0.5</v>
      </c>
      <c r="K7" t="s">
        <v>18</v>
      </c>
      <c r="L7" s="4">
        <v>0</v>
      </c>
      <c r="M7" s="6">
        <v>0</v>
      </c>
      <c r="N7" t="s">
        <v>29</v>
      </c>
      <c r="O7" t="s">
        <v>127</v>
      </c>
      <c r="P7" t="s">
        <v>128</v>
      </c>
    </row>
    <row r="8" spans="1:16" x14ac:dyDescent="0.25">
      <c r="A8" s="7" t="s">
        <v>30</v>
      </c>
      <c r="B8" s="2">
        <v>46051</v>
      </c>
      <c r="C8" s="2" t="s">
        <v>133</v>
      </c>
      <c r="D8" s="4">
        <v>735.94</v>
      </c>
      <c r="E8" s="4">
        <v>154.54999999999995</v>
      </c>
      <c r="F8" s="4">
        <v>890.49</v>
      </c>
      <c r="G8" s="2">
        <v>46045</v>
      </c>
      <c r="H8" t="s">
        <v>31</v>
      </c>
      <c r="I8" s="4">
        <v>367.97</v>
      </c>
      <c r="J8" s="6">
        <v>0.5</v>
      </c>
      <c r="K8" t="s">
        <v>18</v>
      </c>
      <c r="L8" s="4">
        <v>0</v>
      </c>
      <c r="M8" s="6">
        <v>0</v>
      </c>
      <c r="N8" t="s">
        <v>32</v>
      </c>
      <c r="O8" t="s">
        <v>134</v>
      </c>
      <c r="P8" t="s">
        <v>135</v>
      </c>
    </row>
    <row r="9" spans="1:16" x14ac:dyDescent="0.25">
      <c r="A9" s="7" t="s">
        <v>33</v>
      </c>
      <c r="B9" s="2">
        <v>46051</v>
      </c>
      <c r="C9" s="2" t="s">
        <v>136</v>
      </c>
      <c r="D9" s="4">
        <v>2500</v>
      </c>
      <c r="E9" s="4">
        <v>525</v>
      </c>
      <c r="F9" s="4">
        <v>3025</v>
      </c>
      <c r="G9" s="2">
        <v>46045</v>
      </c>
      <c r="H9" t="s">
        <v>34</v>
      </c>
      <c r="I9" s="4">
        <v>1250</v>
      </c>
      <c r="J9" s="6">
        <v>0.5</v>
      </c>
      <c r="K9" t="s">
        <v>18</v>
      </c>
      <c r="L9" s="4">
        <v>0</v>
      </c>
      <c r="M9" s="6">
        <v>0</v>
      </c>
      <c r="N9" t="s">
        <v>35</v>
      </c>
      <c r="O9" t="s">
        <v>127</v>
      </c>
      <c r="P9" t="s">
        <v>128</v>
      </c>
    </row>
    <row r="10" spans="1:16" x14ac:dyDescent="0.25">
      <c r="A10" s="7" t="s">
        <v>36</v>
      </c>
      <c r="B10" s="2">
        <v>46051</v>
      </c>
      <c r="C10" s="2" t="s">
        <v>137</v>
      </c>
      <c r="D10" s="4">
        <v>2025</v>
      </c>
      <c r="E10" s="4">
        <v>425.25</v>
      </c>
      <c r="F10" s="4">
        <v>2450.25</v>
      </c>
      <c r="G10" s="2">
        <v>46048</v>
      </c>
      <c r="H10" t="s">
        <v>26</v>
      </c>
      <c r="I10" s="4">
        <v>1012.5</v>
      </c>
      <c r="J10" s="6">
        <v>0.5</v>
      </c>
      <c r="K10" t="s">
        <v>18</v>
      </c>
      <c r="L10" s="4">
        <v>0</v>
      </c>
      <c r="M10" s="6">
        <v>0</v>
      </c>
      <c r="N10" t="s">
        <v>37</v>
      </c>
      <c r="O10" t="s">
        <v>127</v>
      </c>
      <c r="P10" t="s">
        <v>135</v>
      </c>
    </row>
    <row r="11" spans="1:16" x14ac:dyDescent="0.25">
      <c r="A11" s="7" t="s">
        <v>38</v>
      </c>
      <c r="B11" s="2">
        <v>46051</v>
      </c>
      <c r="C11" s="2" t="s">
        <v>138</v>
      </c>
      <c r="D11" s="4">
        <v>500</v>
      </c>
      <c r="E11" s="4">
        <v>105</v>
      </c>
      <c r="F11" s="4">
        <v>605</v>
      </c>
      <c r="G11" s="2">
        <v>46048</v>
      </c>
      <c r="H11" t="s">
        <v>39</v>
      </c>
      <c r="I11" s="4">
        <v>250</v>
      </c>
      <c r="J11" s="6">
        <v>0.5</v>
      </c>
      <c r="K11" t="s">
        <v>18</v>
      </c>
      <c r="L11" s="4">
        <v>0</v>
      </c>
      <c r="M11" s="6">
        <v>0</v>
      </c>
      <c r="N11" t="s">
        <v>40</v>
      </c>
      <c r="O11" t="s">
        <v>127</v>
      </c>
      <c r="P11" t="s">
        <v>139</v>
      </c>
    </row>
    <row r="12" spans="1:16" x14ac:dyDescent="0.25">
      <c r="A12" s="7" t="s">
        <v>41</v>
      </c>
      <c r="B12" s="2">
        <v>46051</v>
      </c>
      <c r="C12" s="2" t="s">
        <v>140</v>
      </c>
      <c r="D12" s="4">
        <v>17500</v>
      </c>
      <c r="E12" s="4">
        <v>3675</v>
      </c>
      <c r="F12" s="4">
        <v>21175</v>
      </c>
      <c r="G12" s="2">
        <v>46048</v>
      </c>
      <c r="H12" t="s">
        <v>34</v>
      </c>
      <c r="I12" s="4">
        <v>4375</v>
      </c>
      <c r="J12" s="6">
        <v>0.25</v>
      </c>
      <c r="K12" t="s">
        <v>26</v>
      </c>
      <c r="L12" s="4">
        <v>4375</v>
      </c>
      <c r="M12" s="6">
        <v>0.25</v>
      </c>
      <c r="N12" t="s">
        <v>37</v>
      </c>
      <c r="O12" t="s">
        <v>127</v>
      </c>
      <c r="P12" t="s">
        <v>135</v>
      </c>
    </row>
    <row r="13" spans="1:16" x14ac:dyDescent="0.25">
      <c r="A13" s="7" t="s">
        <v>42</v>
      </c>
      <c r="B13" s="2">
        <v>46051</v>
      </c>
      <c r="C13" s="2" t="s">
        <v>141</v>
      </c>
      <c r="D13" s="4">
        <v>1200</v>
      </c>
      <c r="E13" s="4">
        <v>252</v>
      </c>
      <c r="F13" s="4">
        <v>1452</v>
      </c>
      <c r="G13" s="2">
        <v>46049</v>
      </c>
      <c r="H13" t="s">
        <v>31</v>
      </c>
      <c r="I13" s="4">
        <v>600</v>
      </c>
      <c r="J13" s="6">
        <v>0.5</v>
      </c>
      <c r="K13" t="s">
        <v>18</v>
      </c>
      <c r="L13" s="4">
        <v>0</v>
      </c>
      <c r="M13" s="6">
        <v>0</v>
      </c>
      <c r="N13" t="s">
        <v>19</v>
      </c>
      <c r="O13" t="s">
        <v>127</v>
      </c>
      <c r="P13" t="s">
        <v>128</v>
      </c>
    </row>
    <row r="14" spans="1:16" x14ac:dyDescent="0.25">
      <c r="A14" s="7" t="s">
        <v>43</v>
      </c>
      <c r="B14" s="2">
        <v>46052</v>
      </c>
      <c r="C14" s="2" t="s">
        <v>142</v>
      </c>
      <c r="D14" s="4">
        <v>625</v>
      </c>
      <c r="E14" s="4">
        <v>131.25</v>
      </c>
      <c r="F14" s="4">
        <v>756.25</v>
      </c>
      <c r="G14" s="2">
        <v>46034</v>
      </c>
      <c r="H14" t="s">
        <v>17</v>
      </c>
      <c r="I14" s="4">
        <v>312.5</v>
      </c>
      <c r="J14" s="6">
        <v>0.5</v>
      </c>
      <c r="K14" t="s">
        <v>18</v>
      </c>
      <c r="L14" s="4">
        <v>0</v>
      </c>
      <c r="M14" s="6">
        <v>0</v>
      </c>
      <c r="N14" t="s">
        <v>44</v>
      </c>
      <c r="O14" t="s">
        <v>127</v>
      </c>
      <c r="P14" t="s">
        <v>143</v>
      </c>
    </row>
    <row r="15" spans="1:16" x14ac:dyDescent="0.25">
      <c r="A15" s="7" t="s">
        <v>45</v>
      </c>
      <c r="B15" s="2">
        <v>46052</v>
      </c>
      <c r="C15" s="2" t="s">
        <v>66</v>
      </c>
      <c r="D15" s="4">
        <v>637.02</v>
      </c>
      <c r="E15" s="4">
        <v>133.76999999999998</v>
      </c>
      <c r="F15" s="4">
        <v>770.79</v>
      </c>
      <c r="G15" s="2">
        <v>46036</v>
      </c>
      <c r="H15" t="s">
        <v>46</v>
      </c>
      <c r="I15" s="4">
        <v>0</v>
      </c>
      <c r="J15" s="6">
        <v>0</v>
      </c>
      <c r="K15" t="s">
        <v>18</v>
      </c>
      <c r="L15" s="4">
        <v>0</v>
      </c>
      <c r="M15" s="6">
        <v>0</v>
      </c>
      <c r="N15" t="s">
        <v>44</v>
      </c>
      <c r="O15" t="s">
        <v>127</v>
      </c>
      <c r="P15" t="s">
        <v>143</v>
      </c>
    </row>
    <row r="16" spans="1:16" x14ac:dyDescent="0.25">
      <c r="A16" s="7" t="s">
        <v>47</v>
      </c>
      <c r="B16" s="2">
        <v>46052</v>
      </c>
      <c r="C16" s="2" t="s">
        <v>144</v>
      </c>
      <c r="D16" s="4">
        <v>630.88</v>
      </c>
      <c r="E16" s="4">
        <v>0</v>
      </c>
      <c r="F16" s="4">
        <v>630.88</v>
      </c>
      <c r="G16" s="2">
        <v>46036</v>
      </c>
      <c r="H16" t="s">
        <v>18</v>
      </c>
      <c r="I16" s="4">
        <v>0</v>
      </c>
      <c r="J16" s="6">
        <v>0</v>
      </c>
      <c r="K16" t="s">
        <v>18</v>
      </c>
      <c r="L16" s="4">
        <v>0</v>
      </c>
      <c r="M16" s="6">
        <v>0</v>
      </c>
      <c r="N16" t="s">
        <v>44</v>
      </c>
      <c r="O16" t="s">
        <v>127</v>
      </c>
      <c r="P16" t="s">
        <v>143</v>
      </c>
    </row>
    <row r="17" spans="1:16" x14ac:dyDescent="0.25">
      <c r="A17" s="7" t="s">
        <v>48</v>
      </c>
      <c r="B17" s="2">
        <v>46052</v>
      </c>
      <c r="C17" s="2" t="s">
        <v>145</v>
      </c>
      <c r="D17" s="4">
        <v>617.5</v>
      </c>
      <c r="E17" s="4">
        <v>129.67999999999995</v>
      </c>
      <c r="F17" s="4">
        <v>747.18</v>
      </c>
      <c r="G17" s="2">
        <v>46038</v>
      </c>
      <c r="H17" t="s">
        <v>18</v>
      </c>
      <c r="I17" s="4">
        <v>0</v>
      </c>
      <c r="J17" s="6">
        <v>0</v>
      </c>
      <c r="K17" t="s">
        <v>18</v>
      </c>
      <c r="L17" s="4">
        <v>0</v>
      </c>
      <c r="M17" s="6">
        <v>0</v>
      </c>
      <c r="N17" t="s">
        <v>44</v>
      </c>
      <c r="O17" t="s">
        <v>127</v>
      </c>
      <c r="P17" t="s">
        <v>143</v>
      </c>
    </row>
    <row r="18" spans="1:16" x14ac:dyDescent="0.25">
      <c r="A18" s="7" t="s">
        <v>49</v>
      </c>
      <c r="B18" s="2">
        <v>46052</v>
      </c>
      <c r="C18" s="2" t="s">
        <v>129</v>
      </c>
      <c r="D18" s="4">
        <v>727</v>
      </c>
      <c r="E18" s="4">
        <v>152.66999999999996</v>
      </c>
      <c r="F18" s="4">
        <v>879.67</v>
      </c>
      <c r="G18" s="2">
        <v>46049</v>
      </c>
      <c r="H18" t="s">
        <v>21</v>
      </c>
      <c r="I18" s="4">
        <v>0</v>
      </c>
      <c r="J18" s="6">
        <v>0</v>
      </c>
      <c r="K18" t="s">
        <v>18</v>
      </c>
      <c r="L18" s="4">
        <v>0</v>
      </c>
      <c r="M18" s="6">
        <v>0</v>
      </c>
      <c r="N18" t="s">
        <v>22</v>
      </c>
      <c r="O18" t="s">
        <v>127</v>
      </c>
      <c r="P18" t="s">
        <v>128</v>
      </c>
    </row>
    <row r="19" spans="1:16" x14ac:dyDescent="0.25">
      <c r="A19" s="7" t="s">
        <v>50</v>
      </c>
      <c r="B19" s="2">
        <v>46052</v>
      </c>
      <c r="C19" s="2" t="s">
        <v>146</v>
      </c>
      <c r="D19" s="4">
        <v>1690</v>
      </c>
      <c r="E19" s="4">
        <v>354.90000000000009</v>
      </c>
      <c r="F19" s="4">
        <v>2044.9</v>
      </c>
      <c r="G19" s="2">
        <v>46049</v>
      </c>
      <c r="H19" t="s">
        <v>34</v>
      </c>
      <c r="I19" s="4">
        <v>845</v>
      </c>
      <c r="J19" s="6">
        <v>0.5</v>
      </c>
      <c r="K19" t="s">
        <v>18</v>
      </c>
      <c r="L19" s="4">
        <v>0</v>
      </c>
      <c r="M19" s="6">
        <v>0</v>
      </c>
      <c r="N19" t="s">
        <v>37</v>
      </c>
      <c r="O19" t="s">
        <v>127</v>
      </c>
      <c r="P19" t="s">
        <v>135</v>
      </c>
    </row>
    <row r="20" spans="1:16" x14ac:dyDescent="0.25">
      <c r="A20" s="7" t="s">
        <v>51</v>
      </c>
      <c r="B20" s="2">
        <v>46053</v>
      </c>
      <c r="C20" s="2" t="s">
        <v>147</v>
      </c>
      <c r="D20" s="4">
        <v>16734</v>
      </c>
      <c r="E20" s="4">
        <v>3514.1399999999994</v>
      </c>
      <c r="F20" s="4">
        <v>20248.14</v>
      </c>
      <c r="G20" s="2">
        <v>46051</v>
      </c>
      <c r="H20" t="s">
        <v>34</v>
      </c>
      <c r="I20" s="4">
        <v>4183.5</v>
      </c>
      <c r="J20" s="6">
        <v>0.25</v>
      </c>
      <c r="K20" t="s">
        <v>18</v>
      </c>
      <c r="L20" s="4">
        <v>0</v>
      </c>
      <c r="M20" s="6">
        <v>0</v>
      </c>
      <c r="N20" t="s">
        <v>35</v>
      </c>
      <c r="O20" t="s">
        <v>127</v>
      </c>
      <c r="P20" t="s">
        <v>128</v>
      </c>
    </row>
    <row r="21" spans="1:16" x14ac:dyDescent="0.25">
      <c r="A21" s="7" t="s">
        <v>52</v>
      </c>
      <c r="B21" s="2">
        <v>46053</v>
      </c>
      <c r="C21" s="2" t="s">
        <v>147</v>
      </c>
      <c r="D21" s="4">
        <v>14335</v>
      </c>
      <c r="E21" s="4">
        <v>3010.3499999999985</v>
      </c>
      <c r="F21" s="4">
        <v>17345.349999999999</v>
      </c>
      <c r="G21" s="2">
        <v>46051</v>
      </c>
      <c r="H21" t="s">
        <v>34</v>
      </c>
      <c r="I21" s="4">
        <v>3583.75</v>
      </c>
      <c r="J21" s="6">
        <v>0.25</v>
      </c>
      <c r="K21" t="s">
        <v>18</v>
      </c>
      <c r="L21" s="4">
        <v>0</v>
      </c>
      <c r="M21" s="6">
        <v>0</v>
      </c>
      <c r="N21" t="s">
        <v>35</v>
      </c>
      <c r="O21" t="s">
        <v>127</v>
      </c>
      <c r="P21" t="s">
        <v>128</v>
      </c>
    </row>
    <row r="22" spans="1:16" x14ac:dyDescent="0.25">
      <c r="A22" s="7" t="s">
        <v>53</v>
      </c>
      <c r="B22" s="2">
        <v>46053</v>
      </c>
      <c r="C22" s="2" t="s">
        <v>148</v>
      </c>
      <c r="D22" s="4">
        <v>9500</v>
      </c>
      <c r="E22" s="4">
        <v>1995</v>
      </c>
      <c r="F22" s="4">
        <v>11495</v>
      </c>
      <c r="G22" s="2">
        <v>46052</v>
      </c>
      <c r="H22" t="s">
        <v>54</v>
      </c>
      <c r="I22" s="4">
        <v>4750</v>
      </c>
      <c r="J22" s="6">
        <v>0.5</v>
      </c>
      <c r="K22" t="s">
        <v>18</v>
      </c>
      <c r="L22" s="4">
        <v>0</v>
      </c>
      <c r="M22" s="6">
        <v>0</v>
      </c>
      <c r="N22" t="s">
        <v>37</v>
      </c>
      <c r="O22" t="s">
        <v>127</v>
      </c>
      <c r="P22" t="s">
        <v>135</v>
      </c>
    </row>
    <row r="23" spans="1:16" x14ac:dyDescent="0.25">
      <c r="A23" s="2" t="s">
        <v>55</v>
      </c>
      <c r="B23" s="2">
        <v>46052</v>
      </c>
      <c r="C23" t="s">
        <v>56</v>
      </c>
      <c r="D23" s="4">
        <v>1894</v>
      </c>
      <c r="E23" s="4">
        <v>397.74</v>
      </c>
      <c r="F23" s="4">
        <v>2291.7399999999998</v>
      </c>
      <c r="G23" s="2">
        <v>46048</v>
      </c>
      <c r="H23" t="s">
        <v>17</v>
      </c>
      <c r="I23" s="4">
        <v>947</v>
      </c>
      <c r="J23" s="6">
        <v>0.5</v>
      </c>
      <c r="K23" t="s">
        <v>18</v>
      </c>
      <c r="L23" s="4">
        <v>0</v>
      </c>
      <c r="M23" s="6">
        <v>0</v>
      </c>
      <c r="N23" t="s">
        <v>35</v>
      </c>
      <c r="O23" t="s">
        <v>127</v>
      </c>
      <c r="P23" t="s">
        <v>128</v>
      </c>
    </row>
    <row r="24" spans="1:16" x14ac:dyDescent="0.25">
      <c r="A24" s="7" t="s">
        <v>57</v>
      </c>
      <c r="B24" s="2">
        <v>46057</v>
      </c>
      <c r="C24" s="2" t="s">
        <v>149</v>
      </c>
      <c r="D24" s="4">
        <v>15000</v>
      </c>
      <c r="E24" s="4">
        <v>3150</v>
      </c>
      <c r="F24" s="4">
        <v>18150</v>
      </c>
      <c r="G24" s="5"/>
      <c r="H24" t="s">
        <v>21</v>
      </c>
      <c r="I24" s="4">
        <v>0</v>
      </c>
      <c r="J24" s="6">
        <v>0</v>
      </c>
      <c r="K24" t="s">
        <v>18</v>
      </c>
      <c r="L24" s="4">
        <v>0</v>
      </c>
      <c r="M24" s="6">
        <v>0</v>
      </c>
      <c r="N24" t="s">
        <v>19</v>
      </c>
      <c r="O24" t="s">
        <v>127</v>
      </c>
      <c r="P24" t="s">
        <v>128</v>
      </c>
    </row>
    <row r="25" spans="1:16" x14ac:dyDescent="0.25">
      <c r="A25" s="7" t="s">
        <v>58</v>
      </c>
      <c r="B25" s="2">
        <v>46057</v>
      </c>
      <c r="C25" s="2" t="s">
        <v>150</v>
      </c>
      <c r="D25" s="4">
        <v>3295</v>
      </c>
      <c r="E25" s="4">
        <v>691.94999999999982</v>
      </c>
      <c r="F25" s="4">
        <v>3986.95</v>
      </c>
      <c r="G25" s="5"/>
      <c r="H25" t="s">
        <v>59</v>
      </c>
      <c r="I25" s="4">
        <v>1647.5</v>
      </c>
      <c r="J25" s="6">
        <v>0.5</v>
      </c>
      <c r="K25" t="s">
        <v>18</v>
      </c>
      <c r="L25" s="4">
        <v>0</v>
      </c>
      <c r="M25" s="6">
        <v>0</v>
      </c>
      <c r="N25" t="s">
        <v>19</v>
      </c>
      <c r="O25" t="s">
        <v>127</v>
      </c>
      <c r="P25" t="s">
        <v>128</v>
      </c>
    </row>
    <row r="26" spans="1:16" x14ac:dyDescent="0.25">
      <c r="A26" s="7" t="s">
        <v>60</v>
      </c>
      <c r="B26" s="2">
        <v>46057</v>
      </c>
      <c r="C26" s="2" t="s">
        <v>151</v>
      </c>
      <c r="D26" s="4">
        <v>16800</v>
      </c>
      <c r="E26" s="4">
        <v>3528</v>
      </c>
      <c r="F26" s="4">
        <v>20328</v>
      </c>
      <c r="G26" s="2">
        <v>46070</v>
      </c>
      <c r="H26" t="s">
        <v>34</v>
      </c>
      <c r="I26" s="4">
        <v>8400</v>
      </c>
      <c r="J26" s="6">
        <v>0.5</v>
      </c>
      <c r="K26" t="s">
        <v>18</v>
      </c>
      <c r="L26" s="4">
        <v>0</v>
      </c>
      <c r="M26" s="6">
        <v>0</v>
      </c>
      <c r="N26" t="s">
        <v>19</v>
      </c>
      <c r="O26" t="s">
        <v>127</v>
      </c>
      <c r="P26" t="s">
        <v>128</v>
      </c>
    </row>
    <row r="27" spans="1:16" x14ac:dyDescent="0.25">
      <c r="A27" s="7" t="s">
        <v>61</v>
      </c>
      <c r="B27" s="2">
        <v>46058</v>
      </c>
      <c r="C27" s="2" t="s">
        <v>152</v>
      </c>
      <c r="D27" s="4">
        <v>1226</v>
      </c>
      <c r="E27" s="4">
        <v>257.46000000000004</v>
      </c>
      <c r="F27" s="4">
        <v>1483.46</v>
      </c>
      <c r="G27" s="2">
        <v>46057</v>
      </c>
      <c r="H27" t="s">
        <v>34</v>
      </c>
      <c r="I27" s="4">
        <v>613</v>
      </c>
      <c r="J27" s="6">
        <v>0.5</v>
      </c>
      <c r="K27" t="s">
        <v>18</v>
      </c>
      <c r="L27" s="4">
        <v>0</v>
      </c>
      <c r="M27" s="6">
        <v>0</v>
      </c>
      <c r="N27" t="s">
        <v>35</v>
      </c>
      <c r="O27" t="s">
        <v>127</v>
      </c>
      <c r="P27" t="s">
        <v>128</v>
      </c>
    </row>
    <row r="28" spans="1:16" x14ac:dyDescent="0.25">
      <c r="A28" s="7" t="s">
        <v>62</v>
      </c>
      <c r="B28" s="2">
        <v>46058</v>
      </c>
      <c r="C28" s="2" t="s">
        <v>152</v>
      </c>
      <c r="D28" s="4">
        <v>176000</v>
      </c>
      <c r="E28" s="4">
        <v>36960</v>
      </c>
      <c r="F28" s="4">
        <v>212960</v>
      </c>
      <c r="G28" s="2">
        <v>46057</v>
      </c>
      <c r="H28" t="s">
        <v>34</v>
      </c>
      <c r="I28" s="4">
        <v>88000</v>
      </c>
      <c r="J28" s="6">
        <v>0.5</v>
      </c>
      <c r="K28" t="s">
        <v>18</v>
      </c>
      <c r="L28" s="4">
        <v>0</v>
      </c>
      <c r="M28" s="6">
        <v>0</v>
      </c>
      <c r="N28" t="s">
        <v>35</v>
      </c>
      <c r="O28" t="s">
        <v>127</v>
      </c>
      <c r="P28" t="s">
        <v>128</v>
      </c>
    </row>
    <row r="29" spans="1:16" x14ac:dyDescent="0.25">
      <c r="A29" s="7" t="s">
        <v>63</v>
      </c>
      <c r="B29" s="2">
        <v>46058</v>
      </c>
      <c r="C29" s="2" t="s">
        <v>152</v>
      </c>
      <c r="D29" s="4">
        <v>2450</v>
      </c>
      <c r="E29" s="4">
        <v>514.5</v>
      </c>
      <c r="F29" s="4">
        <v>2964.5</v>
      </c>
      <c r="G29" s="2">
        <v>46057</v>
      </c>
      <c r="H29" t="s">
        <v>34</v>
      </c>
      <c r="I29" s="4">
        <v>1225</v>
      </c>
      <c r="J29" s="6">
        <v>0.5</v>
      </c>
      <c r="K29" t="s">
        <v>18</v>
      </c>
      <c r="L29" s="4">
        <v>0</v>
      </c>
      <c r="M29" s="6">
        <v>0</v>
      </c>
      <c r="N29" t="s">
        <v>35</v>
      </c>
      <c r="O29" t="s">
        <v>127</v>
      </c>
      <c r="P29" t="s">
        <v>128</v>
      </c>
    </row>
    <row r="30" spans="1:16" x14ac:dyDescent="0.25">
      <c r="A30" s="7" t="s">
        <v>64</v>
      </c>
      <c r="B30" s="2">
        <v>46058</v>
      </c>
      <c r="C30" s="2" t="s">
        <v>152</v>
      </c>
      <c r="D30" s="4">
        <v>1000</v>
      </c>
      <c r="E30" s="4">
        <v>210</v>
      </c>
      <c r="F30" s="4">
        <v>1210</v>
      </c>
      <c r="G30" s="2">
        <v>46057</v>
      </c>
      <c r="H30" t="s">
        <v>34</v>
      </c>
      <c r="I30" s="4">
        <v>500</v>
      </c>
      <c r="J30" s="6">
        <v>0.5</v>
      </c>
      <c r="K30" t="s">
        <v>18</v>
      </c>
      <c r="L30" s="4">
        <v>0</v>
      </c>
      <c r="M30" s="6">
        <v>0</v>
      </c>
      <c r="N30" t="s">
        <v>35</v>
      </c>
      <c r="O30" t="s">
        <v>127</v>
      </c>
      <c r="P30" t="s">
        <v>128</v>
      </c>
    </row>
    <row r="31" spans="1:16" x14ac:dyDescent="0.25">
      <c r="A31" s="2" t="s">
        <v>65</v>
      </c>
      <c r="B31" s="2">
        <v>46052</v>
      </c>
      <c r="C31" s="4" t="s">
        <v>66</v>
      </c>
      <c r="D31">
        <v>319.5</v>
      </c>
      <c r="E31" s="4">
        <v>67.094999999999999</v>
      </c>
      <c r="F31" s="4">
        <v>386.59500000000003</v>
      </c>
      <c r="G31" s="2">
        <v>46038</v>
      </c>
      <c r="H31" t="s">
        <v>67</v>
      </c>
      <c r="I31" s="4">
        <v>159.75</v>
      </c>
      <c r="J31" s="6">
        <v>0.5</v>
      </c>
      <c r="K31" t="s">
        <v>18</v>
      </c>
      <c r="L31" s="4">
        <v>0</v>
      </c>
      <c r="M31" s="6">
        <v>0</v>
      </c>
      <c r="N31" t="s">
        <v>44</v>
      </c>
      <c r="O31" t="s">
        <v>127</v>
      </c>
      <c r="P31" t="s">
        <v>143</v>
      </c>
    </row>
    <row r="32" spans="1:16" x14ac:dyDescent="0.25">
      <c r="A32" t="s">
        <v>68</v>
      </c>
      <c r="B32" s="2">
        <v>46063</v>
      </c>
      <c r="C32" s="2" t="s">
        <v>153</v>
      </c>
      <c r="D32" s="4">
        <v>10000</v>
      </c>
      <c r="E32" s="4">
        <v>0</v>
      </c>
      <c r="F32" s="4">
        <v>10000</v>
      </c>
      <c r="G32" s="2">
        <v>46058</v>
      </c>
      <c r="H32" t="s">
        <v>69</v>
      </c>
      <c r="I32" s="4">
        <v>2500</v>
      </c>
      <c r="J32" s="6">
        <v>0.25</v>
      </c>
      <c r="K32" t="s">
        <v>18</v>
      </c>
      <c r="L32" s="4">
        <v>0</v>
      </c>
      <c r="M32" s="6">
        <v>0</v>
      </c>
      <c r="N32" t="s">
        <v>70</v>
      </c>
      <c r="O32" t="s">
        <v>134</v>
      </c>
      <c r="P32" t="s">
        <v>135</v>
      </c>
    </row>
    <row r="33" spans="1:16" x14ac:dyDescent="0.25">
      <c r="A33" t="s">
        <v>71</v>
      </c>
      <c r="B33" s="2">
        <v>46064</v>
      </c>
      <c r="C33" t="s">
        <v>72</v>
      </c>
      <c r="D33">
        <v>902.46</v>
      </c>
      <c r="E33" s="4">
        <v>189.52</v>
      </c>
      <c r="F33" s="4">
        <v>1091.98</v>
      </c>
      <c r="G33" s="2">
        <v>46058</v>
      </c>
      <c r="H33" t="s">
        <v>73</v>
      </c>
      <c r="I33" s="4">
        <v>451.23</v>
      </c>
      <c r="J33" s="6">
        <v>0.5</v>
      </c>
      <c r="K33" t="s">
        <v>18</v>
      </c>
      <c r="L33" s="4">
        <v>0</v>
      </c>
      <c r="M33" s="6">
        <v>0</v>
      </c>
      <c r="N33" t="s">
        <v>29</v>
      </c>
      <c r="O33" t="s">
        <v>127</v>
      </c>
      <c r="P33" t="s">
        <v>128</v>
      </c>
    </row>
    <row r="34" spans="1:16" x14ac:dyDescent="0.25">
      <c r="A34" t="s">
        <v>74</v>
      </c>
      <c r="B34" s="2">
        <v>46064</v>
      </c>
      <c r="C34" s="2" t="s">
        <v>154</v>
      </c>
      <c r="D34" s="4">
        <v>302.47000000000003</v>
      </c>
      <c r="E34" s="4">
        <v>63.519999999999982</v>
      </c>
      <c r="F34" s="4">
        <v>365.99</v>
      </c>
      <c r="G34" s="2">
        <v>46055</v>
      </c>
      <c r="H34" t="s">
        <v>21</v>
      </c>
      <c r="I34" s="4">
        <v>0</v>
      </c>
      <c r="J34" s="6">
        <v>0</v>
      </c>
      <c r="K34" t="s">
        <v>18</v>
      </c>
      <c r="L34" s="4">
        <v>0</v>
      </c>
      <c r="M34" s="6">
        <v>0</v>
      </c>
      <c r="N34" t="s">
        <v>40</v>
      </c>
      <c r="O34" t="s">
        <v>127</v>
      </c>
      <c r="P34" t="s">
        <v>139</v>
      </c>
    </row>
    <row r="35" spans="1:16" x14ac:dyDescent="0.25">
      <c r="A35" t="s">
        <v>75</v>
      </c>
      <c r="B35" s="2">
        <v>46064</v>
      </c>
      <c r="C35" s="2" t="s">
        <v>155</v>
      </c>
      <c r="D35" s="4">
        <v>302.47000000000003</v>
      </c>
      <c r="E35" s="4">
        <v>63.519999999999982</v>
      </c>
      <c r="F35" s="4">
        <v>365.99</v>
      </c>
      <c r="G35" s="2">
        <v>46055</v>
      </c>
      <c r="H35" t="s">
        <v>21</v>
      </c>
      <c r="I35" s="4">
        <v>0</v>
      </c>
      <c r="J35" s="6">
        <v>0</v>
      </c>
      <c r="K35" t="s">
        <v>18</v>
      </c>
      <c r="L35" s="4">
        <v>0</v>
      </c>
      <c r="M35" s="6">
        <v>0</v>
      </c>
      <c r="N35" t="s">
        <v>40</v>
      </c>
      <c r="O35" t="s">
        <v>127</v>
      </c>
      <c r="P35" t="s">
        <v>139</v>
      </c>
    </row>
    <row r="36" spans="1:16" x14ac:dyDescent="0.25">
      <c r="A36" t="s">
        <v>76</v>
      </c>
      <c r="B36" s="2">
        <v>46064</v>
      </c>
      <c r="C36" s="2" t="s">
        <v>156</v>
      </c>
      <c r="D36" s="4">
        <v>302.47000000000003</v>
      </c>
      <c r="E36" s="4">
        <v>63.519999999999982</v>
      </c>
      <c r="F36" s="4">
        <v>365.99</v>
      </c>
      <c r="G36" s="2">
        <v>46055</v>
      </c>
      <c r="H36" t="s">
        <v>21</v>
      </c>
      <c r="I36" s="4">
        <v>0</v>
      </c>
      <c r="J36" s="6">
        <v>0</v>
      </c>
      <c r="K36" t="s">
        <v>18</v>
      </c>
      <c r="L36" s="4">
        <v>0</v>
      </c>
      <c r="M36" s="6">
        <v>0</v>
      </c>
      <c r="N36" t="s">
        <v>40</v>
      </c>
      <c r="O36" t="s">
        <v>127</v>
      </c>
      <c r="P36" t="s">
        <v>139</v>
      </c>
    </row>
    <row r="37" spans="1:16" x14ac:dyDescent="0.25">
      <c r="A37" t="s">
        <v>77</v>
      </c>
      <c r="B37" s="2">
        <v>46064</v>
      </c>
      <c r="C37" s="2" t="s">
        <v>157</v>
      </c>
      <c r="D37" s="4">
        <v>302.47000000000003</v>
      </c>
      <c r="E37" s="4">
        <v>63.519999999999982</v>
      </c>
      <c r="F37" s="4">
        <v>365.99</v>
      </c>
      <c r="G37" s="2">
        <v>46055</v>
      </c>
      <c r="H37" t="s">
        <v>21</v>
      </c>
      <c r="I37" s="4">
        <v>0</v>
      </c>
      <c r="J37" s="6">
        <v>0</v>
      </c>
      <c r="K37" t="s">
        <v>18</v>
      </c>
      <c r="L37" s="4">
        <v>0</v>
      </c>
      <c r="M37" s="6">
        <v>0</v>
      </c>
      <c r="N37" t="s">
        <v>40</v>
      </c>
      <c r="O37" t="s">
        <v>127</v>
      </c>
      <c r="P37" t="s">
        <v>139</v>
      </c>
    </row>
    <row r="38" spans="1:16" x14ac:dyDescent="0.25">
      <c r="A38" t="s">
        <v>78</v>
      </c>
      <c r="B38" s="2">
        <v>46064</v>
      </c>
      <c r="C38" s="2" t="s">
        <v>158</v>
      </c>
      <c r="D38" s="4">
        <v>302.47000000000003</v>
      </c>
      <c r="E38" s="4">
        <v>63.519999999999982</v>
      </c>
      <c r="F38" s="4">
        <v>365.99</v>
      </c>
      <c r="G38" s="2">
        <v>46055</v>
      </c>
      <c r="H38" t="s">
        <v>21</v>
      </c>
      <c r="I38" s="4">
        <v>0</v>
      </c>
      <c r="J38" s="6">
        <v>0</v>
      </c>
      <c r="K38" t="s">
        <v>18</v>
      </c>
      <c r="L38" s="4">
        <v>0</v>
      </c>
      <c r="M38" s="6">
        <v>0</v>
      </c>
      <c r="N38" t="s">
        <v>40</v>
      </c>
      <c r="O38" t="s">
        <v>127</v>
      </c>
      <c r="P38" t="s">
        <v>139</v>
      </c>
    </row>
    <row r="39" spans="1:16" x14ac:dyDescent="0.25">
      <c r="A39" t="s">
        <v>79</v>
      </c>
      <c r="B39" s="2">
        <v>46064</v>
      </c>
      <c r="C39" s="2" t="s">
        <v>159</v>
      </c>
      <c r="D39" s="4">
        <v>302.47000000000003</v>
      </c>
      <c r="E39" s="4">
        <v>63.519999999999982</v>
      </c>
      <c r="F39" s="4">
        <v>365.99</v>
      </c>
      <c r="G39" s="2">
        <v>46055</v>
      </c>
      <c r="H39" t="s">
        <v>21</v>
      </c>
      <c r="I39" s="4">
        <v>0</v>
      </c>
      <c r="J39" s="6">
        <v>0</v>
      </c>
      <c r="K39" t="s">
        <v>18</v>
      </c>
      <c r="L39" s="4">
        <v>0</v>
      </c>
      <c r="M39" s="6">
        <v>0</v>
      </c>
      <c r="N39" t="s">
        <v>40</v>
      </c>
      <c r="O39" t="s">
        <v>127</v>
      </c>
      <c r="P39" t="s">
        <v>139</v>
      </c>
    </row>
    <row r="40" spans="1:16" x14ac:dyDescent="0.25">
      <c r="A40" t="s">
        <v>80</v>
      </c>
      <c r="B40" s="2">
        <v>46064</v>
      </c>
      <c r="C40" s="2" t="s">
        <v>160</v>
      </c>
      <c r="D40" s="4">
        <v>302.47000000000003</v>
      </c>
      <c r="E40" s="4">
        <v>63.519999999999982</v>
      </c>
      <c r="F40" s="4">
        <v>365.99</v>
      </c>
      <c r="G40" s="2">
        <v>46055</v>
      </c>
      <c r="H40" t="s">
        <v>21</v>
      </c>
      <c r="I40" s="4">
        <v>0</v>
      </c>
      <c r="J40" s="6">
        <v>0</v>
      </c>
      <c r="K40" t="s">
        <v>18</v>
      </c>
      <c r="L40" s="4">
        <v>0</v>
      </c>
      <c r="M40" s="6">
        <v>0</v>
      </c>
      <c r="N40" t="s">
        <v>40</v>
      </c>
      <c r="O40" t="s">
        <v>127</v>
      </c>
      <c r="P40" t="s">
        <v>139</v>
      </c>
    </row>
    <row r="41" spans="1:16" x14ac:dyDescent="0.25">
      <c r="A41" t="s">
        <v>81</v>
      </c>
      <c r="B41" s="2">
        <v>46064</v>
      </c>
      <c r="C41" s="2" t="s">
        <v>161</v>
      </c>
      <c r="D41" s="4">
        <v>2202.86</v>
      </c>
      <c r="E41" s="4">
        <v>462.59999999999991</v>
      </c>
      <c r="F41" s="4">
        <v>2665.46</v>
      </c>
      <c r="G41" s="2">
        <v>46055</v>
      </c>
      <c r="H41" t="s">
        <v>21</v>
      </c>
      <c r="I41" s="4">
        <v>0</v>
      </c>
      <c r="J41" s="6">
        <v>0</v>
      </c>
      <c r="K41" t="s">
        <v>18</v>
      </c>
      <c r="L41" s="4">
        <v>0</v>
      </c>
      <c r="M41" s="6">
        <v>0</v>
      </c>
      <c r="N41" t="s">
        <v>40</v>
      </c>
      <c r="O41" t="s">
        <v>127</v>
      </c>
      <c r="P41" t="s">
        <v>139</v>
      </c>
    </row>
    <row r="42" spans="1:16" x14ac:dyDescent="0.25">
      <c r="A42" t="s">
        <v>82</v>
      </c>
      <c r="B42" s="2">
        <v>46064</v>
      </c>
      <c r="C42" s="2" t="s">
        <v>161</v>
      </c>
      <c r="D42" s="4">
        <v>302.47000000000003</v>
      </c>
      <c r="E42" s="4">
        <v>63.519999999999982</v>
      </c>
      <c r="F42" s="4">
        <v>365.99</v>
      </c>
      <c r="G42" s="2">
        <v>46055</v>
      </c>
      <c r="H42" t="s">
        <v>21</v>
      </c>
      <c r="I42" s="4">
        <v>0</v>
      </c>
      <c r="J42" s="6">
        <v>0</v>
      </c>
      <c r="K42" t="s">
        <v>18</v>
      </c>
      <c r="L42" s="4">
        <v>0</v>
      </c>
      <c r="M42" s="6">
        <v>0</v>
      </c>
      <c r="N42" t="s">
        <v>40</v>
      </c>
      <c r="O42" t="s">
        <v>127</v>
      </c>
      <c r="P42" t="s">
        <v>139</v>
      </c>
    </row>
    <row r="43" spans="1:16" x14ac:dyDescent="0.25">
      <c r="A43" t="s">
        <v>83</v>
      </c>
      <c r="B43" s="2">
        <v>46064</v>
      </c>
      <c r="C43" s="2" t="s">
        <v>162</v>
      </c>
      <c r="D43" s="4">
        <v>302.47000000000003</v>
      </c>
      <c r="E43" s="4">
        <v>63.519999999999982</v>
      </c>
      <c r="F43" s="4">
        <v>365.99</v>
      </c>
      <c r="G43" s="2">
        <v>46055</v>
      </c>
      <c r="H43" t="s">
        <v>21</v>
      </c>
      <c r="I43" s="4">
        <v>0</v>
      </c>
      <c r="J43" s="6">
        <v>0</v>
      </c>
      <c r="K43" t="s">
        <v>18</v>
      </c>
      <c r="L43" s="4">
        <v>0</v>
      </c>
      <c r="M43" s="6">
        <v>0</v>
      </c>
      <c r="N43" t="s">
        <v>40</v>
      </c>
      <c r="O43" t="s">
        <v>127</v>
      </c>
      <c r="P43" t="s">
        <v>139</v>
      </c>
    </row>
    <row r="44" spans="1:16" x14ac:dyDescent="0.25">
      <c r="A44" t="s">
        <v>84</v>
      </c>
      <c r="B44" s="2">
        <v>46064</v>
      </c>
      <c r="C44" s="2" t="s">
        <v>163</v>
      </c>
      <c r="D44" s="4">
        <v>302.47000000000003</v>
      </c>
      <c r="E44" s="4">
        <v>63.519999999999982</v>
      </c>
      <c r="F44" s="4">
        <v>365.99</v>
      </c>
      <c r="G44" s="2">
        <v>46055</v>
      </c>
      <c r="H44" t="s">
        <v>21</v>
      </c>
      <c r="I44" s="4">
        <v>0</v>
      </c>
      <c r="J44" s="6">
        <v>0</v>
      </c>
      <c r="K44" t="s">
        <v>18</v>
      </c>
      <c r="L44" s="4">
        <v>0</v>
      </c>
      <c r="M44" s="6">
        <v>0</v>
      </c>
      <c r="N44" t="s">
        <v>40</v>
      </c>
      <c r="O44" t="s">
        <v>127</v>
      </c>
      <c r="P44" t="s">
        <v>139</v>
      </c>
    </row>
    <row r="45" spans="1:16" x14ac:dyDescent="0.25">
      <c r="A45" t="s">
        <v>85</v>
      </c>
      <c r="B45" s="2">
        <v>46064</v>
      </c>
      <c r="C45" s="2" t="s">
        <v>164</v>
      </c>
      <c r="D45" s="4">
        <v>302.47000000000003</v>
      </c>
      <c r="E45" s="4">
        <v>63.519999999999982</v>
      </c>
      <c r="F45" s="4">
        <v>365.99</v>
      </c>
      <c r="G45" s="2">
        <v>46055</v>
      </c>
      <c r="H45" t="s">
        <v>21</v>
      </c>
      <c r="I45" s="4">
        <v>0</v>
      </c>
      <c r="J45" s="6">
        <v>0</v>
      </c>
      <c r="K45" t="s">
        <v>18</v>
      </c>
      <c r="L45" s="4">
        <v>0</v>
      </c>
      <c r="M45" s="6">
        <v>0</v>
      </c>
      <c r="N45" t="s">
        <v>40</v>
      </c>
      <c r="O45" t="s">
        <v>127</v>
      </c>
      <c r="P45" t="s">
        <v>139</v>
      </c>
    </row>
    <row r="46" spans="1:16" x14ac:dyDescent="0.25">
      <c r="A46" t="s">
        <v>86</v>
      </c>
      <c r="B46" s="2">
        <v>46064</v>
      </c>
      <c r="C46" s="2" t="s">
        <v>165</v>
      </c>
      <c r="D46" s="4">
        <v>302.47000000000003</v>
      </c>
      <c r="E46" s="4">
        <v>63.519999999999982</v>
      </c>
      <c r="F46" s="4">
        <v>365.99</v>
      </c>
      <c r="G46" s="2">
        <v>46055</v>
      </c>
      <c r="H46" t="s">
        <v>21</v>
      </c>
      <c r="I46" s="4">
        <v>0</v>
      </c>
      <c r="J46" s="6">
        <v>0</v>
      </c>
      <c r="K46" t="s">
        <v>18</v>
      </c>
      <c r="L46" s="4">
        <v>0</v>
      </c>
      <c r="M46" s="6">
        <v>0</v>
      </c>
      <c r="N46" t="s">
        <v>40</v>
      </c>
      <c r="O46" t="s">
        <v>127</v>
      </c>
      <c r="P46" t="s">
        <v>139</v>
      </c>
    </row>
    <row r="47" spans="1:16" x14ac:dyDescent="0.25">
      <c r="A47" t="s">
        <v>87</v>
      </c>
      <c r="B47" s="2">
        <v>46065</v>
      </c>
      <c r="C47" s="2" t="s">
        <v>166</v>
      </c>
      <c r="D47" s="4">
        <v>356.16</v>
      </c>
      <c r="E47" s="4">
        <v>74.789999999999964</v>
      </c>
      <c r="F47" s="4">
        <v>430.95</v>
      </c>
      <c r="G47" s="2">
        <v>46056</v>
      </c>
      <c r="H47" t="s">
        <v>88</v>
      </c>
      <c r="I47" s="4">
        <v>89.04</v>
      </c>
      <c r="J47" s="6">
        <v>0.25</v>
      </c>
      <c r="K47" t="s">
        <v>18</v>
      </c>
      <c r="L47" s="4">
        <v>0</v>
      </c>
      <c r="M47" s="6">
        <v>0</v>
      </c>
      <c r="N47" t="s">
        <v>29</v>
      </c>
      <c r="O47" t="s">
        <v>127</v>
      </c>
      <c r="P47" t="s">
        <v>128</v>
      </c>
    </row>
    <row r="48" spans="1:16" x14ac:dyDescent="0.25">
      <c r="A48" t="s">
        <v>89</v>
      </c>
      <c r="B48" s="2">
        <v>46065</v>
      </c>
      <c r="C48" s="2" t="s">
        <v>130</v>
      </c>
      <c r="D48" s="4">
        <v>300</v>
      </c>
      <c r="E48" s="4">
        <v>63</v>
      </c>
      <c r="F48" s="4">
        <v>363</v>
      </c>
      <c r="G48" s="2">
        <v>46063</v>
      </c>
      <c r="H48" t="s">
        <v>24</v>
      </c>
      <c r="I48" s="4">
        <v>150</v>
      </c>
      <c r="J48" s="6">
        <v>0.5</v>
      </c>
      <c r="K48" t="s">
        <v>18</v>
      </c>
      <c r="L48" s="4">
        <v>0</v>
      </c>
      <c r="M48" s="6">
        <v>0</v>
      </c>
      <c r="N48" t="s">
        <v>29</v>
      </c>
      <c r="O48" t="s">
        <v>127</v>
      </c>
      <c r="P48" t="s">
        <v>128</v>
      </c>
    </row>
    <row r="49" spans="1:16" x14ac:dyDescent="0.25">
      <c r="A49" t="s">
        <v>90</v>
      </c>
      <c r="B49" s="2">
        <v>46065</v>
      </c>
      <c r="C49" s="2" t="s">
        <v>167</v>
      </c>
      <c r="D49" s="4">
        <v>4500</v>
      </c>
      <c r="E49" s="4">
        <v>945</v>
      </c>
      <c r="F49" s="4">
        <v>5445</v>
      </c>
      <c r="G49" s="2">
        <v>46064</v>
      </c>
      <c r="H49" t="s">
        <v>24</v>
      </c>
      <c r="I49" s="4">
        <v>1125</v>
      </c>
      <c r="J49" s="6">
        <v>0.25</v>
      </c>
      <c r="K49" t="s">
        <v>21</v>
      </c>
      <c r="L49" s="4">
        <v>0</v>
      </c>
      <c r="M49" s="6">
        <v>0</v>
      </c>
      <c r="N49" t="s">
        <v>40</v>
      </c>
      <c r="O49" t="s">
        <v>127</v>
      </c>
      <c r="P49" t="s">
        <v>139</v>
      </c>
    </row>
    <row r="50" spans="1:16" x14ac:dyDescent="0.25">
      <c r="A50" t="s">
        <v>91</v>
      </c>
      <c r="B50" s="2">
        <v>46065</v>
      </c>
      <c r="C50" s="2" t="s">
        <v>168</v>
      </c>
      <c r="D50" s="4">
        <v>87000</v>
      </c>
      <c r="E50" s="4">
        <v>18270</v>
      </c>
      <c r="F50" s="4">
        <v>105270</v>
      </c>
      <c r="G50" s="2">
        <v>46056</v>
      </c>
      <c r="H50" t="s">
        <v>39</v>
      </c>
      <c r="I50" s="4">
        <v>43500</v>
      </c>
      <c r="J50" s="6">
        <v>0.5</v>
      </c>
      <c r="K50" t="s">
        <v>18</v>
      </c>
      <c r="L50" s="4">
        <v>0</v>
      </c>
      <c r="M50" s="6">
        <v>0</v>
      </c>
      <c r="N50" t="s">
        <v>35</v>
      </c>
      <c r="O50" t="s">
        <v>127</v>
      </c>
      <c r="P50" t="s">
        <v>128</v>
      </c>
    </row>
    <row r="51" spans="1:16" x14ac:dyDescent="0.25">
      <c r="A51" t="s">
        <v>92</v>
      </c>
      <c r="B51" s="2">
        <v>46065</v>
      </c>
      <c r="C51" s="2" t="s">
        <v>169</v>
      </c>
      <c r="D51" s="4">
        <v>1344</v>
      </c>
      <c r="E51" s="4">
        <v>282.24</v>
      </c>
      <c r="F51" s="4">
        <v>1626.24</v>
      </c>
      <c r="G51" s="2">
        <v>46058</v>
      </c>
      <c r="H51" t="s">
        <v>21</v>
      </c>
      <c r="I51" s="4">
        <v>0</v>
      </c>
      <c r="J51" s="6">
        <v>0</v>
      </c>
      <c r="K51" t="s">
        <v>18</v>
      </c>
      <c r="L51" s="4">
        <v>0</v>
      </c>
      <c r="M51" s="6">
        <v>0</v>
      </c>
      <c r="N51" t="s">
        <v>93</v>
      </c>
      <c r="O51" t="s">
        <v>127</v>
      </c>
      <c r="P51" t="s">
        <v>143</v>
      </c>
    </row>
    <row r="52" spans="1:16" x14ac:dyDescent="0.25">
      <c r="A52" t="s">
        <v>94</v>
      </c>
      <c r="B52" s="2">
        <v>46065</v>
      </c>
      <c r="C52" s="2" t="s">
        <v>170</v>
      </c>
      <c r="D52" s="4">
        <v>22500</v>
      </c>
      <c r="E52" s="4">
        <v>4725</v>
      </c>
      <c r="F52" s="4">
        <v>27225</v>
      </c>
      <c r="G52" s="2">
        <v>46064</v>
      </c>
      <c r="H52" t="s">
        <v>34</v>
      </c>
      <c r="I52" s="4">
        <v>5625</v>
      </c>
      <c r="J52" s="6">
        <v>0.25</v>
      </c>
      <c r="K52" t="s">
        <v>18</v>
      </c>
      <c r="L52" s="4">
        <v>0</v>
      </c>
      <c r="M52" s="6">
        <v>0</v>
      </c>
      <c r="N52" t="s">
        <v>35</v>
      </c>
      <c r="O52" t="s">
        <v>127</v>
      </c>
      <c r="P52" t="s">
        <v>128</v>
      </c>
    </row>
    <row r="53" spans="1:16" x14ac:dyDescent="0.25">
      <c r="A53" t="s">
        <v>95</v>
      </c>
      <c r="B53" s="2">
        <v>46065</v>
      </c>
      <c r="C53" s="2" t="s">
        <v>66</v>
      </c>
      <c r="D53" s="4">
        <v>261.36</v>
      </c>
      <c r="E53" s="4">
        <v>54.889999999999986</v>
      </c>
      <c r="F53" s="4">
        <v>316.25</v>
      </c>
      <c r="G53" s="2">
        <v>46063</v>
      </c>
      <c r="H53" t="s">
        <v>46</v>
      </c>
      <c r="I53" s="4">
        <v>0</v>
      </c>
      <c r="J53" s="6">
        <v>0</v>
      </c>
      <c r="K53" t="s">
        <v>18</v>
      </c>
      <c r="L53" s="4">
        <v>0</v>
      </c>
      <c r="M53" s="6">
        <v>0</v>
      </c>
      <c r="N53" t="s">
        <v>44</v>
      </c>
      <c r="O53" t="s">
        <v>127</v>
      </c>
      <c r="P53" t="s">
        <v>143</v>
      </c>
    </row>
    <row r="54" spans="1:16" x14ac:dyDescent="0.25">
      <c r="A54" t="s">
        <v>96</v>
      </c>
      <c r="B54" s="2">
        <v>46065</v>
      </c>
      <c r="C54" s="2" t="s">
        <v>66</v>
      </c>
      <c r="D54" s="4">
        <v>636.4</v>
      </c>
      <c r="E54" s="4">
        <v>133.63999999999999</v>
      </c>
      <c r="F54" s="4">
        <v>770.04</v>
      </c>
      <c r="G54" s="2">
        <v>46064</v>
      </c>
      <c r="H54" t="s">
        <v>67</v>
      </c>
      <c r="I54" s="4">
        <v>318.2</v>
      </c>
      <c r="J54" s="6">
        <v>0.5</v>
      </c>
      <c r="K54" t="s">
        <v>18</v>
      </c>
      <c r="L54" s="4">
        <v>0</v>
      </c>
      <c r="M54" s="6">
        <v>0</v>
      </c>
      <c r="N54" t="s">
        <v>44</v>
      </c>
      <c r="O54" t="s">
        <v>127</v>
      </c>
      <c r="P54" t="s">
        <v>143</v>
      </c>
    </row>
    <row r="55" spans="1:16" x14ac:dyDescent="0.25">
      <c r="A55" t="s">
        <v>97</v>
      </c>
      <c r="B55" s="2">
        <v>46065</v>
      </c>
      <c r="C55" s="2" t="s">
        <v>171</v>
      </c>
      <c r="D55" s="4">
        <v>541.58000000000004</v>
      </c>
      <c r="E55" s="4">
        <v>113.7299999999999</v>
      </c>
      <c r="F55" s="4">
        <v>655.30999999999995</v>
      </c>
      <c r="G55" s="2">
        <v>46064</v>
      </c>
      <c r="H55" t="s">
        <v>24</v>
      </c>
      <c r="I55" s="4">
        <v>135.39500000000001</v>
      </c>
      <c r="J55" s="6">
        <v>0.25</v>
      </c>
      <c r="K55" t="s">
        <v>98</v>
      </c>
      <c r="L55" s="4">
        <v>0</v>
      </c>
      <c r="M55" s="6">
        <v>0</v>
      </c>
      <c r="N55" t="s">
        <v>40</v>
      </c>
      <c r="O55" t="s">
        <v>127</v>
      </c>
      <c r="P55" t="s">
        <v>139</v>
      </c>
    </row>
    <row r="56" spans="1:16" x14ac:dyDescent="0.25">
      <c r="A56" t="s">
        <v>99</v>
      </c>
      <c r="B56" s="2">
        <v>46070</v>
      </c>
      <c r="C56" s="2" t="s">
        <v>172</v>
      </c>
      <c r="D56" s="4">
        <v>6000</v>
      </c>
      <c r="E56" s="4">
        <v>1260</v>
      </c>
      <c r="F56" s="4">
        <v>7260</v>
      </c>
      <c r="G56" s="2">
        <v>46066</v>
      </c>
      <c r="H56" t="s">
        <v>26</v>
      </c>
      <c r="I56" s="4">
        <v>3000</v>
      </c>
      <c r="J56" s="6">
        <v>0.5</v>
      </c>
      <c r="K56" t="s">
        <v>18</v>
      </c>
      <c r="L56" s="4">
        <v>0</v>
      </c>
      <c r="M56" s="6">
        <v>0</v>
      </c>
      <c r="N56" t="s">
        <v>37</v>
      </c>
      <c r="O56" t="s">
        <v>127</v>
      </c>
      <c r="P56" t="s">
        <v>135</v>
      </c>
    </row>
    <row r="57" spans="1:16" x14ac:dyDescent="0.25">
      <c r="A57" t="s">
        <v>100</v>
      </c>
      <c r="B57" s="2">
        <v>46070</v>
      </c>
      <c r="C57" s="2" t="s">
        <v>144</v>
      </c>
      <c r="D57" s="4">
        <v>497.5</v>
      </c>
      <c r="E57" s="4">
        <v>0</v>
      </c>
      <c r="F57" s="4">
        <v>497.5</v>
      </c>
      <c r="G57" s="2">
        <v>46066</v>
      </c>
      <c r="H57" t="s">
        <v>18</v>
      </c>
      <c r="I57" s="4">
        <v>0</v>
      </c>
      <c r="J57" s="6">
        <v>0</v>
      </c>
      <c r="K57" t="s">
        <v>18</v>
      </c>
      <c r="L57" s="4">
        <v>0</v>
      </c>
      <c r="M57" s="6">
        <v>0</v>
      </c>
      <c r="N57" t="s">
        <v>44</v>
      </c>
      <c r="O57" t="s">
        <v>127</v>
      </c>
      <c r="P57" t="s">
        <v>143</v>
      </c>
    </row>
    <row r="58" spans="1:16" x14ac:dyDescent="0.25">
      <c r="A58" t="s">
        <v>101</v>
      </c>
      <c r="B58" s="2">
        <v>46070</v>
      </c>
      <c r="C58" s="2" t="s">
        <v>173</v>
      </c>
      <c r="D58" s="4">
        <v>500</v>
      </c>
      <c r="E58" s="4">
        <v>105</v>
      </c>
      <c r="F58" s="4">
        <v>605</v>
      </c>
      <c r="G58" s="2">
        <v>46070</v>
      </c>
      <c r="H58" t="s">
        <v>102</v>
      </c>
      <c r="I58" s="4">
        <v>250</v>
      </c>
      <c r="J58" s="6">
        <v>0.5</v>
      </c>
      <c r="K58" t="s">
        <v>18</v>
      </c>
      <c r="L58" s="4">
        <v>0</v>
      </c>
      <c r="M58" s="6">
        <v>0</v>
      </c>
      <c r="N58" t="s">
        <v>40</v>
      </c>
      <c r="O58" t="s">
        <v>127</v>
      </c>
      <c r="P58" t="s">
        <v>139</v>
      </c>
    </row>
    <row r="59" spans="1:16" x14ac:dyDescent="0.25">
      <c r="A59" t="s">
        <v>103</v>
      </c>
      <c r="B59" s="2">
        <v>46070</v>
      </c>
      <c r="C59" s="2" t="s">
        <v>174</v>
      </c>
      <c r="D59" s="4">
        <v>500</v>
      </c>
      <c r="E59" s="4">
        <v>105</v>
      </c>
      <c r="F59" s="4">
        <v>605</v>
      </c>
      <c r="G59" s="2">
        <v>46070</v>
      </c>
      <c r="H59" t="s">
        <v>102</v>
      </c>
      <c r="I59" s="4">
        <v>250</v>
      </c>
      <c r="J59" s="6">
        <v>0.5</v>
      </c>
      <c r="K59" t="s">
        <v>18</v>
      </c>
      <c r="L59" s="4">
        <v>0</v>
      </c>
      <c r="M59" s="6">
        <v>0</v>
      </c>
      <c r="N59" t="s">
        <v>40</v>
      </c>
      <c r="O59" t="s">
        <v>127</v>
      </c>
      <c r="P59" t="s">
        <v>139</v>
      </c>
    </row>
    <row r="60" spans="1:16" x14ac:dyDescent="0.25">
      <c r="A60" t="s">
        <v>104</v>
      </c>
      <c r="B60" s="2">
        <v>46070</v>
      </c>
      <c r="C60" s="2" t="s">
        <v>174</v>
      </c>
      <c r="D60" s="4">
        <v>500</v>
      </c>
      <c r="E60" s="4">
        <v>105</v>
      </c>
      <c r="F60" s="4">
        <v>605</v>
      </c>
      <c r="G60" s="2">
        <v>46070</v>
      </c>
      <c r="H60" t="s">
        <v>102</v>
      </c>
      <c r="I60" s="4">
        <v>250</v>
      </c>
      <c r="J60" s="6">
        <v>0.5</v>
      </c>
      <c r="K60" t="s">
        <v>18</v>
      </c>
      <c r="L60" s="4">
        <v>0</v>
      </c>
      <c r="M60" s="6">
        <v>0</v>
      </c>
      <c r="N60" t="s">
        <v>40</v>
      </c>
      <c r="O60" t="s">
        <v>127</v>
      </c>
      <c r="P60" t="s">
        <v>139</v>
      </c>
    </row>
    <row r="61" spans="1:16" x14ac:dyDescent="0.25">
      <c r="A61" t="s">
        <v>105</v>
      </c>
      <c r="B61" s="2">
        <v>46070</v>
      </c>
      <c r="C61" s="2" t="s">
        <v>151</v>
      </c>
      <c r="D61" s="4">
        <v>16800</v>
      </c>
      <c r="E61" s="4">
        <v>3528</v>
      </c>
      <c r="F61" s="4">
        <v>20328</v>
      </c>
      <c r="G61" t="s">
        <v>106</v>
      </c>
      <c r="H61" t="s">
        <v>34</v>
      </c>
      <c r="I61" s="4">
        <v>0</v>
      </c>
      <c r="J61" s="6">
        <v>0</v>
      </c>
      <c r="K61" t="s">
        <v>18</v>
      </c>
      <c r="L61" s="4">
        <v>0</v>
      </c>
      <c r="M61" s="6">
        <v>0</v>
      </c>
      <c r="N61" t="s">
        <v>107</v>
      </c>
      <c r="O61" t="s">
        <v>127</v>
      </c>
      <c r="P61" t="s">
        <v>139</v>
      </c>
    </row>
    <row r="62" spans="1:16" x14ac:dyDescent="0.25">
      <c r="A62" t="s">
        <v>106</v>
      </c>
      <c r="B62" s="2">
        <v>46070</v>
      </c>
      <c r="C62" s="2" t="s">
        <v>151</v>
      </c>
      <c r="D62" s="4">
        <v>-16800</v>
      </c>
      <c r="E62" s="4">
        <v>-3528</v>
      </c>
      <c r="F62" s="4">
        <v>-20328</v>
      </c>
      <c r="G62" t="s">
        <v>105</v>
      </c>
      <c r="H62" t="s">
        <v>34</v>
      </c>
      <c r="I62" s="4">
        <v>0</v>
      </c>
      <c r="J62" s="6">
        <v>0</v>
      </c>
      <c r="K62" t="s">
        <v>18</v>
      </c>
      <c r="L62" s="4">
        <v>0</v>
      </c>
      <c r="M62" s="6">
        <v>0</v>
      </c>
      <c r="N62" t="s">
        <v>107</v>
      </c>
      <c r="O62" t="s">
        <v>127</v>
      </c>
      <c r="P62" t="s">
        <v>139</v>
      </c>
    </row>
    <row r="63" spans="1:16" x14ac:dyDescent="0.25">
      <c r="A63" t="s">
        <v>108</v>
      </c>
      <c r="B63" s="2">
        <v>46070</v>
      </c>
      <c r="C63" s="2" t="s">
        <v>175</v>
      </c>
      <c r="D63" s="4">
        <v>4160</v>
      </c>
      <c r="E63" s="4">
        <v>873.60000000000036</v>
      </c>
      <c r="F63" s="4">
        <v>5033.6000000000004</v>
      </c>
      <c r="G63" s="2"/>
      <c r="H63" t="s">
        <v>17</v>
      </c>
      <c r="I63" s="4">
        <v>2080</v>
      </c>
      <c r="J63" s="6">
        <v>0.5</v>
      </c>
      <c r="K63" t="s">
        <v>18</v>
      </c>
      <c r="L63" s="4">
        <v>0</v>
      </c>
      <c r="M63" s="6">
        <v>0</v>
      </c>
      <c r="N63" t="s">
        <v>35</v>
      </c>
      <c r="O63" t="s">
        <v>127</v>
      </c>
      <c r="P63" t="s">
        <v>128</v>
      </c>
    </row>
    <row r="64" spans="1:16" x14ac:dyDescent="0.25">
      <c r="A64" t="s">
        <v>109</v>
      </c>
      <c r="B64" s="2">
        <v>46071</v>
      </c>
      <c r="C64" s="2" t="s">
        <v>176</v>
      </c>
      <c r="D64" s="4">
        <v>-4080</v>
      </c>
      <c r="E64" s="4">
        <v>-856.80000000000018</v>
      </c>
      <c r="F64" s="4">
        <v>-4936.8</v>
      </c>
      <c r="G64" s="5" t="s">
        <v>110</v>
      </c>
      <c r="H64" t="s">
        <v>18</v>
      </c>
      <c r="I64" s="4">
        <v>0</v>
      </c>
      <c r="J64" s="6">
        <v>0</v>
      </c>
      <c r="K64" t="s">
        <v>18</v>
      </c>
      <c r="L64" s="4">
        <v>0</v>
      </c>
      <c r="M64" s="6">
        <v>0</v>
      </c>
      <c r="N64" t="s">
        <v>22</v>
      </c>
      <c r="O64" t="s">
        <v>127</v>
      </c>
      <c r="P64" t="s">
        <v>128</v>
      </c>
    </row>
    <row r="65" spans="1:16" x14ac:dyDescent="0.25">
      <c r="A65" t="s">
        <v>111</v>
      </c>
      <c r="B65" s="2">
        <v>46071</v>
      </c>
      <c r="C65" s="2" t="s">
        <v>177</v>
      </c>
      <c r="D65" s="4">
        <v>7000</v>
      </c>
      <c r="E65" s="4">
        <v>0</v>
      </c>
      <c r="F65" s="4">
        <v>7000</v>
      </c>
      <c r="G65" s="2">
        <v>46071</v>
      </c>
      <c r="H65" t="s">
        <v>21</v>
      </c>
      <c r="I65" s="4">
        <v>0</v>
      </c>
      <c r="J65" s="6">
        <v>0</v>
      </c>
      <c r="K65" t="s">
        <v>18</v>
      </c>
      <c r="L65" s="4">
        <v>0</v>
      </c>
      <c r="M65" s="6">
        <v>0</v>
      </c>
      <c r="N65" t="s">
        <v>19</v>
      </c>
      <c r="O65" t="s">
        <v>127</v>
      </c>
      <c r="P65" t="s">
        <v>128</v>
      </c>
    </row>
    <row r="66" spans="1:16" x14ac:dyDescent="0.25">
      <c r="A66" t="s">
        <v>112</v>
      </c>
      <c r="B66" s="2">
        <v>46072</v>
      </c>
      <c r="C66" s="2" t="s">
        <v>178</v>
      </c>
      <c r="D66" s="4">
        <v>1200</v>
      </c>
      <c r="E66" s="4">
        <v>252</v>
      </c>
      <c r="F66" s="4">
        <v>1452</v>
      </c>
      <c r="G66" s="2">
        <v>46071</v>
      </c>
      <c r="H66" t="s">
        <v>46</v>
      </c>
      <c r="I66" s="4">
        <v>0</v>
      </c>
      <c r="J66" s="6">
        <v>0</v>
      </c>
      <c r="K66" t="s">
        <v>18</v>
      </c>
      <c r="L66" s="4">
        <v>0</v>
      </c>
      <c r="M66" s="6">
        <v>0</v>
      </c>
      <c r="N66" t="s">
        <v>44</v>
      </c>
      <c r="O66" t="s">
        <v>127</v>
      </c>
      <c r="P66" t="s">
        <v>143</v>
      </c>
    </row>
    <row r="67" spans="1:16" x14ac:dyDescent="0.25">
      <c r="A67" t="s">
        <v>113</v>
      </c>
      <c r="B67" s="2">
        <v>46073</v>
      </c>
      <c r="C67" s="2" t="s">
        <v>179</v>
      </c>
      <c r="D67" s="4">
        <v>300</v>
      </c>
      <c r="E67" s="4">
        <v>63</v>
      </c>
      <c r="F67" s="4">
        <v>363</v>
      </c>
      <c r="G67" s="2">
        <v>46071</v>
      </c>
      <c r="H67" t="s">
        <v>73</v>
      </c>
      <c r="I67" s="4">
        <v>150</v>
      </c>
      <c r="J67" s="6">
        <v>0.5</v>
      </c>
      <c r="K67" t="s">
        <v>18</v>
      </c>
      <c r="L67" s="4">
        <v>0</v>
      </c>
      <c r="M67" s="6">
        <v>0</v>
      </c>
      <c r="N67" t="s">
        <v>40</v>
      </c>
      <c r="O67" t="s">
        <v>127</v>
      </c>
      <c r="P67" t="s">
        <v>139</v>
      </c>
    </row>
    <row r="68" spans="1:16" x14ac:dyDescent="0.25">
      <c r="A68" t="s">
        <v>114</v>
      </c>
      <c r="B68" s="2">
        <v>46073</v>
      </c>
      <c r="C68" s="2" t="s">
        <v>180</v>
      </c>
      <c r="D68" s="4">
        <v>29040</v>
      </c>
      <c r="E68" s="4">
        <v>6098.4000000000015</v>
      </c>
      <c r="F68" s="4">
        <v>35138.400000000001</v>
      </c>
      <c r="G68" s="2">
        <v>46071</v>
      </c>
      <c r="H68" t="s">
        <v>115</v>
      </c>
      <c r="I68" s="4">
        <v>7260</v>
      </c>
      <c r="J68" s="6">
        <v>0.25</v>
      </c>
      <c r="K68" t="s">
        <v>116</v>
      </c>
      <c r="L68" s="4">
        <v>14520</v>
      </c>
      <c r="M68" s="6">
        <v>0.5</v>
      </c>
      <c r="N68" t="s">
        <v>35</v>
      </c>
      <c r="O68" t="s">
        <v>127</v>
      </c>
      <c r="P68" t="s">
        <v>128</v>
      </c>
    </row>
    <row r="69" spans="1:16" x14ac:dyDescent="0.25">
      <c r="A69" t="s">
        <v>117</v>
      </c>
      <c r="B69" s="2">
        <v>46073</v>
      </c>
      <c r="C69" s="2" t="s">
        <v>146</v>
      </c>
      <c r="D69" s="4">
        <v>1764</v>
      </c>
      <c r="E69" s="4">
        <v>370.44000000000005</v>
      </c>
      <c r="F69" s="4">
        <v>2134.44</v>
      </c>
      <c r="G69" s="2">
        <v>46072</v>
      </c>
      <c r="H69" t="s">
        <v>34</v>
      </c>
      <c r="I69" s="4">
        <v>882</v>
      </c>
      <c r="J69" s="6">
        <v>0.5</v>
      </c>
      <c r="K69" t="s">
        <v>18</v>
      </c>
      <c r="L69" s="4">
        <v>0</v>
      </c>
      <c r="M69" s="6">
        <v>0</v>
      </c>
      <c r="N69" t="s">
        <v>37</v>
      </c>
      <c r="O69" t="s">
        <v>127</v>
      </c>
      <c r="P69" t="s">
        <v>135</v>
      </c>
    </row>
    <row r="70" spans="1:16" x14ac:dyDescent="0.25">
      <c r="A70" t="s">
        <v>118</v>
      </c>
      <c r="B70" s="2">
        <v>46073</v>
      </c>
      <c r="C70" s="2" t="s">
        <v>181</v>
      </c>
      <c r="D70" s="4">
        <v>2608.0100000000002</v>
      </c>
      <c r="E70" s="4">
        <v>547.67999999999984</v>
      </c>
      <c r="F70" s="4">
        <v>3155.69</v>
      </c>
      <c r="G70" s="2">
        <v>46073</v>
      </c>
      <c r="H70" t="s">
        <v>73</v>
      </c>
      <c r="I70" s="4">
        <v>1304.0050000000001</v>
      </c>
      <c r="J70" s="6">
        <v>0.5</v>
      </c>
      <c r="K70" t="s">
        <v>18</v>
      </c>
      <c r="L70" s="4">
        <v>0</v>
      </c>
      <c r="M70" s="6">
        <v>0</v>
      </c>
      <c r="N70" t="s">
        <v>29</v>
      </c>
      <c r="O70" t="s">
        <v>127</v>
      </c>
      <c r="P70" t="s">
        <v>128</v>
      </c>
    </row>
    <row r="71" spans="1:16" x14ac:dyDescent="0.25">
      <c r="A71" t="s">
        <v>119</v>
      </c>
      <c r="B71" s="2">
        <v>46073</v>
      </c>
      <c r="C71" s="2" t="s">
        <v>182</v>
      </c>
      <c r="D71" s="4">
        <v>1350</v>
      </c>
      <c r="E71" s="4">
        <v>283.5</v>
      </c>
      <c r="F71" s="4">
        <v>1633.5</v>
      </c>
      <c r="G71" s="2">
        <v>46073</v>
      </c>
      <c r="H71" t="s">
        <v>39</v>
      </c>
      <c r="I71" s="4">
        <v>675</v>
      </c>
      <c r="J71" s="6">
        <v>0.5</v>
      </c>
      <c r="K71" t="s">
        <v>18</v>
      </c>
      <c r="L71" s="4">
        <v>0</v>
      </c>
      <c r="M71" s="6">
        <v>0</v>
      </c>
      <c r="N71" t="s">
        <v>19</v>
      </c>
      <c r="O71" t="s">
        <v>127</v>
      </c>
      <c r="P71" t="s">
        <v>128</v>
      </c>
    </row>
    <row r="72" spans="1:16" x14ac:dyDescent="0.25">
      <c r="A72" t="s">
        <v>120</v>
      </c>
      <c r="B72" s="2">
        <v>46078</v>
      </c>
      <c r="C72" s="2" t="s">
        <v>183</v>
      </c>
      <c r="D72" s="4">
        <v>300</v>
      </c>
      <c r="E72" s="4">
        <v>63</v>
      </c>
      <c r="F72" s="4">
        <v>363</v>
      </c>
      <c r="G72" s="2">
        <v>46078</v>
      </c>
      <c r="H72" t="s">
        <v>21</v>
      </c>
      <c r="I72" s="4">
        <v>0</v>
      </c>
      <c r="J72" s="6">
        <v>0</v>
      </c>
      <c r="K72" t="s">
        <v>121</v>
      </c>
      <c r="L72" s="4">
        <v>0</v>
      </c>
      <c r="M72" s="6">
        <v>0</v>
      </c>
      <c r="N72" t="s">
        <v>29</v>
      </c>
      <c r="O72" t="s">
        <v>127</v>
      </c>
      <c r="P72" t="s">
        <v>128</v>
      </c>
    </row>
    <row r="73" spans="1:16" x14ac:dyDescent="0.25">
      <c r="A73" t="s">
        <v>122</v>
      </c>
      <c r="B73" s="2">
        <v>46081</v>
      </c>
      <c r="C73" s="2" t="s">
        <v>184</v>
      </c>
      <c r="D73" s="4">
        <v>361.92</v>
      </c>
      <c r="E73" s="4">
        <v>76</v>
      </c>
      <c r="F73" s="4">
        <v>437.92</v>
      </c>
      <c r="G73" s="2">
        <v>46080</v>
      </c>
      <c r="H73" t="s">
        <v>39</v>
      </c>
      <c r="I73" s="4">
        <v>180.96</v>
      </c>
      <c r="J73" s="6">
        <v>0.5</v>
      </c>
      <c r="K73" t="s">
        <v>18</v>
      </c>
      <c r="L73" s="4">
        <v>0</v>
      </c>
      <c r="M73" s="6">
        <v>0</v>
      </c>
      <c r="N73" t="s">
        <v>29</v>
      </c>
      <c r="O73" t="s">
        <v>127</v>
      </c>
      <c r="P73" t="s">
        <v>128</v>
      </c>
    </row>
    <row r="74" spans="1:16" x14ac:dyDescent="0.25">
      <c r="A74" t="s">
        <v>123</v>
      </c>
      <c r="B74" s="2">
        <v>46081</v>
      </c>
      <c r="C74" s="2" t="s">
        <v>138</v>
      </c>
      <c r="D74" s="4">
        <v>945</v>
      </c>
      <c r="E74" s="4">
        <v>198.45000000000005</v>
      </c>
      <c r="F74" s="4">
        <v>1143.45</v>
      </c>
      <c r="G74" s="2">
        <v>46079</v>
      </c>
      <c r="H74" t="s">
        <v>39</v>
      </c>
      <c r="I74" s="4">
        <v>472.5</v>
      </c>
      <c r="J74" s="6">
        <v>0.5</v>
      </c>
      <c r="K74" t="s">
        <v>18</v>
      </c>
      <c r="L74" s="4">
        <v>0</v>
      </c>
      <c r="M74" s="6">
        <v>0</v>
      </c>
      <c r="N74" t="s">
        <v>40</v>
      </c>
      <c r="O74" t="s">
        <v>127</v>
      </c>
      <c r="P74" t="s">
        <v>139</v>
      </c>
    </row>
    <row r="75" spans="1:16" x14ac:dyDescent="0.25">
      <c r="A75" t="s">
        <v>124</v>
      </c>
      <c r="B75" s="2">
        <v>46081</v>
      </c>
      <c r="C75" s="2" t="s">
        <v>185</v>
      </c>
      <c r="D75" s="4">
        <v>1124.1199999999999</v>
      </c>
      <c r="E75" s="4">
        <v>236.07000000000016</v>
      </c>
      <c r="F75" s="4">
        <v>1360.19</v>
      </c>
      <c r="G75" s="2">
        <v>46079</v>
      </c>
      <c r="H75" t="s">
        <v>34</v>
      </c>
      <c r="I75" s="4">
        <v>562.05999999999995</v>
      </c>
      <c r="J75" s="6">
        <v>0.5</v>
      </c>
      <c r="K75" t="s">
        <v>18</v>
      </c>
      <c r="L75" s="4">
        <v>0</v>
      </c>
      <c r="M75" s="6">
        <v>0</v>
      </c>
      <c r="N75" t="s">
        <v>29</v>
      </c>
      <c r="O75" t="s">
        <v>127</v>
      </c>
      <c r="P75" t="s">
        <v>128</v>
      </c>
    </row>
    <row r="76" spans="1:16" x14ac:dyDescent="0.25">
      <c r="A76" t="s">
        <v>125</v>
      </c>
      <c r="B76" s="2">
        <v>46081</v>
      </c>
      <c r="C76" s="2" t="s">
        <v>186</v>
      </c>
      <c r="D76" s="4">
        <v>1596.92</v>
      </c>
      <c r="E76" s="4">
        <v>335.34999999999991</v>
      </c>
      <c r="F76" s="4">
        <v>1932.27</v>
      </c>
      <c r="G76" s="2">
        <v>46079</v>
      </c>
      <c r="H76" t="s">
        <v>21</v>
      </c>
      <c r="I76" s="4">
        <v>0</v>
      </c>
      <c r="J76" s="6">
        <v>0</v>
      </c>
      <c r="K76" t="s">
        <v>18</v>
      </c>
      <c r="L76" s="4">
        <v>0</v>
      </c>
      <c r="M76" s="6">
        <v>0</v>
      </c>
      <c r="N76" t="s">
        <v>40</v>
      </c>
      <c r="O76" t="s">
        <v>127</v>
      </c>
      <c r="P76" t="s">
        <v>139</v>
      </c>
    </row>
    <row r="77" spans="1:16" x14ac:dyDescent="0.25">
      <c r="D77" s="4">
        <f>SUM(D2:D76)</f>
        <v>494828.54999999964</v>
      </c>
      <c r="I77" s="4">
        <f>SUM(I2:I76)</f>
        <v>202288.25</v>
      </c>
      <c r="L77" s="4">
        <f>SUM(L2:L76)</f>
        <v>18895</v>
      </c>
    </row>
    <row r="81" spans="3:4" x14ac:dyDescent="0.25">
      <c r="C81" s="8" t="s">
        <v>187</v>
      </c>
      <c r="D81" s="9">
        <f>D77</f>
        <v>494828.54999999964</v>
      </c>
    </row>
    <row r="82" spans="3:4" x14ac:dyDescent="0.25">
      <c r="C82" s="8" t="s">
        <v>188</v>
      </c>
      <c r="D82" s="9">
        <f>I77+L77</f>
        <v>221183.25</v>
      </c>
    </row>
    <row r="83" spans="3:4" x14ac:dyDescent="0.25">
      <c r="C83" s="8" t="s">
        <v>189</v>
      </c>
      <c r="D83" s="10">
        <f>D82/D81</f>
        <v>0.44698966945217727</v>
      </c>
    </row>
  </sheetData>
  <autoFilter ref="A1:P77" xr:uid="{FCFD99C4-0722-4C2D-83FE-AF9E39C5AC59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26B37DCBE27DF4DB781863BFA31B7FA" ma:contentTypeVersion="15" ma:contentTypeDescription="Crear nuevo documento." ma:contentTypeScope="" ma:versionID="8b1e17a0c43590e3d02493390183cc09">
  <xsd:schema xmlns:xsd="http://www.w3.org/2001/XMLSchema" xmlns:xs="http://www.w3.org/2001/XMLSchema" xmlns:p="http://schemas.microsoft.com/office/2006/metadata/properties" xmlns:ns2="76700608-87c1-4b7c-937f-b2582eea695b" xmlns:ns3="5c680a88-8913-4f49-a90f-96ec542e1a5b" targetNamespace="http://schemas.microsoft.com/office/2006/metadata/properties" ma:root="true" ma:fieldsID="c17193f3b2a04f9c5f279af6740b60ff" ns2:_="" ns3:_="">
    <xsd:import namespace="76700608-87c1-4b7c-937f-b2582eea695b"/>
    <xsd:import namespace="5c680a88-8913-4f49-a90f-96ec542e1a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700608-87c1-4b7c-937f-b2582eea69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eb73700a-25db-440e-ab5b-64ac94edaa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680a88-8913-4f49-a90f-96ec542e1a5b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7ef0e86f-0b03-4b53-85e7-a94709699488}" ma:internalName="TaxCatchAll" ma:showField="CatchAllData" ma:web="5c680a88-8913-4f49-a90f-96ec542e1a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c680a88-8913-4f49-a90f-96ec542e1a5b" xsi:nil="true"/>
    <lcf76f155ced4ddcb4097134ff3c332f xmlns="76700608-87c1-4b7c-937f-b2582eea695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DDD66D9-8949-42CF-B0E4-CA1E6EFD9FC3}"/>
</file>

<file path=customXml/itemProps2.xml><?xml version="1.0" encoding="utf-8"?>
<ds:datastoreItem xmlns:ds="http://schemas.openxmlformats.org/officeDocument/2006/customXml" ds:itemID="{6EB97B77-35EC-4F31-A92E-5624C45C429B}"/>
</file>

<file path=customXml/itemProps3.xml><?xml version="1.0" encoding="utf-8"?>
<ds:datastoreItem xmlns:ds="http://schemas.openxmlformats.org/officeDocument/2006/customXml" ds:itemID="{D6B758EB-A806-4AF7-B485-5E644E30A24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 Robles (Financiero O&amp;B)</dc:creator>
  <cp:lastModifiedBy>Abraham Robles (Financiero O&amp;B)</cp:lastModifiedBy>
  <dcterms:created xsi:type="dcterms:W3CDTF">2026-03-12T09:30:58Z</dcterms:created>
  <dcterms:modified xsi:type="dcterms:W3CDTF">2026-03-12T09:37:25Z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0x010100526B37DCBE27DF4DB781863BFA31B7FA</vt:lpwstr>
  </property>
  <property fmtid="{D5CDD505-2E9C-101B-9397-08002B2CF9AE}" pid="3" name="MediaServiceImageTags">
    <vt:lpwstr/>
  </property>
</Properties>
</file>