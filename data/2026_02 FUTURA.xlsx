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brokerspartners.sharepoint.com/sites/CEOOffice/Documentos compartidos/2. Datos/6. Controlling Comercial/1. Ficheros Report/2026/02. FEBRERO/Estadisticas/02. Febrero/"/>
    </mc:Choice>
  </mc:AlternateContent>
  <xr:revisionPtr revIDLastSave="172" documentId="8_{DC79FB46-1F2D-40EA-B8E0-3EC7B582B58C}" xr6:coauthVersionLast="47" xr6:coauthVersionMax="47" xr10:uidLastSave="{8A73394C-28D8-4D49-B86F-61927176C23B}"/>
  <bookViews>
    <workbookView xWindow="-108" yWindow="-108" windowWidth="23256" windowHeight="12456" xr2:uid="{EA21BA0E-9A22-4B85-97B7-2993DCAFDC6F}"/>
  </bookViews>
  <sheets>
    <sheet name="TD 2026" sheetId="3" r:id="rId1"/>
    <sheet name="Hoja1" sheetId="4" r:id="rId2"/>
    <sheet name="DATOS 2026" sheetId="1" r:id="rId3"/>
  </sheets>
  <definedNames>
    <definedName name="_xlnm._FilterDatabase" localSheetId="2" hidden="1">'DATOS 2026'!$A$1:$U$796</definedName>
  </definedNames>
  <calcPr calcId="191028"/>
  <pivotCaches>
    <pivotCache cacheId="2" r:id="rId4"/>
    <pivotCache cacheId="2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3" l="1"/>
  <c r="B16" i="3"/>
  <c r="Q241" i="1"/>
  <c r="R241" i="1"/>
  <c r="S241" i="1"/>
  <c r="T241" i="1"/>
  <c r="Q242" i="1"/>
  <c r="R242" i="1"/>
  <c r="S242" i="1"/>
  <c r="T242" i="1"/>
  <c r="Q243" i="1"/>
  <c r="R243" i="1"/>
  <c r="S243" i="1"/>
  <c r="T243" i="1"/>
  <c r="Q244" i="1"/>
  <c r="R244" i="1"/>
  <c r="S244" i="1"/>
  <c r="T244" i="1"/>
  <c r="Q245" i="1"/>
  <c r="R245" i="1"/>
  <c r="S245" i="1"/>
  <c r="T245" i="1"/>
  <c r="Q246" i="1"/>
  <c r="R246" i="1"/>
  <c r="S246" i="1"/>
  <c r="T246" i="1"/>
  <c r="Q247" i="1"/>
  <c r="R247" i="1"/>
  <c r="S247" i="1"/>
  <c r="T247" i="1"/>
  <c r="Q248" i="1"/>
  <c r="R248" i="1"/>
  <c r="S248" i="1"/>
  <c r="T248" i="1"/>
  <c r="Q249" i="1"/>
  <c r="R249" i="1"/>
  <c r="S249" i="1"/>
  <c r="T249" i="1"/>
  <c r="Q250" i="1"/>
  <c r="R250" i="1"/>
  <c r="S250" i="1"/>
  <c r="T250" i="1"/>
  <c r="Q251" i="1"/>
  <c r="R251" i="1"/>
  <c r="S251" i="1"/>
  <c r="T251" i="1"/>
  <c r="Q252" i="1"/>
  <c r="R252" i="1"/>
  <c r="S252" i="1"/>
  <c r="T252" i="1"/>
  <c r="Q253" i="1"/>
  <c r="R253" i="1"/>
  <c r="S253" i="1"/>
  <c r="T253" i="1"/>
  <c r="Q254" i="1"/>
  <c r="R254" i="1"/>
  <c r="S254" i="1"/>
  <c r="T254" i="1"/>
  <c r="Q255" i="1"/>
  <c r="R255" i="1"/>
  <c r="S255" i="1"/>
  <c r="T255" i="1"/>
  <c r="Q256" i="1"/>
  <c r="R256" i="1"/>
  <c r="S256" i="1"/>
  <c r="T256" i="1"/>
  <c r="Q257" i="1"/>
  <c r="R257" i="1"/>
  <c r="S257" i="1"/>
  <c r="T257" i="1"/>
  <c r="Q258" i="1"/>
  <c r="R258" i="1"/>
  <c r="S258" i="1"/>
  <c r="T258" i="1"/>
  <c r="Q259" i="1"/>
  <c r="R259" i="1"/>
  <c r="S259" i="1"/>
  <c r="T259" i="1"/>
  <c r="Q260" i="1"/>
  <c r="R260" i="1"/>
  <c r="S260" i="1"/>
  <c r="T260" i="1"/>
  <c r="Q261" i="1"/>
  <c r="R261" i="1"/>
  <c r="S261" i="1"/>
  <c r="T261" i="1"/>
  <c r="Q262" i="1"/>
  <c r="R262" i="1"/>
  <c r="S262" i="1"/>
  <c r="T262" i="1"/>
  <c r="Q263" i="1"/>
  <c r="R263" i="1"/>
  <c r="S263" i="1"/>
  <c r="T263" i="1"/>
  <c r="Q264" i="1"/>
  <c r="R264" i="1"/>
  <c r="S264" i="1"/>
  <c r="T264" i="1"/>
  <c r="Q265" i="1"/>
  <c r="R265" i="1"/>
  <c r="S265" i="1"/>
  <c r="T265" i="1"/>
  <c r="Q266" i="1"/>
  <c r="R266" i="1"/>
  <c r="S266" i="1"/>
  <c r="T266" i="1"/>
  <c r="Q159" i="1"/>
  <c r="R159" i="1"/>
  <c r="S159" i="1"/>
  <c r="T159" i="1"/>
  <c r="Q146" i="1"/>
  <c r="R146" i="1"/>
  <c r="S146" i="1"/>
  <c r="T146" i="1"/>
  <c r="Q149" i="1"/>
  <c r="R149" i="1"/>
  <c r="S149" i="1"/>
  <c r="T149" i="1"/>
  <c r="Q121" i="1"/>
  <c r="R121" i="1"/>
  <c r="S121" i="1"/>
  <c r="T121" i="1"/>
  <c r="Q150" i="1"/>
  <c r="R150" i="1"/>
  <c r="S150" i="1"/>
  <c r="T150" i="1"/>
  <c r="Q120" i="1"/>
  <c r="R120" i="1"/>
  <c r="S120" i="1"/>
  <c r="T120" i="1"/>
  <c r="Q128" i="1"/>
  <c r="R128" i="1"/>
  <c r="S128" i="1"/>
  <c r="T128" i="1"/>
  <c r="Q124" i="1"/>
  <c r="R124" i="1"/>
  <c r="S124" i="1"/>
  <c r="T124" i="1"/>
  <c r="Q125" i="1"/>
  <c r="R125" i="1"/>
  <c r="S125" i="1"/>
  <c r="T125" i="1"/>
  <c r="Q122" i="1"/>
  <c r="R122" i="1"/>
  <c r="S122" i="1"/>
  <c r="T122" i="1"/>
  <c r="Q118" i="1"/>
  <c r="R118" i="1"/>
  <c r="S118" i="1"/>
  <c r="T118" i="1"/>
  <c r="Q116" i="1"/>
  <c r="R116" i="1"/>
  <c r="S116" i="1"/>
  <c r="T116" i="1"/>
  <c r="Q113" i="1"/>
  <c r="R113" i="1"/>
  <c r="S113" i="1"/>
  <c r="T113" i="1"/>
  <c r="Q126" i="1"/>
  <c r="R126" i="1"/>
  <c r="S126" i="1"/>
  <c r="T126" i="1"/>
  <c r="Q127" i="1"/>
  <c r="R127" i="1"/>
  <c r="S127" i="1"/>
  <c r="T127" i="1"/>
  <c r="Q119" i="1"/>
  <c r="R119" i="1"/>
  <c r="S119" i="1"/>
  <c r="T119" i="1"/>
  <c r="Q117" i="1"/>
  <c r="R117" i="1"/>
  <c r="S117" i="1"/>
  <c r="T117" i="1"/>
  <c r="Q112" i="1"/>
  <c r="R112" i="1"/>
  <c r="S112" i="1"/>
  <c r="T112" i="1"/>
  <c r="Q114" i="1"/>
  <c r="R114" i="1"/>
  <c r="S114" i="1"/>
  <c r="T114" i="1"/>
  <c r="Q115" i="1"/>
  <c r="R115" i="1"/>
  <c r="S115" i="1"/>
  <c r="T115" i="1"/>
  <c r="Q298" i="1"/>
  <c r="R298" i="1"/>
  <c r="S298" i="1"/>
  <c r="T298" i="1"/>
  <c r="Q755" i="1"/>
  <c r="R755" i="1"/>
  <c r="S755" i="1"/>
  <c r="T755" i="1"/>
  <c r="Q219" i="1"/>
  <c r="R219" i="1"/>
  <c r="S219" i="1"/>
  <c r="T219" i="1"/>
  <c r="Q165" i="1"/>
  <c r="R165" i="1"/>
  <c r="S165" i="1"/>
  <c r="T165" i="1"/>
  <c r="Q301" i="1"/>
  <c r="R301" i="1"/>
  <c r="S301" i="1"/>
  <c r="T301" i="1"/>
  <c r="Q162" i="1"/>
  <c r="R162" i="1"/>
  <c r="S162" i="1"/>
  <c r="T162" i="1"/>
  <c r="Q293" i="1"/>
  <c r="R293" i="1"/>
  <c r="S293" i="1"/>
  <c r="T293" i="1"/>
  <c r="Q294" i="1"/>
  <c r="R294" i="1"/>
  <c r="S294" i="1"/>
  <c r="T294" i="1"/>
  <c r="Q123" i="1"/>
  <c r="R123" i="1"/>
  <c r="S123" i="1"/>
  <c r="T123" i="1"/>
  <c r="Q109" i="1"/>
  <c r="R109" i="1"/>
  <c r="S109" i="1"/>
  <c r="T109" i="1"/>
  <c r="Q784" i="1"/>
  <c r="R784" i="1"/>
  <c r="S784" i="1"/>
  <c r="T784" i="1"/>
  <c r="Q796" i="1"/>
  <c r="R796" i="1"/>
  <c r="S796" i="1"/>
  <c r="T796" i="1"/>
  <c r="Q299" i="1"/>
  <c r="R299" i="1"/>
  <c r="S299" i="1"/>
  <c r="T299" i="1"/>
  <c r="Q300" i="1"/>
  <c r="R300" i="1"/>
  <c r="S300" i="1"/>
  <c r="T300" i="1"/>
  <c r="Q152" i="1"/>
  <c r="R152" i="1"/>
  <c r="S152" i="1"/>
  <c r="T152" i="1"/>
  <c r="Q302" i="1"/>
  <c r="R302" i="1"/>
  <c r="S302" i="1"/>
  <c r="T302" i="1"/>
  <c r="Q303" i="1"/>
  <c r="R303" i="1"/>
  <c r="S303" i="1"/>
  <c r="T303" i="1"/>
  <c r="Q794" i="1"/>
  <c r="R794" i="1"/>
  <c r="S794" i="1"/>
  <c r="T794" i="1"/>
  <c r="Q795" i="1"/>
  <c r="R795" i="1"/>
  <c r="S795" i="1"/>
  <c r="T795" i="1"/>
  <c r="Q306" i="1"/>
  <c r="R306" i="1"/>
  <c r="S306" i="1"/>
  <c r="T306" i="1"/>
  <c r="Q307" i="1"/>
  <c r="R307" i="1"/>
  <c r="S307" i="1"/>
  <c r="T307" i="1"/>
  <c r="Q308" i="1"/>
  <c r="R308" i="1"/>
  <c r="S308" i="1"/>
  <c r="T308" i="1"/>
  <c r="Q309" i="1"/>
  <c r="R309" i="1"/>
  <c r="S309" i="1"/>
  <c r="T309" i="1"/>
  <c r="Q310" i="1"/>
  <c r="R310" i="1"/>
  <c r="S310" i="1"/>
  <c r="T310" i="1"/>
  <c r="Q311" i="1"/>
  <c r="R311" i="1"/>
  <c r="S311" i="1"/>
  <c r="T311" i="1"/>
  <c r="Q312" i="1"/>
  <c r="R312" i="1"/>
  <c r="S312" i="1"/>
  <c r="T312" i="1"/>
  <c r="Q313" i="1"/>
  <c r="R313" i="1"/>
  <c r="S313" i="1"/>
  <c r="T313" i="1"/>
  <c r="Q314" i="1"/>
  <c r="R314" i="1"/>
  <c r="S314" i="1"/>
  <c r="T314" i="1"/>
  <c r="Q315" i="1"/>
  <c r="R315" i="1"/>
  <c r="S315" i="1"/>
  <c r="T315" i="1"/>
  <c r="Q316" i="1"/>
  <c r="R316" i="1"/>
  <c r="S316" i="1"/>
  <c r="T316" i="1"/>
  <c r="Q317" i="1"/>
  <c r="R317" i="1"/>
  <c r="S317" i="1"/>
  <c r="T317" i="1"/>
  <c r="Q318" i="1"/>
  <c r="R318" i="1"/>
  <c r="S318" i="1"/>
  <c r="T318" i="1"/>
  <c r="Q319" i="1"/>
  <c r="R319" i="1"/>
  <c r="S319" i="1"/>
  <c r="T319" i="1"/>
  <c r="Q320" i="1"/>
  <c r="R320" i="1"/>
  <c r="S320" i="1"/>
  <c r="T320" i="1"/>
  <c r="Q321" i="1"/>
  <c r="R321" i="1"/>
  <c r="S321" i="1"/>
  <c r="T321" i="1"/>
  <c r="Q322" i="1"/>
  <c r="R322" i="1"/>
  <c r="S322" i="1"/>
  <c r="T322" i="1"/>
  <c r="Q323" i="1"/>
  <c r="R323" i="1"/>
  <c r="S323" i="1"/>
  <c r="T323" i="1"/>
  <c r="Q324" i="1"/>
  <c r="R324" i="1"/>
  <c r="S324" i="1"/>
  <c r="T324" i="1"/>
  <c r="Q325" i="1"/>
  <c r="R325" i="1"/>
  <c r="S325" i="1"/>
  <c r="T325" i="1"/>
  <c r="Q326" i="1"/>
  <c r="R326" i="1"/>
  <c r="S326" i="1"/>
  <c r="T326" i="1"/>
  <c r="Q327" i="1"/>
  <c r="R327" i="1"/>
  <c r="S327" i="1"/>
  <c r="T327" i="1"/>
  <c r="Q328" i="1"/>
  <c r="R328" i="1"/>
  <c r="S328" i="1"/>
  <c r="T328" i="1"/>
  <c r="Q329" i="1"/>
  <c r="R329" i="1"/>
  <c r="S329" i="1"/>
  <c r="T329" i="1"/>
  <c r="Q330" i="1"/>
  <c r="R330" i="1"/>
  <c r="S330" i="1"/>
  <c r="T330" i="1"/>
  <c r="Q331" i="1"/>
  <c r="R331" i="1"/>
  <c r="S331" i="1"/>
  <c r="T331" i="1"/>
  <c r="Q332" i="1"/>
  <c r="R332" i="1"/>
  <c r="S332" i="1"/>
  <c r="T332" i="1"/>
  <c r="Q333" i="1"/>
  <c r="R333" i="1"/>
  <c r="S333" i="1"/>
  <c r="T333" i="1"/>
  <c r="Q334" i="1"/>
  <c r="R334" i="1"/>
  <c r="S334" i="1"/>
  <c r="T334" i="1"/>
  <c r="Q335" i="1"/>
  <c r="R335" i="1"/>
  <c r="S335" i="1"/>
  <c r="T335" i="1"/>
  <c r="Q336" i="1"/>
  <c r="R336" i="1"/>
  <c r="S336" i="1"/>
  <c r="T336" i="1"/>
  <c r="Q337" i="1"/>
  <c r="R337" i="1"/>
  <c r="S337" i="1"/>
  <c r="T337" i="1"/>
  <c r="Q338" i="1"/>
  <c r="R338" i="1"/>
  <c r="S338" i="1"/>
  <c r="T338" i="1"/>
  <c r="Q339" i="1"/>
  <c r="R339" i="1"/>
  <c r="S339" i="1"/>
  <c r="T339" i="1"/>
  <c r="Q340" i="1"/>
  <c r="R340" i="1"/>
  <c r="S340" i="1"/>
  <c r="T340" i="1"/>
  <c r="Q341" i="1"/>
  <c r="R341" i="1"/>
  <c r="S341" i="1"/>
  <c r="T341" i="1"/>
  <c r="Q342" i="1"/>
  <c r="R342" i="1"/>
  <c r="S342" i="1"/>
  <c r="T342" i="1"/>
  <c r="Q343" i="1"/>
  <c r="R343" i="1"/>
  <c r="S343" i="1"/>
  <c r="T343" i="1"/>
  <c r="Q344" i="1"/>
  <c r="R344" i="1"/>
  <c r="S344" i="1"/>
  <c r="T344" i="1"/>
  <c r="Q345" i="1"/>
  <c r="R345" i="1"/>
  <c r="S345" i="1"/>
  <c r="T345" i="1"/>
  <c r="Q346" i="1"/>
  <c r="R346" i="1"/>
  <c r="S346" i="1"/>
  <c r="T346" i="1"/>
  <c r="Q347" i="1"/>
  <c r="R347" i="1"/>
  <c r="S347" i="1"/>
  <c r="T347" i="1"/>
  <c r="Q348" i="1"/>
  <c r="R348" i="1"/>
  <c r="S348" i="1"/>
  <c r="T348" i="1"/>
  <c r="Q349" i="1"/>
  <c r="R349" i="1"/>
  <c r="S349" i="1"/>
  <c r="T349" i="1"/>
  <c r="Q350" i="1"/>
  <c r="R350" i="1"/>
  <c r="S350" i="1"/>
  <c r="T350" i="1"/>
  <c r="Q351" i="1"/>
  <c r="R351" i="1"/>
  <c r="S351" i="1"/>
  <c r="T351" i="1"/>
  <c r="Q352" i="1"/>
  <c r="R352" i="1"/>
  <c r="S352" i="1"/>
  <c r="T352" i="1"/>
  <c r="Q353" i="1"/>
  <c r="R353" i="1"/>
  <c r="S353" i="1"/>
  <c r="T353" i="1"/>
  <c r="Q354" i="1"/>
  <c r="R354" i="1"/>
  <c r="S354" i="1"/>
  <c r="T354" i="1"/>
  <c r="Q355" i="1"/>
  <c r="R355" i="1"/>
  <c r="S355" i="1"/>
  <c r="T355" i="1"/>
  <c r="Q356" i="1"/>
  <c r="R356" i="1"/>
  <c r="S356" i="1"/>
  <c r="T356" i="1"/>
  <c r="Q357" i="1"/>
  <c r="R357" i="1"/>
  <c r="S357" i="1"/>
  <c r="T357" i="1"/>
  <c r="Q358" i="1"/>
  <c r="R358" i="1"/>
  <c r="S358" i="1"/>
  <c r="T358" i="1"/>
  <c r="Q359" i="1"/>
  <c r="R359" i="1"/>
  <c r="S359" i="1"/>
  <c r="T359" i="1"/>
  <c r="Q360" i="1"/>
  <c r="R360" i="1"/>
  <c r="S360" i="1"/>
  <c r="T360" i="1"/>
  <c r="Q361" i="1"/>
  <c r="R361" i="1"/>
  <c r="S361" i="1"/>
  <c r="T361" i="1"/>
  <c r="Q362" i="1"/>
  <c r="R362" i="1"/>
  <c r="S362" i="1"/>
  <c r="T362" i="1"/>
  <c r="Q363" i="1"/>
  <c r="R363" i="1"/>
  <c r="S363" i="1"/>
  <c r="T363" i="1"/>
  <c r="Q364" i="1"/>
  <c r="R364" i="1"/>
  <c r="S364" i="1"/>
  <c r="T364" i="1"/>
  <c r="Q365" i="1"/>
  <c r="R365" i="1"/>
  <c r="S365" i="1"/>
  <c r="T365" i="1"/>
  <c r="Q366" i="1"/>
  <c r="R366" i="1"/>
  <c r="S366" i="1"/>
  <c r="T366" i="1"/>
  <c r="Q367" i="1"/>
  <c r="R367" i="1"/>
  <c r="S367" i="1"/>
  <c r="T367" i="1"/>
  <c r="Q368" i="1"/>
  <c r="R368" i="1"/>
  <c r="S368" i="1"/>
  <c r="T368" i="1"/>
  <c r="Q369" i="1"/>
  <c r="R369" i="1"/>
  <c r="S369" i="1"/>
  <c r="T369" i="1"/>
  <c r="Q370" i="1"/>
  <c r="R370" i="1"/>
  <c r="S370" i="1"/>
  <c r="T370" i="1"/>
  <c r="Q371" i="1"/>
  <c r="R371" i="1"/>
  <c r="S371" i="1"/>
  <c r="T371" i="1"/>
  <c r="Q372" i="1"/>
  <c r="R372" i="1"/>
  <c r="S372" i="1"/>
  <c r="T372" i="1"/>
  <c r="Q373" i="1"/>
  <c r="R373" i="1"/>
  <c r="S373" i="1"/>
  <c r="T373" i="1"/>
  <c r="Q374" i="1"/>
  <c r="R374" i="1"/>
  <c r="S374" i="1"/>
  <c r="T374" i="1"/>
  <c r="Q375" i="1"/>
  <c r="R375" i="1"/>
  <c r="S375" i="1"/>
  <c r="T375" i="1"/>
  <c r="Q376" i="1"/>
  <c r="R376" i="1"/>
  <c r="S376" i="1"/>
  <c r="T376" i="1"/>
  <c r="Q377" i="1"/>
  <c r="R377" i="1"/>
  <c r="S377" i="1"/>
  <c r="T377" i="1"/>
  <c r="Q378" i="1"/>
  <c r="R378" i="1"/>
  <c r="S378" i="1"/>
  <c r="T378" i="1"/>
  <c r="Q379" i="1"/>
  <c r="R379" i="1"/>
  <c r="S379" i="1"/>
  <c r="T379" i="1"/>
  <c r="Q380" i="1"/>
  <c r="R380" i="1"/>
  <c r="S380" i="1"/>
  <c r="T380" i="1"/>
  <c r="Q381" i="1"/>
  <c r="R381" i="1"/>
  <c r="S381" i="1"/>
  <c r="T381" i="1"/>
  <c r="Q382" i="1"/>
  <c r="R382" i="1"/>
  <c r="S382" i="1"/>
  <c r="T382" i="1"/>
  <c r="Q383" i="1"/>
  <c r="R383" i="1"/>
  <c r="S383" i="1"/>
  <c r="T383" i="1"/>
  <c r="Q384" i="1"/>
  <c r="R384" i="1"/>
  <c r="S384" i="1"/>
  <c r="T384" i="1"/>
  <c r="Q385" i="1"/>
  <c r="R385" i="1"/>
  <c r="S385" i="1"/>
  <c r="T385" i="1"/>
  <c r="Q386" i="1"/>
  <c r="R386" i="1"/>
  <c r="S386" i="1"/>
  <c r="T386" i="1"/>
  <c r="Q387" i="1"/>
  <c r="R387" i="1"/>
  <c r="S387" i="1"/>
  <c r="T387" i="1"/>
  <c r="Q388" i="1"/>
  <c r="R388" i="1"/>
  <c r="S388" i="1"/>
  <c r="T388" i="1"/>
  <c r="Q389" i="1"/>
  <c r="R389" i="1"/>
  <c r="S389" i="1"/>
  <c r="T389" i="1"/>
  <c r="Q390" i="1"/>
  <c r="R390" i="1"/>
  <c r="S390" i="1"/>
  <c r="T390" i="1"/>
  <c r="Q391" i="1"/>
  <c r="R391" i="1"/>
  <c r="S391" i="1"/>
  <c r="T391" i="1"/>
  <c r="Q392" i="1"/>
  <c r="R392" i="1"/>
  <c r="S392" i="1"/>
  <c r="T392" i="1"/>
  <c r="Q393" i="1"/>
  <c r="R393" i="1"/>
  <c r="S393" i="1"/>
  <c r="T393" i="1"/>
  <c r="Q394" i="1"/>
  <c r="R394" i="1"/>
  <c r="S394" i="1"/>
  <c r="T394" i="1"/>
  <c r="Q395" i="1"/>
  <c r="R395" i="1"/>
  <c r="S395" i="1"/>
  <c r="T395" i="1"/>
  <c r="Q396" i="1"/>
  <c r="R396" i="1"/>
  <c r="S396" i="1"/>
  <c r="T396" i="1"/>
  <c r="Q397" i="1"/>
  <c r="R397" i="1"/>
  <c r="S397" i="1"/>
  <c r="T397" i="1"/>
  <c r="Q398" i="1"/>
  <c r="R398" i="1"/>
  <c r="S398" i="1"/>
  <c r="T398" i="1"/>
  <c r="Q399" i="1"/>
  <c r="R399" i="1"/>
  <c r="S399" i="1"/>
  <c r="T399" i="1"/>
  <c r="Q400" i="1"/>
  <c r="R400" i="1"/>
  <c r="S400" i="1"/>
  <c r="T400" i="1"/>
  <c r="Q401" i="1"/>
  <c r="R401" i="1"/>
  <c r="S401" i="1"/>
  <c r="T401" i="1"/>
  <c r="Q402" i="1"/>
  <c r="R402" i="1"/>
  <c r="S402" i="1"/>
  <c r="T402" i="1"/>
  <c r="Q403" i="1"/>
  <c r="R403" i="1"/>
  <c r="S403" i="1"/>
  <c r="T403" i="1"/>
  <c r="Q404" i="1"/>
  <c r="R404" i="1"/>
  <c r="S404" i="1"/>
  <c r="T404" i="1"/>
  <c r="Q405" i="1"/>
  <c r="R405" i="1"/>
  <c r="S405" i="1"/>
  <c r="T405" i="1"/>
  <c r="Q406" i="1"/>
  <c r="R406" i="1"/>
  <c r="S406" i="1"/>
  <c r="T406" i="1"/>
  <c r="Q407" i="1"/>
  <c r="R407" i="1"/>
  <c r="S407" i="1"/>
  <c r="T407" i="1"/>
  <c r="Q408" i="1"/>
  <c r="R408" i="1"/>
  <c r="S408" i="1"/>
  <c r="T408" i="1"/>
  <c r="Q409" i="1"/>
  <c r="R409" i="1"/>
  <c r="S409" i="1"/>
  <c r="T409" i="1"/>
  <c r="Q410" i="1"/>
  <c r="R410" i="1"/>
  <c r="S410" i="1"/>
  <c r="T410" i="1"/>
  <c r="Q411" i="1"/>
  <c r="R411" i="1"/>
  <c r="S411" i="1"/>
  <c r="T411" i="1"/>
  <c r="Q412" i="1"/>
  <c r="R412" i="1"/>
  <c r="S412" i="1"/>
  <c r="T412" i="1"/>
  <c r="Q413" i="1"/>
  <c r="R413" i="1"/>
  <c r="S413" i="1"/>
  <c r="T413" i="1"/>
  <c r="Q414" i="1"/>
  <c r="R414" i="1"/>
  <c r="S414" i="1"/>
  <c r="T414" i="1"/>
  <c r="Q415" i="1"/>
  <c r="R415" i="1"/>
  <c r="S415" i="1"/>
  <c r="T415" i="1"/>
  <c r="Q416" i="1"/>
  <c r="R416" i="1"/>
  <c r="S416" i="1"/>
  <c r="T416" i="1"/>
  <c r="Q417" i="1"/>
  <c r="R417" i="1"/>
  <c r="S417" i="1"/>
  <c r="T417" i="1"/>
  <c r="Q418" i="1"/>
  <c r="R418" i="1"/>
  <c r="S418" i="1"/>
  <c r="T418" i="1"/>
  <c r="Q419" i="1"/>
  <c r="R419" i="1"/>
  <c r="S419" i="1"/>
  <c r="T419" i="1"/>
  <c r="Q420" i="1"/>
  <c r="R420" i="1"/>
  <c r="S420" i="1"/>
  <c r="T420" i="1"/>
  <c r="Q421" i="1"/>
  <c r="R421" i="1"/>
  <c r="S421" i="1"/>
  <c r="T421" i="1"/>
  <c r="Q422" i="1"/>
  <c r="R422" i="1"/>
  <c r="S422" i="1"/>
  <c r="T422" i="1"/>
  <c r="Q423" i="1"/>
  <c r="R423" i="1"/>
  <c r="S423" i="1"/>
  <c r="T423" i="1"/>
  <c r="Q424" i="1"/>
  <c r="R424" i="1"/>
  <c r="S424" i="1"/>
  <c r="T424" i="1"/>
  <c r="Q425" i="1"/>
  <c r="R425" i="1"/>
  <c r="S425" i="1"/>
  <c r="T425" i="1"/>
  <c r="Q426" i="1"/>
  <c r="R426" i="1"/>
  <c r="S426" i="1"/>
  <c r="T426" i="1"/>
  <c r="Q427" i="1"/>
  <c r="R427" i="1"/>
  <c r="S427" i="1"/>
  <c r="T427" i="1"/>
  <c r="Q428" i="1"/>
  <c r="R428" i="1"/>
  <c r="S428" i="1"/>
  <c r="T428" i="1"/>
  <c r="Q429" i="1"/>
  <c r="R429" i="1"/>
  <c r="S429" i="1"/>
  <c r="T429" i="1"/>
  <c r="Q430" i="1"/>
  <c r="R430" i="1"/>
  <c r="S430" i="1"/>
  <c r="T430" i="1"/>
  <c r="Q431" i="1"/>
  <c r="R431" i="1"/>
  <c r="S431" i="1"/>
  <c r="T431" i="1"/>
  <c r="Q432" i="1"/>
  <c r="R432" i="1"/>
  <c r="S432" i="1"/>
  <c r="T432" i="1"/>
  <c r="Q433" i="1"/>
  <c r="R433" i="1"/>
  <c r="S433" i="1"/>
  <c r="T433" i="1"/>
  <c r="Q434" i="1"/>
  <c r="R434" i="1"/>
  <c r="S434" i="1"/>
  <c r="T434" i="1"/>
  <c r="Q435" i="1"/>
  <c r="R435" i="1"/>
  <c r="S435" i="1"/>
  <c r="T435" i="1"/>
  <c r="Q436" i="1"/>
  <c r="R436" i="1"/>
  <c r="S436" i="1"/>
  <c r="T436" i="1"/>
  <c r="Q437" i="1"/>
  <c r="R437" i="1"/>
  <c r="S437" i="1"/>
  <c r="T437" i="1"/>
  <c r="Q438" i="1"/>
  <c r="R438" i="1"/>
  <c r="S438" i="1"/>
  <c r="T438" i="1"/>
  <c r="Q439" i="1"/>
  <c r="R439" i="1"/>
  <c r="S439" i="1"/>
  <c r="T439" i="1"/>
  <c r="Q440" i="1"/>
  <c r="R440" i="1"/>
  <c r="S440" i="1"/>
  <c r="T440" i="1"/>
  <c r="Q441" i="1"/>
  <c r="R441" i="1"/>
  <c r="S441" i="1"/>
  <c r="T441" i="1"/>
  <c r="Q442" i="1"/>
  <c r="R442" i="1"/>
  <c r="S442" i="1"/>
  <c r="T442" i="1"/>
  <c r="Q443" i="1"/>
  <c r="R443" i="1"/>
  <c r="S443" i="1"/>
  <c r="T443" i="1"/>
  <c r="Q444" i="1"/>
  <c r="R444" i="1"/>
  <c r="S444" i="1"/>
  <c r="T444" i="1"/>
  <c r="Q445" i="1"/>
  <c r="R445" i="1"/>
  <c r="S445" i="1"/>
  <c r="T445" i="1"/>
  <c r="Q446" i="1"/>
  <c r="R446" i="1"/>
  <c r="S446" i="1"/>
  <c r="T446" i="1"/>
  <c r="Q447" i="1"/>
  <c r="R447" i="1"/>
  <c r="S447" i="1"/>
  <c r="T447" i="1"/>
  <c r="Q448" i="1"/>
  <c r="R448" i="1"/>
  <c r="S448" i="1"/>
  <c r="T448" i="1"/>
  <c r="Q449" i="1"/>
  <c r="R449" i="1"/>
  <c r="S449" i="1"/>
  <c r="T449" i="1"/>
  <c r="Q450" i="1"/>
  <c r="R450" i="1"/>
  <c r="S450" i="1"/>
  <c r="T450" i="1"/>
  <c r="Q451" i="1"/>
  <c r="R451" i="1"/>
  <c r="S451" i="1"/>
  <c r="T451" i="1"/>
  <c r="Q452" i="1"/>
  <c r="R452" i="1"/>
  <c r="S452" i="1"/>
  <c r="T452" i="1"/>
  <c r="Q453" i="1"/>
  <c r="R453" i="1"/>
  <c r="S453" i="1"/>
  <c r="T453" i="1"/>
  <c r="Q454" i="1"/>
  <c r="R454" i="1"/>
  <c r="S454" i="1"/>
  <c r="T454" i="1"/>
  <c r="Q455" i="1"/>
  <c r="R455" i="1"/>
  <c r="S455" i="1"/>
  <c r="T455" i="1"/>
  <c r="Q456" i="1"/>
  <c r="R456" i="1"/>
  <c r="S456" i="1"/>
  <c r="T456" i="1"/>
  <c r="Q457" i="1"/>
  <c r="R457" i="1"/>
  <c r="S457" i="1"/>
  <c r="T457" i="1"/>
  <c r="Q458" i="1"/>
  <c r="R458" i="1"/>
  <c r="S458" i="1"/>
  <c r="T458" i="1"/>
  <c r="Q459" i="1"/>
  <c r="R459" i="1"/>
  <c r="S459" i="1"/>
  <c r="T459" i="1"/>
  <c r="Q460" i="1"/>
  <c r="R460" i="1"/>
  <c r="S460" i="1"/>
  <c r="T460" i="1"/>
  <c r="Q461" i="1"/>
  <c r="R461" i="1"/>
  <c r="S461" i="1"/>
  <c r="T461" i="1"/>
  <c r="Q462" i="1"/>
  <c r="R462" i="1"/>
  <c r="S462" i="1"/>
  <c r="T462" i="1"/>
  <c r="Q463" i="1"/>
  <c r="R463" i="1"/>
  <c r="S463" i="1"/>
  <c r="T463" i="1"/>
  <c r="Q464" i="1"/>
  <c r="R464" i="1"/>
  <c r="S464" i="1"/>
  <c r="T464" i="1"/>
  <c r="Q465" i="1"/>
  <c r="R465" i="1"/>
  <c r="S465" i="1"/>
  <c r="T465" i="1"/>
  <c r="Q466" i="1"/>
  <c r="R466" i="1"/>
  <c r="S466" i="1"/>
  <c r="T466" i="1"/>
  <c r="Q467" i="1"/>
  <c r="R467" i="1"/>
  <c r="S467" i="1"/>
  <c r="T467" i="1"/>
  <c r="Q468" i="1"/>
  <c r="R468" i="1"/>
  <c r="S468" i="1"/>
  <c r="T468" i="1"/>
  <c r="Q469" i="1"/>
  <c r="R469" i="1"/>
  <c r="S469" i="1"/>
  <c r="T469" i="1"/>
  <c r="Q470" i="1"/>
  <c r="R470" i="1"/>
  <c r="S470" i="1"/>
  <c r="T470" i="1"/>
  <c r="Q471" i="1"/>
  <c r="R471" i="1"/>
  <c r="S471" i="1"/>
  <c r="T471" i="1"/>
  <c r="Q472" i="1"/>
  <c r="R472" i="1"/>
  <c r="S472" i="1"/>
  <c r="T472" i="1"/>
  <c r="Q473" i="1"/>
  <c r="R473" i="1"/>
  <c r="S473" i="1"/>
  <c r="T473" i="1"/>
  <c r="Q474" i="1"/>
  <c r="R474" i="1"/>
  <c r="S474" i="1"/>
  <c r="T474" i="1"/>
  <c r="Q475" i="1"/>
  <c r="R475" i="1"/>
  <c r="S475" i="1"/>
  <c r="T475" i="1"/>
  <c r="Q476" i="1"/>
  <c r="R476" i="1"/>
  <c r="S476" i="1"/>
  <c r="T476" i="1"/>
  <c r="Q477" i="1"/>
  <c r="R477" i="1"/>
  <c r="S477" i="1"/>
  <c r="T477" i="1"/>
  <c r="Q478" i="1"/>
  <c r="R478" i="1"/>
  <c r="S478" i="1"/>
  <c r="T478" i="1"/>
  <c r="Q479" i="1"/>
  <c r="R479" i="1"/>
  <c r="S479" i="1"/>
  <c r="T479" i="1"/>
  <c r="Q480" i="1"/>
  <c r="R480" i="1"/>
  <c r="S480" i="1"/>
  <c r="T480" i="1"/>
  <c r="Q481" i="1"/>
  <c r="R481" i="1"/>
  <c r="S481" i="1"/>
  <c r="T481" i="1"/>
  <c r="Q482" i="1"/>
  <c r="R482" i="1"/>
  <c r="S482" i="1"/>
  <c r="T482" i="1"/>
  <c r="Q483" i="1"/>
  <c r="R483" i="1"/>
  <c r="S483" i="1"/>
  <c r="T483" i="1"/>
  <c r="Q484" i="1"/>
  <c r="R484" i="1"/>
  <c r="S484" i="1"/>
  <c r="T484" i="1"/>
  <c r="Q485" i="1"/>
  <c r="R485" i="1"/>
  <c r="S485" i="1"/>
  <c r="T485" i="1"/>
  <c r="Q486" i="1"/>
  <c r="R486" i="1"/>
  <c r="S486" i="1"/>
  <c r="T486" i="1"/>
  <c r="Q487" i="1"/>
  <c r="R487" i="1"/>
  <c r="S487" i="1"/>
  <c r="T487" i="1"/>
  <c r="Q488" i="1"/>
  <c r="R488" i="1"/>
  <c r="S488" i="1"/>
  <c r="T488" i="1"/>
  <c r="Q489" i="1"/>
  <c r="R489" i="1"/>
  <c r="S489" i="1"/>
  <c r="T489" i="1"/>
  <c r="Q490" i="1"/>
  <c r="R490" i="1"/>
  <c r="S490" i="1"/>
  <c r="T490" i="1"/>
  <c r="Q491" i="1"/>
  <c r="R491" i="1"/>
  <c r="S491" i="1"/>
  <c r="T491" i="1"/>
  <c r="Q492" i="1"/>
  <c r="R492" i="1"/>
  <c r="S492" i="1"/>
  <c r="T492" i="1"/>
  <c r="Q493" i="1"/>
  <c r="R493" i="1"/>
  <c r="S493" i="1"/>
  <c r="T493" i="1"/>
  <c r="Q494" i="1"/>
  <c r="R494" i="1"/>
  <c r="S494" i="1"/>
  <c r="T494" i="1"/>
  <c r="Q495" i="1"/>
  <c r="R495" i="1"/>
  <c r="S495" i="1"/>
  <c r="T495" i="1"/>
  <c r="Q496" i="1"/>
  <c r="R496" i="1"/>
  <c r="S496" i="1"/>
  <c r="T496" i="1"/>
  <c r="Q497" i="1"/>
  <c r="R497" i="1"/>
  <c r="S497" i="1"/>
  <c r="T497" i="1"/>
  <c r="Q498" i="1"/>
  <c r="R498" i="1"/>
  <c r="S498" i="1"/>
  <c r="T498" i="1"/>
  <c r="Q499" i="1"/>
  <c r="R499" i="1"/>
  <c r="S499" i="1"/>
  <c r="T499" i="1"/>
  <c r="Q500" i="1"/>
  <c r="R500" i="1"/>
  <c r="S500" i="1"/>
  <c r="T500" i="1"/>
  <c r="Q501" i="1"/>
  <c r="R501" i="1"/>
  <c r="S501" i="1"/>
  <c r="T501" i="1"/>
  <c r="Q502" i="1"/>
  <c r="R502" i="1"/>
  <c r="S502" i="1"/>
  <c r="T502" i="1"/>
  <c r="Q503" i="1"/>
  <c r="R503" i="1"/>
  <c r="S503" i="1"/>
  <c r="T503" i="1"/>
  <c r="Q504" i="1"/>
  <c r="R504" i="1"/>
  <c r="S504" i="1"/>
  <c r="T504" i="1"/>
  <c r="Q505" i="1"/>
  <c r="R505" i="1"/>
  <c r="S505" i="1"/>
  <c r="T505" i="1"/>
  <c r="Q506" i="1"/>
  <c r="R506" i="1"/>
  <c r="S506" i="1"/>
  <c r="T506" i="1"/>
  <c r="Q507" i="1"/>
  <c r="R507" i="1"/>
  <c r="S507" i="1"/>
  <c r="T507" i="1"/>
  <c r="Q508" i="1"/>
  <c r="R508" i="1"/>
  <c r="S508" i="1"/>
  <c r="T508" i="1"/>
  <c r="Q509" i="1"/>
  <c r="R509" i="1"/>
  <c r="S509" i="1"/>
  <c r="T509" i="1"/>
  <c r="Q510" i="1"/>
  <c r="R510" i="1"/>
  <c r="S510" i="1"/>
  <c r="T510" i="1"/>
  <c r="Q511" i="1"/>
  <c r="R511" i="1"/>
  <c r="S511" i="1"/>
  <c r="T511" i="1"/>
  <c r="Q512" i="1"/>
  <c r="R512" i="1"/>
  <c r="S512" i="1"/>
  <c r="T512" i="1"/>
  <c r="Q513" i="1"/>
  <c r="R513" i="1"/>
  <c r="S513" i="1"/>
  <c r="T513" i="1"/>
  <c r="Q514" i="1"/>
  <c r="R514" i="1"/>
  <c r="S514" i="1"/>
  <c r="T514" i="1"/>
  <c r="Q515" i="1"/>
  <c r="R515" i="1"/>
  <c r="S515" i="1"/>
  <c r="T515" i="1"/>
  <c r="Q516" i="1"/>
  <c r="R516" i="1"/>
  <c r="S516" i="1"/>
  <c r="T516" i="1"/>
  <c r="Q517" i="1"/>
  <c r="R517" i="1"/>
  <c r="S517" i="1"/>
  <c r="T517" i="1"/>
  <c r="Q518" i="1"/>
  <c r="R518" i="1"/>
  <c r="S518" i="1"/>
  <c r="T518" i="1"/>
  <c r="Q519" i="1"/>
  <c r="R519" i="1"/>
  <c r="S519" i="1"/>
  <c r="T519" i="1"/>
  <c r="Q520" i="1"/>
  <c r="R520" i="1"/>
  <c r="S520" i="1"/>
  <c r="T520" i="1"/>
  <c r="Q521" i="1"/>
  <c r="R521" i="1"/>
  <c r="S521" i="1"/>
  <c r="T521" i="1"/>
  <c r="Q522" i="1"/>
  <c r="R522" i="1"/>
  <c r="S522" i="1"/>
  <c r="T522" i="1"/>
  <c r="Q523" i="1"/>
  <c r="R523" i="1"/>
  <c r="S523" i="1"/>
  <c r="T523" i="1"/>
  <c r="Q524" i="1"/>
  <c r="R524" i="1"/>
  <c r="S524" i="1"/>
  <c r="T524" i="1"/>
  <c r="Q525" i="1"/>
  <c r="R525" i="1"/>
  <c r="S525" i="1"/>
  <c r="T525" i="1"/>
  <c r="Q526" i="1"/>
  <c r="R526" i="1"/>
  <c r="S526" i="1"/>
  <c r="T526" i="1"/>
  <c r="Q527" i="1"/>
  <c r="R527" i="1"/>
  <c r="S527" i="1"/>
  <c r="T527" i="1"/>
  <c r="Q528" i="1"/>
  <c r="R528" i="1"/>
  <c r="S528" i="1"/>
  <c r="T528" i="1"/>
  <c r="Q529" i="1"/>
  <c r="R529" i="1"/>
  <c r="S529" i="1"/>
  <c r="T529" i="1"/>
  <c r="Q530" i="1"/>
  <c r="R530" i="1"/>
  <c r="S530" i="1"/>
  <c r="T530" i="1"/>
  <c r="Q531" i="1"/>
  <c r="R531" i="1"/>
  <c r="S531" i="1"/>
  <c r="T531" i="1"/>
  <c r="Q532" i="1"/>
  <c r="R532" i="1"/>
  <c r="S532" i="1"/>
  <c r="T532" i="1"/>
  <c r="Q533" i="1"/>
  <c r="R533" i="1"/>
  <c r="S533" i="1"/>
  <c r="T533" i="1"/>
  <c r="Q534" i="1"/>
  <c r="R534" i="1"/>
  <c r="S534" i="1"/>
  <c r="T534" i="1"/>
  <c r="Q535" i="1"/>
  <c r="R535" i="1"/>
  <c r="S535" i="1"/>
  <c r="T535" i="1"/>
  <c r="Q536" i="1"/>
  <c r="R536" i="1"/>
  <c r="S536" i="1"/>
  <c r="T536" i="1"/>
  <c r="Q537" i="1"/>
  <c r="R537" i="1"/>
  <c r="S537" i="1"/>
  <c r="T537" i="1"/>
  <c r="Q538" i="1"/>
  <c r="R538" i="1"/>
  <c r="S538" i="1"/>
  <c r="T538" i="1"/>
  <c r="Q539" i="1"/>
  <c r="R539" i="1"/>
  <c r="S539" i="1"/>
  <c r="T539" i="1"/>
  <c r="Q540" i="1"/>
  <c r="R540" i="1"/>
  <c r="S540" i="1"/>
  <c r="T540" i="1"/>
  <c r="Q541" i="1"/>
  <c r="R541" i="1"/>
  <c r="S541" i="1"/>
  <c r="T541" i="1"/>
  <c r="Q542" i="1"/>
  <c r="R542" i="1"/>
  <c r="S542" i="1"/>
  <c r="T542" i="1"/>
  <c r="Q543" i="1"/>
  <c r="R543" i="1"/>
  <c r="S543" i="1"/>
  <c r="T543" i="1"/>
  <c r="Q544" i="1"/>
  <c r="R544" i="1"/>
  <c r="S544" i="1"/>
  <c r="T544" i="1"/>
  <c r="Q545" i="1"/>
  <c r="R545" i="1"/>
  <c r="S545" i="1"/>
  <c r="T545" i="1"/>
  <c r="Q546" i="1"/>
  <c r="R546" i="1"/>
  <c r="S546" i="1"/>
  <c r="T546" i="1"/>
  <c r="Q547" i="1"/>
  <c r="R547" i="1"/>
  <c r="S547" i="1"/>
  <c r="T547" i="1"/>
  <c r="Q548" i="1"/>
  <c r="R548" i="1"/>
  <c r="S548" i="1"/>
  <c r="T548" i="1"/>
  <c r="Q549" i="1"/>
  <c r="R549" i="1"/>
  <c r="S549" i="1"/>
  <c r="T549" i="1"/>
  <c r="Q550" i="1"/>
  <c r="R550" i="1"/>
  <c r="S550" i="1"/>
  <c r="T550" i="1"/>
  <c r="Q551" i="1"/>
  <c r="R551" i="1"/>
  <c r="S551" i="1"/>
  <c r="T551" i="1"/>
  <c r="Q552" i="1"/>
  <c r="R552" i="1"/>
  <c r="S552" i="1"/>
  <c r="T552" i="1"/>
  <c r="Q553" i="1"/>
  <c r="R553" i="1"/>
  <c r="S553" i="1"/>
  <c r="T553" i="1"/>
  <c r="Q554" i="1"/>
  <c r="R554" i="1"/>
  <c r="S554" i="1"/>
  <c r="T554" i="1"/>
  <c r="Q555" i="1"/>
  <c r="R555" i="1"/>
  <c r="S555" i="1"/>
  <c r="T555" i="1"/>
  <c r="Q556" i="1"/>
  <c r="R556" i="1"/>
  <c r="S556" i="1"/>
  <c r="T556" i="1"/>
  <c r="Q557" i="1"/>
  <c r="R557" i="1"/>
  <c r="S557" i="1"/>
  <c r="T557" i="1"/>
  <c r="Q558" i="1"/>
  <c r="R558" i="1"/>
  <c r="S558" i="1"/>
  <c r="T558" i="1"/>
  <c r="Q559" i="1"/>
  <c r="R559" i="1"/>
  <c r="S559" i="1"/>
  <c r="T559" i="1"/>
  <c r="Q560" i="1"/>
  <c r="R560" i="1"/>
  <c r="S560" i="1"/>
  <c r="T560" i="1"/>
  <c r="Q561" i="1"/>
  <c r="R561" i="1"/>
  <c r="S561" i="1"/>
  <c r="T561" i="1"/>
  <c r="Q562" i="1"/>
  <c r="R562" i="1"/>
  <c r="S562" i="1"/>
  <c r="T562" i="1"/>
  <c r="Q563" i="1"/>
  <c r="R563" i="1"/>
  <c r="S563" i="1"/>
  <c r="T563" i="1"/>
  <c r="Q564" i="1"/>
  <c r="R564" i="1"/>
  <c r="S564" i="1"/>
  <c r="T564" i="1"/>
  <c r="Q565" i="1"/>
  <c r="R565" i="1"/>
  <c r="S565" i="1"/>
  <c r="T565" i="1"/>
  <c r="Q566" i="1"/>
  <c r="R566" i="1"/>
  <c r="S566" i="1"/>
  <c r="T566" i="1"/>
  <c r="Q567" i="1"/>
  <c r="R567" i="1"/>
  <c r="S567" i="1"/>
  <c r="T567" i="1"/>
  <c r="Q568" i="1"/>
  <c r="R568" i="1"/>
  <c r="S568" i="1"/>
  <c r="T568" i="1"/>
  <c r="Q569" i="1"/>
  <c r="R569" i="1"/>
  <c r="S569" i="1"/>
  <c r="T569" i="1"/>
  <c r="Q570" i="1"/>
  <c r="R570" i="1"/>
  <c r="S570" i="1"/>
  <c r="T570" i="1"/>
  <c r="Q571" i="1"/>
  <c r="R571" i="1"/>
  <c r="S571" i="1"/>
  <c r="T571" i="1"/>
  <c r="Q572" i="1"/>
  <c r="R572" i="1"/>
  <c r="S572" i="1"/>
  <c r="T572" i="1"/>
  <c r="Q573" i="1"/>
  <c r="R573" i="1"/>
  <c r="S573" i="1"/>
  <c r="T573" i="1"/>
  <c r="Q574" i="1"/>
  <c r="R574" i="1"/>
  <c r="S574" i="1"/>
  <c r="T574" i="1"/>
  <c r="Q575" i="1"/>
  <c r="R575" i="1"/>
  <c r="S575" i="1"/>
  <c r="T575" i="1"/>
  <c r="Q576" i="1"/>
  <c r="R576" i="1"/>
  <c r="S576" i="1"/>
  <c r="T576" i="1"/>
  <c r="Q577" i="1"/>
  <c r="R577" i="1"/>
  <c r="S577" i="1"/>
  <c r="T577" i="1"/>
  <c r="Q578" i="1"/>
  <c r="R578" i="1"/>
  <c r="S578" i="1"/>
  <c r="T578" i="1"/>
  <c r="Q579" i="1"/>
  <c r="R579" i="1"/>
  <c r="S579" i="1"/>
  <c r="T579" i="1"/>
  <c r="Q580" i="1"/>
  <c r="R580" i="1"/>
  <c r="S580" i="1"/>
  <c r="T580" i="1"/>
  <c r="Q581" i="1"/>
  <c r="R581" i="1"/>
  <c r="S581" i="1"/>
  <c r="T581" i="1"/>
  <c r="Q582" i="1"/>
  <c r="R582" i="1"/>
  <c r="S582" i="1"/>
  <c r="T582" i="1"/>
  <c r="Q583" i="1"/>
  <c r="R583" i="1"/>
  <c r="S583" i="1"/>
  <c r="T583" i="1"/>
  <c r="Q584" i="1"/>
  <c r="R584" i="1"/>
  <c r="S584" i="1"/>
  <c r="T584" i="1"/>
  <c r="Q585" i="1"/>
  <c r="R585" i="1"/>
  <c r="S585" i="1"/>
  <c r="T585" i="1"/>
  <c r="Q586" i="1"/>
  <c r="R586" i="1"/>
  <c r="S586" i="1"/>
  <c r="T586" i="1"/>
  <c r="Q587" i="1"/>
  <c r="R587" i="1"/>
  <c r="S587" i="1"/>
  <c r="T587" i="1"/>
  <c r="Q588" i="1"/>
  <c r="R588" i="1"/>
  <c r="S588" i="1"/>
  <c r="T588" i="1"/>
  <c r="Q589" i="1"/>
  <c r="R589" i="1"/>
  <c r="S589" i="1"/>
  <c r="T589" i="1"/>
  <c r="Q590" i="1"/>
  <c r="R590" i="1"/>
  <c r="S590" i="1"/>
  <c r="T590" i="1"/>
  <c r="Q591" i="1"/>
  <c r="R591" i="1"/>
  <c r="S591" i="1"/>
  <c r="T591" i="1"/>
  <c r="Q592" i="1"/>
  <c r="R592" i="1"/>
  <c r="S592" i="1"/>
  <c r="T592" i="1"/>
  <c r="Q593" i="1"/>
  <c r="R593" i="1"/>
  <c r="S593" i="1"/>
  <c r="T593" i="1"/>
  <c r="Q594" i="1"/>
  <c r="R594" i="1"/>
  <c r="S594" i="1"/>
  <c r="T594" i="1"/>
  <c r="Q595" i="1"/>
  <c r="R595" i="1"/>
  <c r="S595" i="1"/>
  <c r="T595" i="1"/>
  <c r="Q596" i="1"/>
  <c r="R596" i="1"/>
  <c r="S596" i="1"/>
  <c r="T596" i="1"/>
  <c r="Q597" i="1"/>
  <c r="R597" i="1"/>
  <c r="S597" i="1"/>
  <c r="T597" i="1"/>
  <c r="Q598" i="1"/>
  <c r="R598" i="1"/>
  <c r="S598" i="1"/>
  <c r="T598" i="1"/>
  <c r="Q599" i="1"/>
  <c r="R599" i="1"/>
  <c r="S599" i="1"/>
  <c r="T599" i="1"/>
  <c r="Q600" i="1"/>
  <c r="R600" i="1"/>
  <c r="S600" i="1"/>
  <c r="T600" i="1"/>
  <c r="Q601" i="1"/>
  <c r="R601" i="1"/>
  <c r="S601" i="1"/>
  <c r="T601" i="1"/>
  <c r="Q602" i="1"/>
  <c r="R602" i="1"/>
  <c r="S602" i="1"/>
  <c r="T602" i="1"/>
  <c r="Q603" i="1"/>
  <c r="R603" i="1"/>
  <c r="S603" i="1"/>
  <c r="T603" i="1"/>
  <c r="Q604" i="1"/>
  <c r="R604" i="1"/>
  <c r="S604" i="1"/>
  <c r="T604" i="1"/>
  <c r="Q605" i="1"/>
  <c r="R605" i="1"/>
  <c r="S605" i="1"/>
  <c r="T605" i="1"/>
  <c r="Q606" i="1"/>
  <c r="R606" i="1"/>
  <c r="S606" i="1"/>
  <c r="T606" i="1"/>
  <c r="Q607" i="1"/>
  <c r="R607" i="1"/>
  <c r="S607" i="1"/>
  <c r="T607" i="1"/>
  <c r="Q608" i="1"/>
  <c r="R608" i="1"/>
  <c r="S608" i="1"/>
  <c r="T608" i="1"/>
  <c r="Q609" i="1"/>
  <c r="R609" i="1"/>
  <c r="S609" i="1"/>
  <c r="T609" i="1"/>
  <c r="Q610" i="1"/>
  <c r="R610" i="1"/>
  <c r="S610" i="1"/>
  <c r="T610" i="1"/>
  <c r="Q611" i="1"/>
  <c r="R611" i="1"/>
  <c r="S611" i="1"/>
  <c r="T611" i="1"/>
  <c r="Q612" i="1"/>
  <c r="R612" i="1"/>
  <c r="S612" i="1"/>
  <c r="T612" i="1"/>
  <c r="Q613" i="1"/>
  <c r="R613" i="1"/>
  <c r="S613" i="1"/>
  <c r="T613" i="1"/>
  <c r="Q614" i="1"/>
  <c r="R614" i="1"/>
  <c r="S614" i="1"/>
  <c r="T614" i="1"/>
  <c r="Q615" i="1"/>
  <c r="R615" i="1"/>
  <c r="S615" i="1"/>
  <c r="T615" i="1"/>
  <c r="Q616" i="1"/>
  <c r="R616" i="1"/>
  <c r="S616" i="1"/>
  <c r="T616" i="1"/>
  <c r="Q617" i="1"/>
  <c r="R617" i="1"/>
  <c r="S617" i="1"/>
  <c r="T617" i="1"/>
  <c r="Q618" i="1"/>
  <c r="R618" i="1"/>
  <c r="S618" i="1"/>
  <c r="T618" i="1"/>
  <c r="Q619" i="1"/>
  <c r="R619" i="1"/>
  <c r="S619" i="1"/>
  <c r="T619" i="1"/>
  <c r="Q620" i="1"/>
  <c r="R620" i="1"/>
  <c r="S620" i="1"/>
  <c r="T620" i="1"/>
  <c r="Q621" i="1"/>
  <c r="R621" i="1"/>
  <c r="S621" i="1"/>
  <c r="T621" i="1"/>
  <c r="Q622" i="1"/>
  <c r="R622" i="1"/>
  <c r="S622" i="1"/>
  <c r="T622" i="1"/>
  <c r="Q623" i="1"/>
  <c r="R623" i="1"/>
  <c r="S623" i="1"/>
  <c r="T623" i="1"/>
  <c r="Q624" i="1"/>
  <c r="R624" i="1"/>
  <c r="S624" i="1"/>
  <c r="T624" i="1"/>
  <c r="Q625" i="1"/>
  <c r="R625" i="1"/>
  <c r="S625" i="1"/>
  <c r="T625" i="1"/>
  <c r="Q626" i="1"/>
  <c r="R626" i="1"/>
  <c r="S626" i="1"/>
  <c r="T626" i="1"/>
  <c r="Q627" i="1"/>
  <c r="R627" i="1"/>
  <c r="S627" i="1"/>
  <c r="T627" i="1"/>
  <c r="Q628" i="1"/>
  <c r="R628" i="1"/>
  <c r="S628" i="1"/>
  <c r="T628" i="1"/>
  <c r="Q629" i="1"/>
  <c r="R629" i="1"/>
  <c r="S629" i="1"/>
  <c r="T629" i="1"/>
  <c r="Q630" i="1"/>
  <c r="R630" i="1"/>
  <c r="S630" i="1"/>
  <c r="T630" i="1"/>
  <c r="Q631" i="1"/>
  <c r="R631" i="1"/>
  <c r="S631" i="1"/>
  <c r="T631" i="1"/>
  <c r="Q632" i="1"/>
  <c r="R632" i="1"/>
  <c r="S632" i="1"/>
  <c r="T632" i="1"/>
  <c r="Q633" i="1"/>
  <c r="R633" i="1"/>
  <c r="S633" i="1"/>
  <c r="T633" i="1"/>
  <c r="Q634" i="1"/>
  <c r="R634" i="1"/>
  <c r="S634" i="1"/>
  <c r="T634" i="1"/>
  <c r="Q635" i="1"/>
  <c r="R635" i="1"/>
  <c r="S635" i="1"/>
  <c r="T635" i="1"/>
  <c r="Q636" i="1"/>
  <c r="R636" i="1"/>
  <c r="S636" i="1"/>
  <c r="T636" i="1"/>
  <c r="Q637" i="1"/>
  <c r="R637" i="1"/>
  <c r="S637" i="1"/>
  <c r="T637" i="1"/>
  <c r="Q638" i="1"/>
  <c r="R638" i="1"/>
  <c r="S638" i="1"/>
  <c r="T638" i="1"/>
  <c r="Q639" i="1"/>
  <c r="R639" i="1"/>
  <c r="S639" i="1"/>
  <c r="T639" i="1"/>
  <c r="Q640" i="1"/>
  <c r="R640" i="1"/>
  <c r="S640" i="1"/>
  <c r="T640" i="1"/>
  <c r="Q641" i="1"/>
  <c r="R641" i="1"/>
  <c r="S641" i="1"/>
  <c r="T641" i="1"/>
  <c r="Q642" i="1"/>
  <c r="R642" i="1"/>
  <c r="S642" i="1"/>
  <c r="T642" i="1"/>
  <c r="Q643" i="1"/>
  <c r="R643" i="1"/>
  <c r="S643" i="1"/>
  <c r="T643" i="1"/>
  <c r="Q644" i="1"/>
  <c r="R644" i="1"/>
  <c r="S644" i="1"/>
  <c r="T644" i="1"/>
  <c r="Q645" i="1"/>
  <c r="R645" i="1"/>
  <c r="S645" i="1"/>
  <c r="T645" i="1"/>
  <c r="Q646" i="1"/>
  <c r="R646" i="1"/>
  <c r="S646" i="1"/>
  <c r="T646" i="1"/>
  <c r="Q647" i="1"/>
  <c r="R647" i="1"/>
  <c r="S647" i="1"/>
  <c r="T647" i="1"/>
  <c r="Q648" i="1"/>
  <c r="R648" i="1"/>
  <c r="S648" i="1"/>
  <c r="T648" i="1"/>
  <c r="Q649" i="1"/>
  <c r="R649" i="1"/>
  <c r="S649" i="1"/>
  <c r="T649" i="1"/>
  <c r="Q650" i="1"/>
  <c r="R650" i="1"/>
  <c r="S650" i="1"/>
  <c r="T650" i="1"/>
  <c r="Q651" i="1"/>
  <c r="R651" i="1"/>
  <c r="S651" i="1"/>
  <c r="T651" i="1"/>
  <c r="Q652" i="1"/>
  <c r="R652" i="1"/>
  <c r="S652" i="1"/>
  <c r="T652" i="1"/>
  <c r="Q653" i="1"/>
  <c r="R653" i="1"/>
  <c r="S653" i="1"/>
  <c r="T653" i="1"/>
  <c r="Q654" i="1"/>
  <c r="R654" i="1"/>
  <c r="S654" i="1"/>
  <c r="T654" i="1"/>
  <c r="Q655" i="1"/>
  <c r="R655" i="1"/>
  <c r="S655" i="1"/>
  <c r="T655" i="1"/>
  <c r="Q656" i="1"/>
  <c r="R656" i="1"/>
  <c r="S656" i="1"/>
  <c r="T656" i="1"/>
  <c r="Q657" i="1"/>
  <c r="R657" i="1"/>
  <c r="S657" i="1"/>
  <c r="T657" i="1"/>
  <c r="Q658" i="1"/>
  <c r="R658" i="1"/>
  <c r="S658" i="1"/>
  <c r="T658" i="1"/>
  <c r="Q659" i="1"/>
  <c r="R659" i="1"/>
  <c r="S659" i="1"/>
  <c r="T659" i="1"/>
  <c r="Q660" i="1"/>
  <c r="R660" i="1"/>
  <c r="S660" i="1"/>
  <c r="T660" i="1"/>
  <c r="Q661" i="1"/>
  <c r="R661" i="1"/>
  <c r="S661" i="1"/>
  <c r="T661" i="1"/>
  <c r="Q662" i="1"/>
  <c r="R662" i="1"/>
  <c r="S662" i="1"/>
  <c r="T662" i="1"/>
  <c r="Q663" i="1"/>
  <c r="R663" i="1"/>
  <c r="S663" i="1"/>
  <c r="T663" i="1"/>
  <c r="Q664" i="1"/>
  <c r="R664" i="1"/>
  <c r="S664" i="1"/>
  <c r="T664" i="1"/>
  <c r="Q665" i="1"/>
  <c r="R665" i="1"/>
  <c r="S665" i="1"/>
  <c r="T665" i="1"/>
  <c r="Q666" i="1"/>
  <c r="R666" i="1"/>
  <c r="S666" i="1"/>
  <c r="T666" i="1"/>
  <c r="Q667" i="1"/>
  <c r="R667" i="1"/>
  <c r="S667" i="1"/>
  <c r="T667" i="1"/>
  <c r="Q668" i="1"/>
  <c r="R668" i="1"/>
  <c r="S668" i="1"/>
  <c r="T668" i="1"/>
  <c r="Q669" i="1"/>
  <c r="R669" i="1"/>
  <c r="S669" i="1"/>
  <c r="T669" i="1"/>
  <c r="Q670" i="1"/>
  <c r="R670" i="1"/>
  <c r="S670" i="1"/>
  <c r="T670" i="1"/>
  <c r="Q671" i="1"/>
  <c r="R671" i="1"/>
  <c r="S671" i="1"/>
  <c r="T671" i="1"/>
  <c r="Q672" i="1"/>
  <c r="R672" i="1"/>
  <c r="S672" i="1"/>
  <c r="T672" i="1"/>
  <c r="Q673" i="1"/>
  <c r="R673" i="1"/>
  <c r="S673" i="1"/>
  <c r="T673" i="1"/>
  <c r="Q674" i="1"/>
  <c r="R674" i="1"/>
  <c r="S674" i="1"/>
  <c r="T674" i="1"/>
  <c r="Q675" i="1"/>
  <c r="R675" i="1"/>
  <c r="S675" i="1"/>
  <c r="T675" i="1"/>
  <c r="Q676" i="1"/>
  <c r="R676" i="1"/>
  <c r="S676" i="1"/>
  <c r="T676" i="1"/>
  <c r="Q677" i="1"/>
  <c r="R677" i="1"/>
  <c r="S677" i="1"/>
  <c r="T677" i="1"/>
  <c r="Q678" i="1"/>
  <c r="R678" i="1"/>
  <c r="S678" i="1"/>
  <c r="T678" i="1"/>
  <c r="Q679" i="1"/>
  <c r="R679" i="1"/>
  <c r="S679" i="1"/>
  <c r="T679" i="1"/>
  <c r="Q680" i="1"/>
  <c r="R680" i="1"/>
  <c r="S680" i="1"/>
  <c r="T680" i="1"/>
  <c r="Q681" i="1"/>
  <c r="R681" i="1"/>
  <c r="S681" i="1"/>
  <c r="T681" i="1"/>
  <c r="Q682" i="1"/>
  <c r="R682" i="1"/>
  <c r="S682" i="1"/>
  <c r="T682" i="1"/>
  <c r="Q683" i="1"/>
  <c r="R683" i="1"/>
  <c r="S683" i="1"/>
  <c r="T683" i="1"/>
  <c r="Q684" i="1"/>
  <c r="R684" i="1"/>
  <c r="S684" i="1"/>
  <c r="T684" i="1"/>
  <c r="Q685" i="1"/>
  <c r="R685" i="1"/>
  <c r="S685" i="1"/>
  <c r="T685" i="1"/>
  <c r="Q686" i="1"/>
  <c r="R686" i="1"/>
  <c r="S686" i="1"/>
  <c r="T686" i="1"/>
  <c r="Q687" i="1"/>
  <c r="R687" i="1"/>
  <c r="S687" i="1"/>
  <c r="T687" i="1"/>
  <c r="Q688" i="1"/>
  <c r="R688" i="1"/>
  <c r="S688" i="1"/>
  <c r="T688" i="1"/>
  <c r="Q689" i="1"/>
  <c r="R689" i="1"/>
  <c r="S689" i="1"/>
  <c r="T689" i="1"/>
  <c r="Q690" i="1"/>
  <c r="R690" i="1"/>
  <c r="S690" i="1"/>
  <c r="T690" i="1"/>
  <c r="Q691" i="1"/>
  <c r="R691" i="1"/>
  <c r="S691" i="1"/>
  <c r="T691" i="1"/>
  <c r="Q692" i="1"/>
  <c r="R692" i="1"/>
  <c r="S692" i="1"/>
  <c r="T692" i="1"/>
  <c r="Q693" i="1"/>
  <c r="R693" i="1"/>
  <c r="S693" i="1"/>
  <c r="T693" i="1"/>
  <c r="Q694" i="1"/>
  <c r="R694" i="1"/>
  <c r="S694" i="1"/>
  <c r="T694" i="1"/>
  <c r="Q695" i="1"/>
  <c r="R695" i="1"/>
  <c r="S695" i="1"/>
  <c r="T695" i="1"/>
  <c r="Q696" i="1"/>
  <c r="R696" i="1"/>
  <c r="S696" i="1"/>
  <c r="T696" i="1"/>
  <c r="Q697" i="1"/>
  <c r="R697" i="1"/>
  <c r="S697" i="1"/>
  <c r="T697" i="1"/>
  <c r="Q698" i="1"/>
  <c r="R698" i="1"/>
  <c r="S698" i="1"/>
  <c r="T698" i="1"/>
  <c r="Q699" i="1"/>
  <c r="R699" i="1"/>
  <c r="S699" i="1"/>
  <c r="T699" i="1"/>
  <c r="Q700" i="1"/>
  <c r="R700" i="1"/>
  <c r="S700" i="1"/>
  <c r="T700" i="1"/>
  <c r="Q701" i="1"/>
  <c r="R701" i="1"/>
  <c r="S701" i="1"/>
  <c r="T701" i="1"/>
  <c r="Q702" i="1"/>
  <c r="R702" i="1"/>
  <c r="S702" i="1"/>
  <c r="T702" i="1"/>
  <c r="Q703" i="1"/>
  <c r="R703" i="1"/>
  <c r="S703" i="1"/>
  <c r="T703" i="1"/>
  <c r="Q704" i="1"/>
  <c r="R704" i="1"/>
  <c r="S704" i="1"/>
  <c r="T704" i="1"/>
  <c r="Q705" i="1"/>
  <c r="R705" i="1"/>
  <c r="S705" i="1"/>
  <c r="T705" i="1"/>
  <c r="Q706" i="1"/>
  <c r="R706" i="1"/>
  <c r="S706" i="1"/>
  <c r="T706" i="1"/>
  <c r="Q707" i="1"/>
  <c r="R707" i="1"/>
  <c r="S707" i="1"/>
  <c r="T707" i="1"/>
  <c r="Q708" i="1"/>
  <c r="R708" i="1"/>
  <c r="S708" i="1"/>
  <c r="T708" i="1"/>
  <c r="Q709" i="1"/>
  <c r="R709" i="1"/>
  <c r="S709" i="1"/>
  <c r="T709" i="1"/>
  <c r="Q710" i="1"/>
  <c r="R710" i="1"/>
  <c r="S710" i="1"/>
  <c r="T710" i="1"/>
  <c r="Q711" i="1"/>
  <c r="R711" i="1"/>
  <c r="S711" i="1"/>
  <c r="T711" i="1"/>
  <c r="Q712" i="1"/>
  <c r="R712" i="1"/>
  <c r="S712" i="1"/>
  <c r="T712" i="1"/>
  <c r="Q713" i="1"/>
  <c r="R713" i="1"/>
  <c r="S713" i="1"/>
  <c r="T713" i="1"/>
  <c r="Q714" i="1"/>
  <c r="R714" i="1"/>
  <c r="S714" i="1"/>
  <c r="T714" i="1"/>
  <c r="Q715" i="1"/>
  <c r="R715" i="1"/>
  <c r="S715" i="1"/>
  <c r="T715" i="1"/>
  <c r="Q716" i="1"/>
  <c r="R716" i="1"/>
  <c r="S716" i="1"/>
  <c r="T716" i="1"/>
  <c r="Q717" i="1"/>
  <c r="R717" i="1"/>
  <c r="S717" i="1"/>
  <c r="T717" i="1"/>
  <c r="Q718" i="1"/>
  <c r="R718" i="1"/>
  <c r="S718" i="1"/>
  <c r="T718" i="1"/>
  <c r="Q719" i="1"/>
  <c r="R719" i="1"/>
  <c r="S719" i="1"/>
  <c r="T719" i="1"/>
  <c r="Q720" i="1"/>
  <c r="R720" i="1"/>
  <c r="S720" i="1"/>
  <c r="T720" i="1"/>
  <c r="Q721" i="1"/>
  <c r="R721" i="1"/>
  <c r="S721" i="1"/>
  <c r="T721" i="1"/>
  <c r="Q722" i="1"/>
  <c r="R722" i="1"/>
  <c r="S722" i="1"/>
  <c r="T722" i="1"/>
  <c r="Q723" i="1"/>
  <c r="R723" i="1"/>
  <c r="S723" i="1"/>
  <c r="T723" i="1"/>
  <c r="Q724" i="1"/>
  <c r="R724" i="1"/>
  <c r="S724" i="1"/>
  <c r="T724" i="1"/>
  <c r="Q725" i="1"/>
  <c r="R725" i="1"/>
  <c r="S725" i="1"/>
  <c r="T725" i="1"/>
  <c r="Q726" i="1"/>
  <c r="R726" i="1"/>
  <c r="S726" i="1"/>
  <c r="T726" i="1"/>
  <c r="Q727" i="1"/>
  <c r="R727" i="1"/>
  <c r="S727" i="1"/>
  <c r="T727" i="1"/>
  <c r="Q728" i="1"/>
  <c r="R728" i="1"/>
  <c r="S728" i="1"/>
  <c r="T728" i="1"/>
  <c r="Q729" i="1"/>
  <c r="R729" i="1"/>
  <c r="S729" i="1"/>
  <c r="T729" i="1"/>
  <c r="Q730" i="1"/>
  <c r="R730" i="1"/>
  <c r="S730" i="1"/>
  <c r="T730" i="1"/>
  <c r="Q731" i="1"/>
  <c r="R731" i="1"/>
  <c r="S731" i="1"/>
  <c r="T731" i="1"/>
  <c r="Q732" i="1"/>
  <c r="R732" i="1"/>
  <c r="S732" i="1"/>
  <c r="T732" i="1"/>
  <c r="Q733" i="1"/>
  <c r="R733" i="1"/>
  <c r="S733" i="1"/>
  <c r="T733" i="1"/>
  <c r="Q734" i="1"/>
  <c r="R734" i="1"/>
  <c r="S734" i="1"/>
  <c r="T734" i="1"/>
  <c r="Q735" i="1"/>
  <c r="R735" i="1"/>
  <c r="S735" i="1"/>
  <c r="T735" i="1"/>
  <c r="Q736" i="1"/>
  <c r="R736" i="1"/>
  <c r="S736" i="1"/>
  <c r="T736" i="1"/>
  <c r="Q737" i="1"/>
  <c r="R737" i="1"/>
  <c r="S737" i="1"/>
  <c r="T737" i="1"/>
  <c r="Q738" i="1"/>
  <c r="R738" i="1"/>
  <c r="S738" i="1"/>
  <c r="T738" i="1"/>
  <c r="Q739" i="1"/>
  <c r="R739" i="1"/>
  <c r="S739" i="1"/>
  <c r="T739" i="1"/>
  <c r="Q740" i="1"/>
  <c r="R740" i="1"/>
  <c r="S740" i="1"/>
  <c r="T740" i="1"/>
  <c r="Q741" i="1"/>
  <c r="R741" i="1"/>
  <c r="S741" i="1"/>
  <c r="T741" i="1"/>
  <c r="Q742" i="1"/>
  <c r="R742" i="1"/>
  <c r="S742" i="1"/>
  <c r="T742" i="1"/>
  <c r="Q743" i="1"/>
  <c r="R743" i="1"/>
  <c r="S743" i="1"/>
  <c r="T743" i="1"/>
  <c r="Q744" i="1"/>
  <c r="R744" i="1"/>
  <c r="S744" i="1"/>
  <c r="T744" i="1"/>
  <c r="Q745" i="1"/>
  <c r="R745" i="1"/>
  <c r="S745" i="1"/>
  <c r="T745" i="1"/>
  <c r="Q746" i="1"/>
  <c r="R746" i="1"/>
  <c r="S746" i="1"/>
  <c r="T746" i="1"/>
  <c r="Q747" i="1"/>
  <c r="R747" i="1"/>
  <c r="S747" i="1"/>
  <c r="T747" i="1"/>
  <c r="Q748" i="1"/>
  <c r="R748" i="1"/>
  <c r="S748" i="1"/>
  <c r="T748" i="1"/>
  <c r="Q749" i="1"/>
  <c r="R749" i="1"/>
  <c r="S749" i="1"/>
  <c r="T749" i="1"/>
  <c r="Q750" i="1"/>
  <c r="R750" i="1"/>
  <c r="S750" i="1"/>
  <c r="T750" i="1"/>
  <c r="Q751" i="1"/>
  <c r="R751" i="1"/>
  <c r="S751" i="1"/>
  <c r="T751" i="1"/>
  <c r="Q752" i="1"/>
  <c r="R752" i="1"/>
  <c r="S752" i="1"/>
  <c r="T752" i="1"/>
  <c r="Q753" i="1"/>
  <c r="R753" i="1"/>
  <c r="S753" i="1"/>
  <c r="T753" i="1"/>
  <c r="Q754" i="1"/>
  <c r="R754" i="1"/>
  <c r="S754" i="1"/>
  <c r="T754" i="1"/>
  <c r="Q790" i="1"/>
  <c r="R790" i="1"/>
  <c r="S790" i="1"/>
  <c r="T790" i="1"/>
  <c r="Q154" i="1"/>
  <c r="R154" i="1"/>
  <c r="S154" i="1"/>
  <c r="T154" i="1"/>
  <c r="Q791" i="1"/>
  <c r="R791" i="1"/>
  <c r="S791" i="1"/>
  <c r="T791" i="1"/>
  <c r="Q64" i="1"/>
  <c r="R64" i="1"/>
  <c r="S64" i="1"/>
  <c r="T64" i="1"/>
  <c r="Q52" i="1"/>
  <c r="R52" i="1"/>
  <c r="S52" i="1"/>
  <c r="T52" i="1"/>
  <c r="Q777" i="1"/>
  <c r="R777" i="1"/>
  <c r="S777" i="1"/>
  <c r="T777" i="1"/>
  <c r="Q67" i="1"/>
  <c r="R67" i="1"/>
  <c r="S67" i="1"/>
  <c r="T67" i="1"/>
  <c r="Q81" i="1"/>
  <c r="R81" i="1"/>
  <c r="S81" i="1"/>
  <c r="T81" i="1"/>
  <c r="Q773" i="1"/>
  <c r="R773" i="1"/>
  <c r="S773" i="1"/>
  <c r="T773" i="1"/>
  <c r="Q785" i="1"/>
  <c r="R785" i="1"/>
  <c r="S785" i="1"/>
  <c r="T785" i="1"/>
  <c r="Q78" i="1"/>
  <c r="R78" i="1"/>
  <c r="S78" i="1"/>
  <c r="T78" i="1"/>
  <c r="Q82" i="1"/>
  <c r="R82" i="1"/>
  <c r="S82" i="1"/>
  <c r="T82" i="1"/>
  <c r="Q786" i="1"/>
  <c r="R786" i="1"/>
  <c r="S786" i="1"/>
  <c r="T786" i="1"/>
  <c r="Q787" i="1"/>
  <c r="R787" i="1"/>
  <c r="S787" i="1"/>
  <c r="T787" i="1"/>
  <c r="Q110" i="1"/>
  <c r="R110" i="1"/>
  <c r="S110" i="1"/>
  <c r="T110" i="1"/>
  <c r="Q83" i="1"/>
  <c r="R83" i="1"/>
  <c r="S83" i="1"/>
  <c r="T83" i="1"/>
  <c r="Q68" i="1"/>
  <c r="R68" i="1"/>
  <c r="S68" i="1"/>
  <c r="T68" i="1"/>
  <c r="Q69" i="1"/>
  <c r="R69" i="1"/>
  <c r="S69" i="1"/>
  <c r="T69" i="1"/>
  <c r="Q79" i="1"/>
  <c r="R79" i="1"/>
  <c r="S79" i="1"/>
  <c r="T79" i="1"/>
  <c r="Q104" i="1"/>
  <c r="R104" i="1"/>
  <c r="S104" i="1"/>
  <c r="T104" i="1"/>
  <c r="Q84" i="1"/>
  <c r="R84" i="1"/>
  <c r="S84" i="1"/>
  <c r="T84" i="1"/>
  <c r="Q70" i="1"/>
  <c r="R70" i="1"/>
  <c r="S70" i="1"/>
  <c r="T70" i="1"/>
  <c r="Q85" i="1"/>
  <c r="R85" i="1"/>
  <c r="S85" i="1"/>
  <c r="T85" i="1"/>
  <c r="Q71" i="1"/>
  <c r="R71" i="1"/>
  <c r="S71" i="1"/>
  <c r="T71" i="1"/>
  <c r="Q86" i="1"/>
  <c r="R86" i="1"/>
  <c r="S86" i="1"/>
  <c r="T86" i="1"/>
  <c r="Q792" i="1"/>
  <c r="R792" i="1"/>
  <c r="S792" i="1"/>
  <c r="T792" i="1"/>
  <c r="Q175" i="1"/>
  <c r="R175" i="1"/>
  <c r="S175" i="1"/>
  <c r="T175" i="1"/>
  <c r="Q87" i="1"/>
  <c r="R87" i="1"/>
  <c r="S87" i="1"/>
  <c r="T87" i="1"/>
  <c r="Q788" i="1"/>
  <c r="R788" i="1"/>
  <c r="S788" i="1"/>
  <c r="T788" i="1"/>
  <c r="Q65" i="1"/>
  <c r="R65" i="1"/>
  <c r="S65" i="1"/>
  <c r="T65" i="1"/>
  <c r="Q772" i="1"/>
  <c r="R772" i="1"/>
  <c r="S772" i="1"/>
  <c r="T772" i="1"/>
  <c r="Q101" i="1"/>
  <c r="R101" i="1"/>
  <c r="S101" i="1"/>
  <c r="T101" i="1"/>
  <c r="Q72" i="1"/>
  <c r="R72" i="1"/>
  <c r="S72" i="1"/>
  <c r="T72" i="1"/>
  <c r="Q80" i="1"/>
  <c r="R80" i="1"/>
  <c r="S80" i="1"/>
  <c r="T80" i="1"/>
  <c r="Q88" i="1"/>
  <c r="R88" i="1"/>
  <c r="S88" i="1"/>
  <c r="T88" i="1"/>
  <c r="Q73" i="1"/>
  <c r="R73" i="1"/>
  <c r="S73" i="1"/>
  <c r="T73" i="1"/>
  <c r="Q74" i="1"/>
  <c r="R74" i="1"/>
  <c r="S74" i="1"/>
  <c r="T74" i="1"/>
  <c r="Q66" i="1"/>
  <c r="R66" i="1"/>
  <c r="S66" i="1"/>
  <c r="T66" i="1"/>
  <c r="Q75" i="1"/>
  <c r="R75" i="1"/>
  <c r="S75" i="1"/>
  <c r="T75" i="1"/>
  <c r="Q111" i="1"/>
  <c r="R111" i="1"/>
  <c r="S111" i="1"/>
  <c r="T111" i="1"/>
  <c r="Q89" i="1"/>
  <c r="R89" i="1"/>
  <c r="S89" i="1"/>
  <c r="T89" i="1"/>
  <c r="Q90" i="1"/>
  <c r="R90" i="1"/>
  <c r="S90" i="1"/>
  <c r="T90" i="1"/>
  <c r="T240" i="1"/>
  <c r="S240" i="1"/>
  <c r="R240" i="1"/>
  <c r="Q240" i="1"/>
  <c r="Q7" i="1"/>
  <c r="R7" i="1"/>
  <c r="S7" i="1"/>
  <c r="T7" i="1"/>
  <c r="Q8" i="1"/>
  <c r="R8" i="1"/>
  <c r="S8" i="1"/>
  <c r="T8" i="1"/>
  <c r="Q9" i="1"/>
  <c r="R9" i="1"/>
  <c r="S9" i="1"/>
  <c r="T9" i="1"/>
  <c r="Q10" i="1"/>
  <c r="R10" i="1"/>
  <c r="S10" i="1"/>
  <c r="T10" i="1"/>
  <c r="Q11" i="1"/>
  <c r="R11" i="1"/>
  <c r="S11" i="1"/>
  <c r="T11" i="1"/>
  <c r="Q12" i="1"/>
  <c r="R12" i="1"/>
  <c r="S12" i="1"/>
  <c r="T12" i="1"/>
  <c r="Q13" i="1"/>
  <c r="R13" i="1"/>
  <c r="S13" i="1"/>
  <c r="T13" i="1"/>
  <c r="Q14" i="1"/>
  <c r="R14" i="1"/>
  <c r="S14" i="1"/>
  <c r="T14" i="1"/>
  <c r="Q15" i="1"/>
  <c r="R15" i="1"/>
  <c r="S15" i="1"/>
  <c r="T15" i="1"/>
  <c r="Q16" i="1"/>
  <c r="R16" i="1"/>
  <c r="S16" i="1"/>
  <c r="T16" i="1"/>
  <c r="Q17" i="1"/>
  <c r="R17" i="1"/>
  <c r="S17" i="1"/>
  <c r="T17" i="1"/>
  <c r="Q18" i="1"/>
  <c r="R18" i="1"/>
  <c r="S18" i="1"/>
  <c r="T18" i="1"/>
  <c r="Q19" i="1"/>
  <c r="R19" i="1"/>
  <c r="S19" i="1"/>
  <c r="T19" i="1"/>
  <c r="Q20" i="1"/>
  <c r="R20" i="1"/>
  <c r="S20" i="1"/>
  <c r="T20" i="1"/>
  <c r="Q21" i="1"/>
  <c r="R21" i="1"/>
  <c r="S21" i="1"/>
  <c r="T21" i="1"/>
  <c r="Q22" i="1"/>
  <c r="R22" i="1"/>
  <c r="S22" i="1"/>
  <c r="T22" i="1"/>
  <c r="Q23" i="1"/>
  <c r="R23" i="1"/>
  <c r="S23" i="1"/>
  <c r="T23" i="1"/>
  <c r="Q24" i="1"/>
  <c r="R24" i="1"/>
  <c r="S24" i="1"/>
  <c r="T24" i="1"/>
  <c r="Q25" i="1"/>
  <c r="R25" i="1"/>
  <c r="S25" i="1"/>
  <c r="T25" i="1"/>
  <c r="Q26" i="1"/>
  <c r="R26" i="1"/>
  <c r="S26" i="1"/>
  <c r="T26" i="1"/>
  <c r="Q27" i="1"/>
  <c r="R27" i="1"/>
  <c r="S27" i="1"/>
  <c r="T27" i="1"/>
  <c r="Q28" i="1"/>
  <c r="R28" i="1"/>
  <c r="S28" i="1"/>
  <c r="T28" i="1"/>
  <c r="Q29" i="1"/>
  <c r="R29" i="1"/>
  <c r="S29" i="1"/>
  <c r="T29" i="1"/>
  <c r="Q30" i="1"/>
  <c r="R30" i="1"/>
  <c r="S30" i="1"/>
  <c r="T30" i="1"/>
  <c r="Q31" i="1"/>
  <c r="R31" i="1"/>
  <c r="S31" i="1"/>
  <c r="T31" i="1"/>
  <c r="Q32" i="1"/>
  <c r="R32" i="1"/>
  <c r="S32" i="1"/>
  <c r="T32" i="1"/>
  <c r="Q33" i="1"/>
  <c r="R33" i="1"/>
  <c r="S33" i="1"/>
  <c r="T33" i="1"/>
  <c r="Q34" i="1"/>
  <c r="R34" i="1"/>
  <c r="S34" i="1"/>
  <c r="T34" i="1"/>
  <c r="Q758" i="1"/>
  <c r="R758" i="1"/>
  <c r="S758" i="1"/>
  <c r="T758" i="1"/>
  <c r="Q36" i="1"/>
  <c r="R36" i="1"/>
  <c r="S36" i="1"/>
  <c r="T36" i="1"/>
  <c r="Q37" i="1"/>
  <c r="R37" i="1"/>
  <c r="S37" i="1"/>
  <c r="T37" i="1"/>
  <c r="Q38" i="1"/>
  <c r="R38" i="1"/>
  <c r="S38" i="1"/>
  <c r="T38" i="1"/>
  <c r="Q39" i="1"/>
  <c r="R39" i="1"/>
  <c r="S39" i="1"/>
  <c r="T39" i="1"/>
  <c r="Q40" i="1"/>
  <c r="R40" i="1"/>
  <c r="S40" i="1"/>
  <c r="T40" i="1"/>
  <c r="Q41" i="1"/>
  <c r="R41" i="1"/>
  <c r="S41" i="1"/>
  <c r="T41" i="1"/>
  <c r="Q42" i="1"/>
  <c r="R42" i="1"/>
  <c r="S42" i="1"/>
  <c r="T42" i="1"/>
  <c r="Q43" i="1"/>
  <c r="R43" i="1"/>
  <c r="S43" i="1"/>
  <c r="T43" i="1"/>
  <c r="Q44" i="1"/>
  <c r="R44" i="1"/>
  <c r="S44" i="1"/>
  <c r="T44" i="1"/>
  <c r="Q45" i="1"/>
  <c r="R45" i="1"/>
  <c r="S45" i="1"/>
  <c r="T45" i="1"/>
  <c r="Q46" i="1"/>
  <c r="R46" i="1"/>
  <c r="S46" i="1"/>
  <c r="T46" i="1"/>
  <c r="Q47" i="1"/>
  <c r="R47" i="1"/>
  <c r="S47" i="1"/>
  <c r="T47" i="1"/>
  <c r="Q48" i="1"/>
  <c r="R48" i="1"/>
  <c r="S48" i="1"/>
  <c r="T48" i="1"/>
  <c r="Q49" i="1"/>
  <c r="R49" i="1"/>
  <c r="S49" i="1"/>
  <c r="T49" i="1"/>
  <c r="Q53" i="1"/>
  <c r="R53" i="1"/>
  <c r="S53" i="1"/>
  <c r="T53" i="1"/>
  <c r="Q59" i="1"/>
  <c r="R59" i="1"/>
  <c r="S59" i="1"/>
  <c r="T59" i="1"/>
  <c r="Q50" i="1"/>
  <c r="R50" i="1"/>
  <c r="S50" i="1"/>
  <c r="T50" i="1"/>
  <c r="Q56" i="1"/>
  <c r="R56" i="1"/>
  <c r="S56" i="1"/>
  <c r="T56" i="1"/>
  <c r="Q55" i="1"/>
  <c r="R55" i="1"/>
  <c r="S55" i="1"/>
  <c r="T55" i="1"/>
  <c r="Q58" i="1"/>
  <c r="R58" i="1"/>
  <c r="S58" i="1"/>
  <c r="T58" i="1"/>
  <c r="Q4" i="1"/>
  <c r="R4" i="1"/>
  <c r="S4" i="1"/>
  <c r="T4" i="1"/>
  <c r="Q35" i="1"/>
  <c r="R35" i="1"/>
  <c r="S35" i="1"/>
  <c r="T35" i="1"/>
  <c r="Q63" i="1"/>
  <c r="R63" i="1"/>
  <c r="S63" i="1"/>
  <c r="T63" i="1"/>
  <c r="Q61" i="1"/>
  <c r="R61" i="1"/>
  <c r="S61" i="1"/>
  <c r="T61" i="1"/>
  <c r="Q60" i="1"/>
  <c r="R60" i="1"/>
  <c r="S60" i="1"/>
  <c r="T60" i="1"/>
  <c r="Q54" i="1"/>
  <c r="R54" i="1"/>
  <c r="S54" i="1"/>
  <c r="T54" i="1"/>
  <c r="Q57" i="1"/>
  <c r="R57" i="1"/>
  <c r="S57" i="1"/>
  <c r="T57" i="1"/>
  <c r="Q226" i="1"/>
  <c r="R226" i="1"/>
  <c r="S226" i="1"/>
  <c r="T226" i="1"/>
  <c r="Q763" i="1"/>
  <c r="R763" i="1"/>
  <c r="S763" i="1"/>
  <c r="T763" i="1"/>
  <c r="Q769" i="1"/>
  <c r="R769" i="1"/>
  <c r="S769" i="1"/>
  <c r="T769" i="1"/>
  <c r="Q214" i="1"/>
  <c r="R214" i="1"/>
  <c r="S214" i="1"/>
  <c r="T214" i="1"/>
  <c r="Q222" i="1"/>
  <c r="R222" i="1"/>
  <c r="S222" i="1"/>
  <c r="T222" i="1"/>
  <c r="Q158" i="1"/>
  <c r="R158" i="1"/>
  <c r="S158" i="1"/>
  <c r="T158" i="1"/>
  <c r="Q206" i="1"/>
  <c r="R206" i="1"/>
  <c r="S206" i="1"/>
  <c r="T206" i="1"/>
  <c r="Q233" i="1"/>
  <c r="R233" i="1"/>
  <c r="S233" i="1"/>
  <c r="T233" i="1"/>
  <c r="Q194" i="1"/>
  <c r="R194" i="1"/>
  <c r="S194" i="1"/>
  <c r="T194" i="1"/>
  <c r="Q268" i="1"/>
  <c r="R268" i="1"/>
  <c r="S268" i="1"/>
  <c r="T268" i="1"/>
  <c r="Q180" i="1"/>
  <c r="R180" i="1"/>
  <c r="S180" i="1"/>
  <c r="T180" i="1"/>
  <c r="Q216" i="1"/>
  <c r="R216" i="1"/>
  <c r="S216" i="1"/>
  <c r="T216" i="1"/>
  <c r="Q204" i="1"/>
  <c r="R204" i="1"/>
  <c r="S204" i="1"/>
  <c r="T204" i="1"/>
  <c r="Q239" i="1"/>
  <c r="R239" i="1"/>
  <c r="S239" i="1"/>
  <c r="T239" i="1"/>
  <c r="Q235" i="1"/>
  <c r="R235" i="1"/>
  <c r="S235" i="1"/>
  <c r="T235" i="1"/>
  <c r="Q173" i="1"/>
  <c r="R173" i="1"/>
  <c r="S173" i="1"/>
  <c r="T173" i="1"/>
  <c r="Q270" i="1"/>
  <c r="R270" i="1"/>
  <c r="S270" i="1"/>
  <c r="T270" i="1"/>
  <c r="Q271" i="1"/>
  <c r="R271" i="1"/>
  <c r="S271" i="1"/>
  <c r="T271" i="1"/>
  <c r="Q278" i="1"/>
  <c r="R278" i="1"/>
  <c r="S278" i="1"/>
  <c r="T278" i="1"/>
  <c r="Q185" i="1"/>
  <c r="R185" i="1"/>
  <c r="S185" i="1"/>
  <c r="T185" i="1"/>
  <c r="Q269" i="1"/>
  <c r="R269" i="1"/>
  <c r="S269" i="1"/>
  <c r="T269" i="1"/>
  <c r="Q198" i="1"/>
  <c r="R198" i="1"/>
  <c r="S198" i="1"/>
  <c r="T198" i="1"/>
  <c r="Q228" i="1"/>
  <c r="R228" i="1"/>
  <c r="S228" i="1"/>
  <c r="T228" i="1"/>
  <c r="Q281" i="1"/>
  <c r="R281" i="1"/>
  <c r="S281" i="1"/>
  <c r="T281" i="1"/>
  <c r="Q282" i="1"/>
  <c r="R282" i="1"/>
  <c r="S282" i="1"/>
  <c r="T282" i="1"/>
  <c r="Q223" i="1"/>
  <c r="R223" i="1"/>
  <c r="S223" i="1"/>
  <c r="T223" i="1"/>
  <c r="Q220" i="1"/>
  <c r="R220" i="1"/>
  <c r="S220" i="1"/>
  <c r="T220" i="1"/>
  <c r="Q174" i="1"/>
  <c r="R174" i="1"/>
  <c r="S174" i="1"/>
  <c r="T174" i="1"/>
  <c r="Q289" i="1"/>
  <c r="R289" i="1"/>
  <c r="S289" i="1"/>
  <c r="T289" i="1"/>
  <c r="Q183" i="1"/>
  <c r="R183" i="1"/>
  <c r="S183" i="1"/>
  <c r="T183" i="1"/>
  <c r="Q156" i="1"/>
  <c r="R156" i="1"/>
  <c r="S156" i="1"/>
  <c r="T156" i="1"/>
  <c r="Q277" i="1"/>
  <c r="R277" i="1"/>
  <c r="S277" i="1"/>
  <c r="T277" i="1"/>
  <c r="Q224" i="1"/>
  <c r="R224" i="1"/>
  <c r="S224" i="1"/>
  <c r="T224" i="1"/>
  <c r="Q170" i="1"/>
  <c r="R170" i="1"/>
  <c r="S170" i="1"/>
  <c r="T170" i="1"/>
  <c r="Q209" i="1"/>
  <c r="R209" i="1"/>
  <c r="S209" i="1"/>
  <c r="T209" i="1"/>
  <c r="Q167" i="1"/>
  <c r="R167" i="1"/>
  <c r="S167" i="1"/>
  <c r="T167" i="1"/>
  <c r="Q188" i="1"/>
  <c r="R188" i="1"/>
  <c r="S188" i="1"/>
  <c r="T188" i="1"/>
  <c r="Q164" i="1"/>
  <c r="R164" i="1"/>
  <c r="S164" i="1"/>
  <c r="T164" i="1"/>
  <c r="Q286" i="1"/>
  <c r="R286" i="1"/>
  <c r="S286" i="1"/>
  <c r="T286" i="1"/>
  <c r="Q287" i="1"/>
  <c r="R287" i="1"/>
  <c r="S287" i="1"/>
  <c r="T287" i="1"/>
  <c r="Q757" i="1"/>
  <c r="R757" i="1"/>
  <c r="S757" i="1"/>
  <c r="T757" i="1"/>
  <c r="Q184" i="1"/>
  <c r="R184" i="1"/>
  <c r="S184" i="1"/>
  <c r="T184" i="1"/>
  <c r="Q273" i="1"/>
  <c r="R273" i="1"/>
  <c r="S273" i="1"/>
  <c r="T273" i="1"/>
  <c r="Q232" i="1"/>
  <c r="R232" i="1"/>
  <c r="S232" i="1"/>
  <c r="T232" i="1"/>
  <c r="Q276" i="1"/>
  <c r="R276" i="1"/>
  <c r="S276" i="1"/>
  <c r="T276" i="1"/>
  <c r="Q231" i="1"/>
  <c r="R231" i="1"/>
  <c r="S231" i="1"/>
  <c r="T231" i="1"/>
  <c r="Q238" i="1"/>
  <c r="R238" i="1"/>
  <c r="S238" i="1"/>
  <c r="T238" i="1"/>
  <c r="Q186" i="1"/>
  <c r="R186" i="1"/>
  <c r="S186" i="1"/>
  <c r="T186" i="1"/>
  <c r="Q225" i="1"/>
  <c r="R225" i="1"/>
  <c r="S225" i="1"/>
  <c r="T225" i="1"/>
  <c r="Q203" i="1"/>
  <c r="R203" i="1"/>
  <c r="S203" i="1"/>
  <c r="T203" i="1"/>
  <c r="Q189" i="1"/>
  <c r="R189" i="1"/>
  <c r="S189" i="1"/>
  <c r="T189" i="1"/>
  <c r="Q756" i="1"/>
  <c r="R756" i="1"/>
  <c r="S756" i="1"/>
  <c r="T756" i="1"/>
  <c r="Q284" i="1"/>
  <c r="R284" i="1"/>
  <c r="S284" i="1"/>
  <c r="T284" i="1"/>
  <c r="Q285" i="1"/>
  <c r="R285" i="1"/>
  <c r="S285" i="1"/>
  <c r="T285" i="1"/>
  <c r="Q291" i="1"/>
  <c r="R291" i="1"/>
  <c r="S291" i="1"/>
  <c r="T291" i="1"/>
  <c r="Q205" i="1"/>
  <c r="R205" i="1"/>
  <c r="S205" i="1"/>
  <c r="T205" i="1"/>
  <c r="Q272" i="1"/>
  <c r="R272" i="1"/>
  <c r="S272" i="1"/>
  <c r="T272" i="1"/>
  <c r="Q236" i="1"/>
  <c r="R236" i="1"/>
  <c r="S236" i="1"/>
  <c r="T236" i="1"/>
  <c r="Q275" i="1"/>
  <c r="R275" i="1"/>
  <c r="S275" i="1"/>
  <c r="T275" i="1"/>
  <c r="Q283" i="1"/>
  <c r="R283" i="1"/>
  <c r="S283" i="1"/>
  <c r="T283" i="1"/>
  <c r="Q187" i="1"/>
  <c r="R187" i="1"/>
  <c r="S187" i="1"/>
  <c r="T187" i="1"/>
  <c r="Q215" i="1"/>
  <c r="R215" i="1"/>
  <c r="S215" i="1"/>
  <c r="T215" i="1"/>
  <c r="Q155" i="1"/>
  <c r="R155" i="1"/>
  <c r="S155" i="1"/>
  <c r="T155" i="1"/>
  <c r="Q274" i="1"/>
  <c r="R274" i="1"/>
  <c r="S274" i="1"/>
  <c r="T274" i="1"/>
  <c r="Q230" i="1"/>
  <c r="R230" i="1"/>
  <c r="S230" i="1"/>
  <c r="T230" i="1"/>
  <c r="Q176" i="1"/>
  <c r="R176" i="1"/>
  <c r="S176" i="1"/>
  <c r="T176" i="1"/>
  <c r="Q129" i="1"/>
  <c r="R129" i="1"/>
  <c r="S129" i="1"/>
  <c r="T129" i="1"/>
  <c r="Q130" i="1"/>
  <c r="R130" i="1"/>
  <c r="S130" i="1"/>
  <c r="T130" i="1"/>
  <c r="Q131" i="1"/>
  <c r="R131" i="1"/>
  <c r="S131" i="1"/>
  <c r="T131" i="1"/>
  <c r="Q132" i="1"/>
  <c r="R132" i="1"/>
  <c r="S132" i="1"/>
  <c r="T132" i="1"/>
  <c r="Q133" i="1"/>
  <c r="R133" i="1"/>
  <c r="S133" i="1"/>
  <c r="T133" i="1"/>
  <c r="Q134" i="1"/>
  <c r="R134" i="1"/>
  <c r="S134" i="1"/>
  <c r="T134" i="1"/>
  <c r="Q135" i="1"/>
  <c r="R135" i="1"/>
  <c r="S135" i="1"/>
  <c r="T135" i="1"/>
  <c r="Q136" i="1"/>
  <c r="R136" i="1"/>
  <c r="S136" i="1"/>
  <c r="T136" i="1"/>
  <c r="Q137" i="1"/>
  <c r="R137" i="1"/>
  <c r="S137" i="1"/>
  <c r="T137" i="1"/>
  <c r="Q138" i="1"/>
  <c r="R138" i="1"/>
  <c r="S138" i="1"/>
  <c r="T138" i="1"/>
  <c r="Q139" i="1"/>
  <c r="R139" i="1"/>
  <c r="S139" i="1"/>
  <c r="T139" i="1"/>
  <c r="Q140" i="1"/>
  <c r="R140" i="1"/>
  <c r="S140" i="1"/>
  <c r="T140" i="1"/>
  <c r="Q141" i="1"/>
  <c r="R141" i="1"/>
  <c r="S141" i="1"/>
  <c r="T141" i="1"/>
  <c r="Q142" i="1"/>
  <c r="R142" i="1"/>
  <c r="S142" i="1"/>
  <c r="T142" i="1"/>
  <c r="Q143" i="1"/>
  <c r="R143" i="1"/>
  <c r="S143" i="1"/>
  <c r="T143" i="1"/>
  <c r="Q144" i="1"/>
  <c r="R144" i="1"/>
  <c r="S144" i="1"/>
  <c r="T144" i="1"/>
  <c r="Q145" i="1"/>
  <c r="R145" i="1"/>
  <c r="S145" i="1"/>
  <c r="T145" i="1"/>
  <c r="Q62" i="1"/>
  <c r="R62" i="1"/>
  <c r="S62" i="1"/>
  <c r="T62" i="1"/>
  <c r="Q147" i="1"/>
  <c r="R147" i="1"/>
  <c r="S147" i="1"/>
  <c r="T147" i="1"/>
  <c r="Q148" i="1"/>
  <c r="R148" i="1"/>
  <c r="S148" i="1"/>
  <c r="T148" i="1"/>
  <c r="Q93" i="1"/>
  <c r="R93" i="1"/>
  <c r="S93" i="1"/>
  <c r="T93" i="1"/>
  <c r="Q96" i="1"/>
  <c r="R96" i="1"/>
  <c r="S96" i="1"/>
  <c r="T96" i="1"/>
  <c r="Q781" i="1"/>
  <c r="R781" i="1"/>
  <c r="S781" i="1"/>
  <c r="T781" i="1"/>
  <c r="Q102" i="1"/>
  <c r="R102" i="1"/>
  <c r="S102" i="1"/>
  <c r="T102" i="1"/>
  <c r="Q100" i="1"/>
  <c r="R100" i="1"/>
  <c r="S100" i="1"/>
  <c r="T100" i="1"/>
  <c r="Q211" i="1"/>
  <c r="R211" i="1"/>
  <c r="S211" i="1"/>
  <c r="T211" i="1"/>
  <c r="Q210" i="1"/>
  <c r="R210" i="1"/>
  <c r="S210" i="1"/>
  <c r="T210" i="1"/>
  <c r="Q179" i="1"/>
  <c r="R179" i="1"/>
  <c r="S179" i="1"/>
  <c r="T179" i="1"/>
  <c r="Q280" i="1"/>
  <c r="R280" i="1"/>
  <c r="S280" i="1"/>
  <c r="T280" i="1"/>
  <c r="Q767" i="1"/>
  <c r="R767" i="1"/>
  <c r="S767" i="1"/>
  <c r="T767" i="1"/>
  <c r="Q290" i="1"/>
  <c r="R290" i="1"/>
  <c r="S290" i="1"/>
  <c r="T290" i="1"/>
  <c r="Q237" i="1"/>
  <c r="R237" i="1"/>
  <c r="S237" i="1"/>
  <c r="T237" i="1"/>
  <c r="Q760" i="1"/>
  <c r="R760" i="1"/>
  <c r="S760" i="1"/>
  <c r="T760" i="1"/>
  <c r="Q221" i="1"/>
  <c r="R221" i="1"/>
  <c r="S221" i="1"/>
  <c r="T221" i="1"/>
  <c r="Q163" i="1"/>
  <c r="R163" i="1"/>
  <c r="S163" i="1"/>
  <c r="T163" i="1"/>
  <c r="Q764" i="1"/>
  <c r="R764" i="1"/>
  <c r="S764" i="1"/>
  <c r="T764" i="1"/>
  <c r="Q770" i="1"/>
  <c r="R770" i="1"/>
  <c r="S770" i="1"/>
  <c r="T770" i="1"/>
  <c r="Q182" i="1"/>
  <c r="R182" i="1"/>
  <c r="S182" i="1"/>
  <c r="T182" i="1"/>
  <c r="Q153" i="1"/>
  <c r="R153" i="1"/>
  <c r="S153" i="1"/>
  <c r="T153" i="1"/>
  <c r="Q766" i="1"/>
  <c r="R766" i="1"/>
  <c r="S766" i="1"/>
  <c r="T766" i="1"/>
  <c r="Q192" i="1"/>
  <c r="R192" i="1"/>
  <c r="S192" i="1"/>
  <c r="T192" i="1"/>
  <c r="Q218" i="1"/>
  <c r="R218" i="1"/>
  <c r="S218" i="1"/>
  <c r="T218" i="1"/>
  <c r="Q771" i="1"/>
  <c r="R771" i="1"/>
  <c r="S771" i="1"/>
  <c r="T771" i="1"/>
  <c r="Q759" i="1"/>
  <c r="R759" i="1"/>
  <c r="S759" i="1"/>
  <c r="T759" i="1"/>
  <c r="Q217" i="1"/>
  <c r="R217" i="1"/>
  <c r="S217" i="1"/>
  <c r="T217" i="1"/>
  <c r="Q234" i="1"/>
  <c r="R234" i="1"/>
  <c r="S234" i="1"/>
  <c r="T234" i="1"/>
  <c r="Q761" i="1"/>
  <c r="R761" i="1"/>
  <c r="S761" i="1"/>
  <c r="T761" i="1"/>
  <c r="Q200" i="1"/>
  <c r="R200" i="1"/>
  <c r="S200" i="1"/>
  <c r="T200" i="1"/>
  <c r="Q195" i="1"/>
  <c r="R195" i="1"/>
  <c r="S195" i="1"/>
  <c r="T195" i="1"/>
  <c r="Q765" i="1"/>
  <c r="R765" i="1"/>
  <c r="S765" i="1"/>
  <c r="T765" i="1"/>
  <c r="Q213" i="1"/>
  <c r="R213" i="1"/>
  <c r="S213" i="1"/>
  <c r="T213" i="1"/>
  <c r="Q288" i="1"/>
  <c r="R288" i="1"/>
  <c r="S288" i="1"/>
  <c r="T288" i="1"/>
  <c r="Q169" i="1"/>
  <c r="R169" i="1"/>
  <c r="S169" i="1"/>
  <c r="T169" i="1"/>
  <c r="Q207" i="1"/>
  <c r="R207" i="1"/>
  <c r="S207" i="1"/>
  <c r="T207" i="1"/>
  <c r="Q208" i="1"/>
  <c r="R208" i="1"/>
  <c r="S208" i="1"/>
  <c r="T208" i="1"/>
  <c r="Q193" i="1"/>
  <c r="R193" i="1"/>
  <c r="S193" i="1"/>
  <c r="T193" i="1"/>
  <c r="Q190" i="1"/>
  <c r="R190" i="1"/>
  <c r="S190" i="1"/>
  <c r="T190" i="1"/>
  <c r="Q191" i="1"/>
  <c r="R191" i="1"/>
  <c r="S191" i="1"/>
  <c r="T191" i="1"/>
  <c r="Q279" i="1"/>
  <c r="R279" i="1"/>
  <c r="S279" i="1"/>
  <c r="T279" i="1"/>
  <c r="Q196" i="1"/>
  <c r="R196" i="1"/>
  <c r="S196" i="1"/>
  <c r="T196" i="1"/>
  <c r="Q296" i="1"/>
  <c r="R296" i="1"/>
  <c r="S296" i="1"/>
  <c r="T296" i="1"/>
  <c r="Q229" i="1"/>
  <c r="R229" i="1"/>
  <c r="S229" i="1"/>
  <c r="T229" i="1"/>
  <c r="Q197" i="1"/>
  <c r="R197" i="1"/>
  <c r="S197" i="1"/>
  <c r="T197" i="1"/>
  <c r="Q267" i="1"/>
  <c r="R267" i="1"/>
  <c r="S267" i="1"/>
  <c r="T267" i="1"/>
  <c r="Q292" i="1"/>
  <c r="R292" i="1"/>
  <c r="S292" i="1"/>
  <c r="T292" i="1"/>
  <c r="Q295" i="1"/>
  <c r="R295" i="1"/>
  <c r="S295" i="1"/>
  <c r="T295" i="1"/>
  <c r="Q168" i="1"/>
  <c r="R168" i="1"/>
  <c r="S168" i="1"/>
  <c r="T168" i="1"/>
  <c r="Q305" i="1"/>
  <c r="R305" i="1"/>
  <c r="S305" i="1"/>
  <c r="T305" i="1"/>
  <c r="Q762" i="1"/>
  <c r="R762" i="1"/>
  <c r="S762" i="1"/>
  <c r="T762" i="1"/>
  <c r="Q157" i="1"/>
  <c r="R157" i="1"/>
  <c r="S157" i="1"/>
  <c r="T157" i="1"/>
  <c r="Q199" i="1"/>
  <c r="R199" i="1"/>
  <c r="S199" i="1"/>
  <c r="T199" i="1"/>
  <c r="Q91" i="1"/>
  <c r="R91" i="1"/>
  <c r="S91" i="1"/>
  <c r="T91" i="1"/>
  <c r="Q201" i="1"/>
  <c r="R201" i="1"/>
  <c r="S201" i="1"/>
  <c r="T201" i="1"/>
  <c r="Q202" i="1"/>
  <c r="R202" i="1"/>
  <c r="S202" i="1"/>
  <c r="T202" i="1"/>
  <c r="Q166" i="1"/>
  <c r="R166" i="1"/>
  <c r="S166" i="1"/>
  <c r="T166" i="1"/>
  <c r="Q177" i="1"/>
  <c r="R177" i="1"/>
  <c r="S177" i="1"/>
  <c r="T177" i="1"/>
  <c r="Q171" i="1"/>
  <c r="R171" i="1"/>
  <c r="S171" i="1"/>
  <c r="T171" i="1"/>
  <c r="Q172" i="1"/>
  <c r="R172" i="1"/>
  <c r="S172" i="1"/>
  <c r="T172" i="1"/>
  <c r="Q789" i="1"/>
  <c r="R789" i="1"/>
  <c r="S789" i="1"/>
  <c r="T789" i="1"/>
  <c r="Q768" i="1"/>
  <c r="R768" i="1"/>
  <c r="S768" i="1"/>
  <c r="T768" i="1"/>
  <c r="Q775" i="1"/>
  <c r="R775" i="1"/>
  <c r="S775" i="1"/>
  <c r="T775" i="1"/>
  <c r="Q212" i="1"/>
  <c r="R212" i="1"/>
  <c r="S212" i="1"/>
  <c r="T212" i="1"/>
  <c r="Q6" i="1"/>
  <c r="R6" i="1"/>
  <c r="S6" i="1"/>
  <c r="T6" i="1"/>
  <c r="Q151" i="1"/>
  <c r="R151" i="1"/>
  <c r="S151" i="1"/>
  <c r="T151" i="1"/>
  <c r="Q181" i="1"/>
  <c r="R181" i="1"/>
  <c r="S181" i="1"/>
  <c r="T181" i="1"/>
  <c r="Q780" i="1"/>
  <c r="R780" i="1"/>
  <c r="S780" i="1"/>
  <c r="T780" i="1"/>
  <c r="Q793" i="1"/>
  <c r="R793" i="1"/>
  <c r="S793" i="1"/>
  <c r="T793" i="1"/>
  <c r="Q95" i="1"/>
  <c r="R95" i="1"/>
  <c r="S95" i="1"/>
  <c r="T95" i="1"/>
  <c r="Q105" i="1"/>
  <c r="R105" i="1"/>
  <c r="S105" i="1"/>
  <c r="T105" i="1"/>
  <c r="Q98" i="1"/>
  <c r="R98" i="1"/>
  <c r="S98" i="1"/>
  <c r="T98" i="1"/>
  <c r="Q106" i="1"/>
  <c r="R106" i="1"/>
  <c r="S106" i="1"/>
  <c r="T106" i="1"/>
  <c r="Q99" i="1"/>
  <c r="R99" i="1"/>
  <c r="S99" i="1"/>
  <c r="T99" i="1"/>
  <c r="Q107" i="1"/>
  <c r="R107" i="1"/>
  <c r="S107" i="1"/>
  <c r="T107" i="1"/>
  <c r="Q77" i="1"/>
  <c r="R77" i="1"/>
  <c r="S77" i="1"/>
  <c r="T77" i="1"/>
  <c r="Q92" i="1"/>
  <c r="R92" i="1"/>
  <c r="S92" i="1"/>
  <c r="T92" i="1"/>
  <c r="Q297" i="1"/>
  <c r="R297" i="1"/>
  <c r="S297" i="1"/>
  <c r="T297" i="1"/>
  <c r="Q108" i="1"/>
  <c r="R108" i="1"/>
  <c r="S108" i="1"/>
  <c r="T108" i="1"/>
  <c r="Q178" i="1"/>
  <c r="R178" i="1"/>
  <c r="S178" i="1"/>
  <c r="T178" i="1"/>
  <c r="Q778" i="1"/>
  <c r="R778" i="1"/>
  <c r="S778" i="1"/>
  <c r="T778" i="1"/>
  <c r="Q779" i="1"/>
  <c r="R779" i="1"/>
  <c r="S779" i="1"/>
  <c r="T779" i="1"/>
  <c r="Q776" i="1"/>
  <c r="R776" i="1"/>
  <c r="S776" i="1"/>
  <c r="T776" i="1"/>
  <c r="Q304" i="1"/>
  <c r="R304" i="1"/>
  <c r="S304" i="1"/>
  <c r="T304" i="1"/>
  <c r="Q76" i="1"/>
  <c r="R76" i="1"/>
  <c r="S76" i="1"/>
  <c r="T76" i="1"/>
  <c r="Q51" i="1"/>
  <c r="R51" i="1"/>
  <c r="S51" i="1"/>
  <c r="T51" i="1"/>
  <c r="Q782" i="1"/>
  <c r="R782" i="1"/>
  <c r="S782" i="1"/>
  <c r="T782" i="1"/>
  <c r="Q161" i="1"/>
  <c r="R161" i="1"/>
  <c r="S161" i="1"/>
  <c r="T161" i="1"/>
  <c r="Q94" i="1"/>
  <c r="R94" i="1"/>
  <c r="S94" i="1"/>
  <c r="T94" i="1"/>
  <c r="Q103" i="1"/>
  <c r="R103" i="1"/>
  <c r="S103" i="1"/>
  <c r="T103" i="1"/>
  <c r="Q97" i="1"/>
  <c r="R97" i="1"/>
  <c r="S97" i="1"/>
  <c r="T97" i="1"/>
  <c r="Q783" i="1"/>
  <c r="R783" i="1"/>
  <c r="S783" i="1"/>
  <c r="T783" i="1"/>
  <c r="Q160" i="1"/>
  <c r="R160" i="1"/>
  <c r="S160" i="1"/>
  <c r="T160" i="1"/>
  <c r="D22" i="3"/>
  <c r="J22" i="3" l="1"/>
  <c r="J21" i="3"/>
  <c r="I22" i="3"/>
  <c r="I21" i="3"/>
  <c r="B20" i="3"/>
  <c r="C20" i="3" l="1"/>
  <c r="C21" i="3"/>
  <c r="B21" i="3"/>
  <c r="B22" i="3" s="1"/>
  <c r="C22" i="3" l="1"/>
  <c r="T2" i="1" l="1"/>
  <c r="T3" i="1"/>
  <c r="T227" i="1"/>
  <c r="T5" i="1"/>
  <c r="T774" i="1"/>
  <c r="S2" i="1"/>
  <c r="S3" i="1"/>
  <c r="S227" i="1"/>
  <c r="S5" i="1"/>
  <c r="S774" i="1"/>
  <c r="Q2" i="1"/>
  <c r="R2" i="1"/>
  <c r="Q3" i="1"/>
  <c r="R3" i="1"/>
  <c r="Q227" i="1"/>
  <c r="R227" i="1"/>
  <c r="Q5" i="1"/>
  <c r="R5" i="1"/>
  <c r="Q774" i="1"/>
  <c r="R774" i="1"/>
</calcChain>
</file>

<file path=xl/sharedStrings.xml><?xml version="1.0" encoding="utf-8"?>
<sst xmlns="http://schemas.openxmlformats.org/spreadsheetml/2006/main" count="6431" uniqueCount="1053">
  <si>
    <t>año</t>
  </si>
  <si>
    <t>MES</t>
  </si>
  <si>
    <t>REPORT</t>
  </si>
  <si>
    <t>Ramo</t>
  </si>
  <si>
    <t>Suma de Prima total 
(Neta + Honorarios)</t>
  </si>
  <si>
    <t>Suma de Comisión Bruta
(Cedida + Neta + Honorarios)</t>
  </si>
  <si>
    <t>Suma de Comisión cedida €</t>
  </si>
  <si>
    <t>€' 000</t>
  </si>
  <si>
    <t>PRIMA Real</t>
  </si>
  <si>
    <t>Comisiones Brutas</t>
  </si>
  <si>
    <t>Caución</t>
  </si>
  <si>
    <t>Ingeniería</t>
  </si>
  <si>
    <t>Total general</t>
  </si>
  <si>
    <t>M-1</t>
  </si>
  <si>
    <t>Mes actual</t>
  </si>
  <si>
    <t>Ajustes</t>
  </si>
  <si>
    <t>(Todas)</t>
  </si>
  <si>
    <t>Estado</t>
  </si>
  <si>
    <t>(Varios elementos)</t>
  </si>
  <si>
    <t>Fecha emisión</t>
  </si>
  <si>
    <t>fecha efecto</t>
  </si>
  <si>
    <t>fecha cobro si la tiene</t>
  </si>
  <si>
    <t>Nº Póliza</t>
  </si>
  <si>
    <t>cliente  (nombre y CIF)</t>
  </si>
  <si>
    <t>colaborador si lo hay  (nombre y CIF)</t>
  </si>
  <si>
    <t>Compañía</t>
  </si>
  <si>
    <t>Prima neta €</t>
  </si>
  <si>
    <t>Comisión correduría (%)</t>
  </si>
  <si>
    <t>Comisión cedida €</t>
  </si>
  <si>
    <t>Comisión neta €</t>
  </si>
  <si>
    <t>Honoarios si los hay</t>
  </si>
  <si>
    <t>Producto</t>
  </si>
  <si>
    <t>Cartera / nueva producción</t>
  </si>
  <si>
    <t>account date</t>
  </si>
  <si>
    <r>
      <rPr>
        <b/>
        <sz val="11"/>
        <color rgb="FF000000"/>
        <rFont val="Aptos Narrow"/>
        <family val="2"/>
        <scheme val="minor"/>
      </rPr>
      <t xml:space="preserve">Prima total 
</t>
    </r>
    <r>
      <rPr>
        <b/>
        <i/>
        <sz val="11"/>
        <color rgb="FF000000"/>
        <rFont val="Aptos Narrow"/>
        <family val="2"/>
        <scheme val="minor"/>
      </rPr>
      <t>(Neta + Honorarios</t>
    </r>
    <r>
      <rPr>
        <b/>
        <sz val="11"/>
        <color rgb="FF000000"/>
        <rFont val="Aptos Narrow"/>
        <family val="2"/>
        <scheme val="minor"/>
      </rPr>
      <t>)</t>
    </r>
  </si>
  <si>
    <r>
      <rPr>
        <b/>
        <sz val="11"/>
        <color rgb="FF000000"/>
        <rFont val="Aptos Narrow"/>
        <family val="2"/>
        <scheme val="minor"/>
      </rPr>
      <t xml:space="preserve">Comisión Bruta
</t>
    </r>
    <r>
      <rPr>
        <b/>
        <i/>
        <sz val="11"/>
        <color rgb="FF000000"/>
        <rFont val="Aptos Narrow"/>
        <family val="2"/>
        <scheme val="minor"/>
      </rPr>
      <t>(Cedida + Neta + Honorarios)</t>
    </r>
  </si>
  <si>
    <t>FU/D90/0000078</t>
  </si>
  <si>
    <t>ARETÉ MACENAS RESIDENCIAL, S.L.-B67775882</t>
  </si>
  <si>
    <t>RASHER ASESORAMIENTO, S.L.-B14571434</t>
  </si>
  <si>
    <t>Helvetia Compañía de Seguros, S.A.S.R.</t>
  </si>
  <si>
    <t>ENTRADA EN VIGOR</t>
  </si>
  <si>
    <t>Nueva producción</t>
  </si>
  <si>
    <t>Cobrado</t>
  </si>
  <si>
    <t>FU/D90/0000083</t>
  </si>
  <si>
    <t>FU/D90/0000120</t>
  </si>
  <si>
    <t>FU/D90/0000121</t>
  </si>
  <si>
    <t>FU/D90/0000160</t>
  </si>
  <si>
    <t>PJMD REAL ESTATE, S.L.-B19850346</t>
  </si>
  <si>
    <t>ORES Y BRYAN CORREDURÍA DE SEGUROS, S.L.-B29435260</t>
  </si>
  <si>
    <t>PREPOLIZA</t>
  </si>
  <si>
    <t>2021/RQLC/0901/0004/R3</t>
  </si>
  <si>
    <t>LA ENCANTADA LA RAMBLA - B01635606</t>
  </si>
  <si>
    <t>RASHER CORREDURIA DE SEGUROS - B14571434</t>
  </si>
  <si>
    <t>Accredited Insurance (Europe) Limited</t>
  </si>
  <si>
    <t>Performance</t>
  </si>
  <si>
    <t>Cartera</t>
  </si>
  <si>
    <t>2021/RQLC/0773/0001/R4</t>
  </si>
  <si>
    <t>AMBER SOLAR POWER CUARENTA Y UNO SL. - B05399969</t>
  </si>
  <si>
    <t>WILLIS IBERIA SA - A28961639</t>
  </si>
  <si>
    <t>2021/RQLC/0779/0001/R4</t>
  </si>
  <si>
    <t>AMBER SOLAR POWER TREINTA Y SIETE SL. - B88594098</t>
  </si>
  <si>
    <t>2021/RQLC/0800/0001/R4</t>
  </si>
  <si>
    <t>AMBER SOLAR POWER VEINTICUATRO SL. - B88422308</t>
  </si>
  <si>
    <t>2021/RQLC/0801/0001/R4</t>
  </si>
  <si>
    <t>AMBER SOLAR POWER CUARENTA Y TRES SL. - B05399977</t>
  </si>
  <si>
    <t>2021/RQLC/0797/0001/R4</t>
  </si>
  <si>
    <t>AMBER SOLAR POWER TREINTA Y CUATRO SL. - B88594064</t>
  </si>
  <si>
    <t>2021/RQLC/0793/0001/R4</t>
  </si>
  <si>
    <t>AMBER SOLAR POWER CUARENTA Y SEIS SL. - B05400007</t>
  </si>
  <si>
    <t>2021/RQLC/0798/0001/R4</t>
  </si>
  <si>
    <t>LUMINORA SOLAR OCHO SL. - B88532585</t>
  </si>
  <si>
    <t>2021/RQLC/0792/0001/R4</t>
  </si>
  <si>
    <t>AMBER SOLAR POWER TREINTA Y OCHO SL. - B88594106</t>
  </si>
  <si>
    <t>2021/RQLC/0802/0001/R4</t>
  </si>
  <si>
    <t>AMBER SOLAR POWER CUARENTA Y CUATRO SL. - B05399985</t>
  </si>
  <si>
    <t>2021/RQLC/0796/0001/R4</t>
  </si>
  <si>
    <t>LUMINORA SOLAR VEINTICINCO SL. - B05399936</t>
  </si>
  <si>
    <t>2021/RQLC/0795/0001/R4</t>
  </si>
  <si>
    <t>LUMINORA SOLAR VEINTICUATRO SL. - B05399928</t>
  </si>
  <si>
    <t>2021/RQLC/0794/0001/R4</t>
  </si>
  <si>
    <t>LUMINORA SOLAR VEINTITRES SL. - B05399910</t>
  </si>
  <si>
    <t>2021/RQLC/0808/0001/R4</t>
  </si>
  <si>
    <t>2022/RQAF/1009/0044/REG1</t>
  </si>
  <si>
    <t>ONE EDEN INFINITY 2020 SL. - B93725414</t>
  </si>
  <si>
    <t>ORES Y BRYAN SL - B29435260</t>
  </si>
  <si>
    <t>Advance payment</t>
  </si>
  <si>
    <t>2019/RQLC/0458/0046/R2</t>
  </si>
  <si>
    <t>ATHISA MEDIO AMBIENTE, S.A.U. - A18485516</t>
  </si>
  <si>
    <t>2020/RQLC/0696/0001/R5</t>
  </si>
  <si>
    <t>COLMENA SUN DARRO SL. - B88010459</t>
  </si>
  <si>
    <t>HOWDEN IBERIA SA - A82473349</t>
  </si>
  <si>
    <t>2021/RQLC/0902/0002/R4</t>
  </si>
  <si>
    <t>INGENIERIA ATECSUR SL - B18612242</t>
  </si>
  <si>
    <t>2022/RQLC/0950/0008/R3</t>
  </si>
  <si>
    <t>SOLUTIA INNOVAWORLD TECHNOLOGIES SOCIEDAD LIMITADA - B91447193</t>
  </si>
  <si>
    <t>2019/RQLC/0458/0047/R2</t>
  </si>
  <si>
    <t>2019/RQLC/0458/0048/R2</t>
  </si>
  <si>
    <t>2019/RQLC/0458/0049/R2</t>
  </si>
  <si>
    <t>2019/RQLC/0458/0050/R2</t>
  </si>
  <si>
    <t>2023/RQLC/1147/0001/R2</t>
  </si>
  <si>
    <t>2021/RQLC/0761/0015/R1</t>
  </si>
  <si>
    <t>MARSIC SOLAR, S.L. - B88197090</t>
  </si>
  <si>
    <t>2021/RQLC/0761/0011/R1</t>
  </si>
  <si>
    <t>WASSAT SOLAR, S.L. - B88211107</t>
  </si>
  <si>
    <t>2021/RQLC/0761/0009/R1</t>
  </si>
  <si>
    <t>MIRAM SOLAR,S.L - B88198858</t>
  </si>
  <si>
    <t>2024/RQLC/1271/0001/R1</t>
  </si>
  <si>
    <t>DESARROLLOS ECOINDUSTRIALES TERUEL, S.L. - B16447856</t>
  </si>
  <si>
    <t>2023/RQLC/1155/0002</t>
  </si>
  <si>
    <t>NOVATION IT SYSTEMS SL - B87149605</t>
  </si>
  <si>
    <t>2022/RQAF/1009/0015/REG1</t>
  </si>
  <si>
    <t>2022/RQAF/1009/0057/REG1</t>
  </si>
  <si>
    <t>2024/RQAF/1205/0001/SUP1</t>
  </si>
  <si>
    <t>KAMPINAS SLU - B29132636</t>
  </si>
  <si>
    <t>2024/RQAF/1205/0002/SUP1</t>
  </si>
  <si>
    <t>2024/RQAF/1205/0004/SUP1</t>
  </si>
  <si>
    <t>2024/RQAF/1205/0006/SUP1</t>
  </si>
  <si>
    <t>2024/RQAF/1205/0009/SUP1</t>
  </si>
  <si>
    <t>2024/RQAF/1205/0010/SUP1</t>
  </si>
  <si>
    <t>2024/RQAF/1205/0011/SUP1</t>
  </si>
  <si>
    <t>2024/RQAF/1205/0012/SUP1</t>
  </si>
  <si>
    <t>2024/RQAF/1205/0015/SUP1</t>
  </si>
  <si>
    <t>2024/RQAF/1205/0017/SUP1</t>
  </si>
  <si>
    <t>2024/RQAF/1205/0024/SUP1</t>
  </si>
  <si>
    <t>2024/RQAF/1205/0025/SUP1</t>
  </si>
  <si>
    <t>2025/RQAF/1386/0001</t>
  </si>
  <si>
    <t>THE RESIDENCES DEVCO SL. - B72718554</t>
  </si>
  <si>
    <t>2025/RQAF/1386/0002</t>
  </si>
  <si>
    <t>2025/RQAF/1386/0003</t>
  </si>
  <si>
    <t>2025/RQAF/1386/0004</t>
  </si>
  <si>
    <t>2025/RQAF/1386/0005</t>
  </si>
  <si>
    <t>2025/RQAF/1386/0006</t>
  </si>
  <si>
    <t>2025/RQAF/1386/0007</t>
  </si>
  <si>
    <t>2025/RQAF/1386/0008</t>
  </si>
  <si>
    <t>2025/RQAF/1386/0009</t>
  </si>
  <si>
    <t>2025/RQAF/1386/0010</t>
  </si>
  <si>
    <t>2025/RQAF/1386/0012</t>
  </si>
  <si>
    <t>2025/RQAF/1386/0013</t>
  </si>
  <si>
    <t>2025/RQAF/1386/0014</t>
  </si>
  <si>
    <t>2023/RQAF/1150/0001/SUP1</t>
  </si>
  <si>
    <t>ONE EDEN SERENITY, S.L.U. - B93725497</t>
  </si>
  <si>
    <t>2023/RQAF/1150/0002/SUP1</t>
  </si>
  <si>
    <t>2023/RQAF/1150/0003/SUP1</t>
  </si>
  <si>
    <t>2023/RQAF/1150/0004/SUP1</t>
  </si>
  <si>
    <t>2023/RQAF/1150/0005/SUP1</t>
  </si>
  <si>
    <t>2023/RQAF/1150/0006/SUP1</t>
  </si>
  <si>
    <t>2023/RQAF/1150/0007/SUP1</t>
  </si>
  <si>
    <t>2023/RQAF/1150/0008/SUP1</t>
  </si>
  <si>
    <t>2023/RQAF/1150/0009/SUP1</t>
  </si>
  <si>
    <t>2023/RQAF/1150/0010/SUP1</t>
  </si>
  <si>
    <t>2023/RQAF/1150/0011/SUP1</t>
  </si>
  <si>
    <t>2023/RQAF/1150/0012/SUP1</t>
  </si>
  <si>
    <t>2023/RQAF/1150/0018/SUP1</t>
  </si>
  <si>
    <t>2023/RQAF/1150/0019/SUP1</t>
  </si>
  <si>
    <t>2023/RQAF/1150/0020/SUP1</t>
  </si>
  <si>
    <t>2023/RQAF/1150/0021/SUP1</t>
  </si>
  <si>
    <t>2023/RQAF/1150/0022/SUP1</t>
  </si>
  <si>
    <t>2023/RQAF/1150/0023/SUP1</t>
  </si>
  <si>
    <t>2023/RQAF/1150/0024/SUP1</t>
  </si>
  <si>
    <t>2023/RQAF/1150/0025/SUP1</t>
  </si>
  <si>
    <t>2023/RQAF/1150/0026/SUP1</t>
  </si>
  <si>
    <t>2023/RQAF/1150/0027/SUP1</t>
  </si>
  <si>
    <t>2023/RQAF/1150/0028/SUP1</t>
  </si>
  <si>
    <t>2023/RQAF/1150/0029/SUP1</t>
  </si>
  <si>
    <t>2023/RQAF/1150/0030/SUP1</t>
  </si>
  <si>
    <t>2023/RQAF/1150/0031/SUP1</t>
  </si>
  <si>
    <t>2023/RQAF/1150/0032/SUP1</t>
  </si>
  <si>
    <t>2023/RQAF/1150/0033/SUP1</t>
  </si>
  <si>
    <t>2023/RQAF/1150/0034/SUP1</t>
  </si>
  <si>
    <t>2023/RQAF/1150/0035/SUP1</t>
  </si>
  <si>
    <t>2023/RQAF/1150/0036/SUP1</t>
  </si>
  <si>
    <t>2023/RQAF/1150/0038/SUP1</t>
  </si>
  <si>
    <t>2023/RQAF/1150/0039/SUP1</t>
  </si>
  <si>
    <t>2023/RQAF/1150/0040/SUP1</t>
  </si>
  <si>
    <t>2023/RQAF/1150/0041/SUP1</t>
  </si>
  <si>
    <t>2023/RQAF/1150/0042/SUP1</t>
  </si>
  <si>
    <t>2023/RQAF/1150/0043/SUP1</t>
  </si>
  <si>
    <t>2023/RQAF/1150/0044/SUP1</t>
  </si>
  <si>
    <t>2023/RQAF/1150/0045/SUP1</t>
  </si>
  <si>
    <t>2023/RQAF/1150/0046/SUP1</t>
  </si>
  <si>
    <t>2023/RQAF/1150/0047/SUP1</t>
  </si>
  <si>
    <t>2023/RQAF/1150/0048/SUP1</t>
  </si>
  <si>
    <t>2023/RQAF/1150/0049/SUP1</t>
  </si>
  <si>
    <t>2023/RQAF/1150/0050/SUP1</t>
  </si>
  <si>
    <t>2023/RQAF/1150/0051/SUP1</t>
  </si>
  <si>
    <t>2023/RQAF/1150/0052/SUP1</t>
  </si>
  <si>
    <t>2023/RQAF/1150/0053/SUP1</t>
  </si>
  <si>
    <t>2023/RQAF/1150/0054/SUP1</t>
  </si>
  <si>
    <t>2023/RQAF/1150/0058/SUP1</t>
  </si>
  <si>
    <t>2023/RQAF/1150/0059/SUP1</t>
  </si>
  <si>
    <t>2023/RQAF/1150/0060/SUP1</t>
  </si>
  <si>
    <t>2023/RQAF/1150/0062/SUP1</t>
  </si>
  <si>
    <t>2023/RQAF/1150/0063/SUP1</t>
  </si>
  <si>
    <t>2023/RQAF/1150/0064/SUP1</t>
  </si>
  <si>
    <t>2023/RQAF/1150/0065/SUP1</t>
  </si>
  <si>
    <t>2023/RQAF/1150/0066/SUP1</t>
  </si>
  <si>
    <t>2023/RQAF/1150/0067/SUP1</t>
  </si>
  <si>
    <t>2023/RQAF/1150/0068/SUP1</t>
  </si>
  <si>
    <t>2023/RQAF/1150/0069/SUP1</t>
  </si>
  <si>
    <t>2023/RQAF/1150/0070/SUP1</t>
  </si>
  <si>
    <t>2023/RQAF/1150/0071/SUP1</t>
  </si>
  <si>
    <t>2023/RQAF/1150/0072/SUP1</t>
  </si>
  <si>
    <t>2023/RQAF/1150/0073/SUP1</t>
  </si>
  <si>
    <t>2023/RQAF/1150/0074/SUP1</t>
  </si>
  <si>
    <t>2023/RQAF/1150/0075/SUP1</t>
  </si>
  <si>
    <t>2023/RQAF/1150/0077/SUP1</t>
  </si>
  <si>
    <t>2022/RQAF/1009/0043/REG1</t>
  </si>
  <si>
    <t>2022/RQAF/1009/0036/REG1</t>
  </si>
  <si>
    <t>2022/RQAF/1009/0062/REG1</t>
  </si>
  <si>
    <t>2022/RQAF/1009/0041/REG1</t>
  </si>
  <si>
    <t>2022/RQAF/1009/0061/REG1</t>
  </si>
  <si>
    <t>2019/RQLC/0505/0001/R6</t>
  </si>
  <si>
    <t>ANTONIO CABALLERO ROMERA - 38782333D</t>
  </si>
  <si>
    <t>DIAGONAL RISC Corredoria d’Assegurances,S.L. - B61467353</t>
  </si>
  <si>
    <t>2019/RQLC/0508/0001/R6</t>
  </si>
  <si>
    <t>FEUJOC S.L.  - B65670671</t>
  </si>
  <si>
    <t>2019/RQLC/0508/0002/R6</t>
  </si>
  <si>
    <t>2021/RQLC/0886/0001/R4</t>
  </si>
  <si>
    <t>DAAR SHIPPING AND TRADING SL - B64425937</t>
  </si>
  <si>
    <t>Jori Armengol y Asociados, Correduría de Seguros, S.L. - A58299124</t>
  </si>
  <si>
    <t>2024/RQLC/1272/0001/R1</t>
  </si>
  <si>
    <t>BAHÍA DE PLATA HOLDCO, S.L.  - B87920757</t>
  </si>
  <si>
    <t>2024/RQLC/1272/0002/R1</t>
  </si>
  <si>
    <t>ABDA ENERGIA S.L. - B10559664</t>
  </si>
  <si>
    <t>2024/RQLC/1278/0001/R1</t>
  </si>
  <si>
    <t>ARGENIA INGENIERIA Y ARQUITECTURA SL - B91657692</t>
  </si>
  <si>
    <t>2024/RQLC/1272/0005/R1</t>
  </si>
  <si>
    <t>2024/RQLC/1272/0006/R1</t>
  </si>
  <si>
    <t>2024/RQLC/1272/0008/R1</t>
  </si>
  <si>
    <t>2024/RQLC/1272/0009/R1</t>
  </si>
  <si>
    <t>2024/RQLC/1271/0002/R1</t>
  </si>
  <si>
    <t>COPIAPO RENOVABLES S.L - B55455737</t>
  </si>
  <si>
    <t>2025/RQAF/1386/0016</t>
  </si>
  <si>
    <t>2024/RQAF/1237/0009/SUP1</t>
  </si>
  <si>
    <t>DEI HOMES SL. - B93603124</t>
  </si>
  <si>
    <t>Amura 21 Correduría de Seguros S.L. - B87516878</t>
  </si>
  <si>
    <t>2024/RQAF/1237/0008/SUP1</t>
  </si>
  <si>
    <t>2024/RQAF/1260/0044</t>
  </si>
  <si>
    <t>INVERCHULLERA GESTION, S.L. - B19319219</t>
  </si>
  <si>
    <t>2024/RQAF/1260/0045</t>
  </si>
  <si>
    <t>2022/RQLC/0978/0006</t>
  </si>
  <si>
    <t>2024/RQAF/1205/0027</t>
  </si>
  <si>
    <t>2025/RQLC/1405/0001</t>
  </si>
  <si>
    <t>GLOBAL TEKTIA SOCIEDAD LIMITADA. - B39469168</t>
  </si>
  <si>
    <t>Private</t>
  </si>
  <si>
    <t>2022/RQAF/0934/0001/SUP3</t>
  </si>
  <si>
    <t>QIP MEDITERRANEO HOME PROJECTS SL. - B42580613</t>
  </si>
  <si>
    <t>2022/RQAF/0934/0002/SUP2</t>
  </si>
  <si>
    <t>2022/RQAF/0934/0003/SUP3</t>
  </si>
  <si>
    <t>2022/RQAF/0934/0004/SUP2</t>
  </si>
  <si>
    <t>2022/RQAF/0934/0005/SUP2</t>
  </si>
  <si>
    <t>2022/RQAF/0934/0006/SUP2</t>
  </si>
  <si>
    <t>2022/RQAF/0934/0007/SUP2</t>
  </si>
  <si>
    <t>2022/RQAF/0934/0008/SUP2</t>
  </si>
  <si>
    <t>2022/RQAF/0934/0010/SUP2</t>
  </si>
  <si>
    <t>2022/RQAF/0934/0011/SUP2</t>
  </si>
  <si>
    <t>2022/RQAF/0934/0012/SUP2</t>
  </si>
  <si>
    <t>2022/RQAF/0934/0013/SUP2</t>
  </si>
  <si>
    <t>2022/RQAF/0934/0014/SUP2</t>
  </si>
  <si>
    <t>2022/RQAF/0934/0015/SUP3</t>
  </si>
  <si>
    <t>2022/RQAF/0934/0016/SUP2</t>
  </si>
  <si>
    <t>2022/RQAF/0934/0017/SUP2</t>
  </si>
  <si>
    <t>2022/RQAF/0934/0018/SUP3</t>
  </si>
  <si>
    <t>2022/RQAF/0934/0019/SUP2</t>
  </si>
  <si>
    <t>2022/RQAF/0934/0020/SUP2</t>
  </si>
  <si>
    <t>2022/RQAF/0934/0021/SUP2</t>
  </si>
  <si>
    <t>2022/RQAF/0934/0023/SUP2</t>
  </si>
  <si>
    <t>2022/RQAF/0934/0024/SUP2</t>
  </si>
  <si>
    <t>2022/RQAF/0934/0026/SUP2</t>
  </si>
  <si>
    <t>2022/RQAF/0934/0027/SUP2</t>
  </si>
  <si>
    <t>2022/RQAF/0934/0028/SUP2</t>
  </si>
  <si>
    <t>2022/RQAF/0934/0029/SUP2</t>
  </si>
  <si>
    <t>2022/RQAF/0934/0030/SUP2</t>
  </si>
  <si>
    <t>2022/RQAF/0934/0032/SUP3</t>
  </si>
  <si>
    <t>2022/RQAF/0934/0033/SUP2</t>
  </si>
  <si>
    <t>2022/RQAF/0934/0034/SUP2</t>
  </si>
  <si>
    <t>2022/RQAF/0934/0035/SUP2</t>
  </si>
  <si>
    <t>2022/RQAF/0934/0036/SUP2</t>
  </si>
  <si>
    <t>2022/RQAF/0934/0037/SUP2</t>
  </si>
  <si>
    <t>2022/RQAF/0934/0038/SUP2</t>
  </si>
  <si>
    <t>2022/RQAF/0934/0039/SUP2</t>
  </si>
  <si>
    <t>2022/RQAF/0934/0040/SUP2</t>
  </si>
  <si>
    <t>2022/RQAF/0934/0041/SUP2</t>
  </si>
  <si>
    <t>2022/RQAF/0934/0043/SUP2</t>
  </si>
  <si>
    <t>2022/RQAF/0934/0044/SUP2</t>
  </si>
  <si>
    <t>2022/RQAF/0934/0045/SUP2</t>
  </si>
  <si>
    <t>2022/RQAF/0934/0047/SUP2</t>
  </si>
  <si>
    <t>2022/RQAF/0934/0048/SUP2</t>
  </si>
  <si>
    <t>2022/RQAF/0934/0049/SUP2</t>
  </si>
  <si>
    <t>2022/RQAF/0934/0050/SUP2</t>
  </si>
  <si>
    <t>2022/RQAF/0934/0051/SUP2</t>
  </si>
  <si>
    <t>2022/RQAF/0934/0056/SUP1</t>
  </si>
  <si>
    <t>2025/RQLC/1406/0001</t>
  </si>
  <si>
    <t>CENTRO SUPERIOR DE FORMACION EUROPA-SUR SA - A92194844</t>
  </si>
  <si>
    <t>2024/RQAF/1237/0007/SUP1</t>
  </si>
  <si>
    <t>2024/RQAF/1237/0010/SUP1</t>
  </si>
  <si>
    <t>2025/RQLC/1364/0005</t>
  </si>
  <si>
    <t>LIROLA INGENIERIA Y OBRAS SOCIEDAD LIMITADA - B04683124</t>
  </si>
  <si>
    <t>2026/RQLC/1410/0001</t>
  </si>
  <si>
    <t>2026/RQLC/1411/0001</t>
  </si>
  <si>
    <t>2026/RQLC/1412/0001</t>
  </si>
  <si>
    <t>2018/RQLC/0067/0005/R7</t>
  </si>
  <si>
    <t>INDUSLAND &amp; LOGISTIC AREA SL. - B86381282</t>
  </si>
  <si>
    <t>2018/RQLC/0153/0001/R7</t>
  </si>
  <si>
    <t>NOWAIN EMPRESA DE TRABAJO TEMPORAL SL - B66234881</t>
  </si>
  <si>
    <t>2018/RQLC/0177/0001/R7</t>
  </si>
  <si>
    <t>EV CARGO GLOBAL FORWARDING S.L. - B63446116</t>
  </si>
  <si>
    <t>IBERSEGUROS Correduría de Seguros S.A. - A28908754</t>
  </si>
  <si>
    <t>2018/RQLC/0019/0002/R7</t>
  </si>
  <si>
    <t>ACTUA, SERVICIOS Y MEDIO AMBIENTE, SL. - B73727349</t>
  </si>
  <si>
    <t>2019/RQLC/0191/0001/R7</t>
  </si>
  <si>
    <t>ITEL INVESTMENT SL - B88244058</t>
  </si>
  <si>
    <t>2019/RQLC/0195/0001/R7</t>
  </si>
  <si>
    <t>AGIO TT GESTORES DE EMPLEO EMPRESA DE TRABAJO TEMPORAL  - A80800451</t>
  </si>
  <si>
    <t>LARREA BROKER SL. - B86593530</t>
  </si>
  <si>
    <t>2019/RQLC/0510/0001/R6</t>
  </si>
  <si>
    <t>TRANSISTS MARITIMS SL - B98077829</t>
  </si>
  <si>
    <t>2019/RQLC/0218/0017/R6</t>
  </si>
  <si>
    <t>CINAR POLIGONAL SL - B99106494</t>
  </si>
  <si>
    <t>2018/RQLC/0095/0005/R6</t>
  </si>
  <si>
    <t>LLOPIS SERVICIOS AMBIENTALES SL. - B41491739</t>
  </si>
  <si>
    <t>2021/RQLC/0910/0012/R4</t>
  </si>
  <si>
    <t>IGNIS DESARROLLO S.L. - B87973327</t>
  </si>
  <si>
    <t>AON IBERIA CORREDURIA DE SEGUROS Y REASEGUROS SOCIEDAD ANONIMA - A28109247</t>
  </si>
  <si>
    <t>2021/RQLC/0910/0011/R4</t>
  </si>
  <si>
    <t>2021/RQLC/0910/0009/R4</t>
  </si>
  <si>
    <t>2021/RQLC/0910/0008/R4</t>
  </si>
  <si>
    <t>2021/RQLC/0910/0006/R4</t>
  </si>
  <si>
    <t>2021/RQLC/0910/0005/R4</t>
  </si>
  <si>
    <t>2021/RQLC/0910/0003/R4</t>
  </si>
  <si>
    <t>2021/RQLC/0910/0002/R4</t>
  </si>
  <si>
    <t>2019/RQLC/0429/0002/R4</t>
  </si>
  <si>
    <t>AS BUREAU ADUANAS Y SERVICIOS SL. - B66407248</t>
  </si>
  <si>
    <t>2019/RQLC/0241/0003/R4</t>
  </si>
  <si>
    <t>KURTUBA SOLAR SL. - B56110190</t>
  </si>
  <si>
    <t>2022/RQLC/1013/0001/R3</t>
  </si>
  <si>
    <t>GESTION DE LOGISTICA Y ADUANAS SOCIEDAD LIMITADA. - B06793079</t>
  </si>
  <si>
    <t>ACT ACrediT Broker Correduría de Seguros SL - B86797198</t>
  </si>
  <si>
    <t>2021/RQLC/0720/0013/R3</t>
  </si>
  <si>
    <t>DAVEL FORMACIÓN Y CONSULTORÍA EN PRVENCIÓ DE RIESGOS LABORALES S.L. - B73531139</t>
  </si>
  <si>
    <t>2022/RQLC/0950/0009/R3</t>
  </si>
  <si>
    <t>2021/RQLC/0849/0004/R2</t>
  </si>
  <si>
    <t>CALA LLARGA SL - B97733299</t>
  </si>
  <si>
    <t>ASEFILCO MEDIACION SL - B98302425</t>
  </si>
  <si>
    <t>2024/RQLC/1159/0001/R2</t>
  </si>
  <si>
    <t>BIOETANOL GALICIA SA - A36822146</t>
  </si>
  <si>
    <t>2024/RQLC/1287/0001/R1</t>
  </si>
  <si>
    <t>ONE EDEN ROYAL PALMS SL. - B93463164</t>
  </si>
  <si>
    <t>2025/RQLC/1290/0001/R1</t>
  </si>
  <si>
    <t>IGNIS DATA SIGMA SL. - B16455636</t>
  </si>
  <si>
    <t>2025/RQLC/1291/0001/R1</t>
  </si>
  <si>
    <t>INGENIO DESDE EL AIRE SOCIEDAD LIMITADA. - B99505810</t>
  </si>
  <si>
    <t>2024/RQLC/1282/0001/R1</t>
  </si>
  <si>
    <t>MEDANO INGENIEROS SL - B38950929</t>
  </si>
  <si>
    <t>2024/RQAF/1260/0046</t>
  </si>
  <si>
    <t>2024/RQAF/1260/0047</t>
  </si>
  <si>
    <t>2024/RQAF/1260/0048</t>
  </si>
  <si>
    <t>2025/RQLC/1317/0002</t>
  </si>
  <si>
    <t>CONSTRUCCIONES Y PROMOCIONES PABEGOM S.L. - B73402075</t>
  </si>
  <si>
    <t>2025/RQLC/1384/0001</t>
  </si>
  <si>
    <t>BCM GESTION DE SERVICIOS SL - B29831112</t>
  </si>
  <si>
    <t>2018/RQLC/0048/0015/R7</t>
  </si>
  <si>
    <t>PROYECTOS Y MONTAJES INGEMONT SA-A91614263</t>
  </si>
  <si>
    <t>ORES</t>
  </si>
  <si>
    <t>Impagado</t>
  </si>
  <si>
    <t>2022/RQLC/0989/0014/R2</t>
  </si>
  <si>
    <t>GRANATA GREEN FV I, S.L.-B67824078</t>
  </si>
  <si>
    <t>WILLIS</t>
  </si>
  <si>
    <t>2018/RQLC/0048/0016/R7</t>
  </si>
  <si>
    <t>2021/RQLC/0892/0003/R4</t>
  </si>
  <si>
    <t>HAZAPIERNA EL CASTILLAR-B88472600</t>
  </si>
  <si>
    <t>RASHER</t>
  </si>
  <si>
    <t>2019/RQLC/0280/0006/R6</t>
  </si>
  <si>
    <t>GCL CASTILLA FOTOVOLTAICA ENERGÍA SL-B88288170</t>
  </si>
  <si>
    <t>2019/RQLC/0458/0054/R2</t>
  </si>
  <si>
    <t>ATHISA MEDIO AMBIENTE, S.A.U.-A18485516</t>
  </si>
  <si>
    <t>2021/RQLC/0901/0003/R4</t>
  </si>
  <si>
    <t>LA ENCANTADA LA RAMBLA-B01635606</t>
  </si>
  <si>
    <t>2022/RQLC/1008/0010/R1</t>
  </si>
  <si>
    <t>WESTOVER CORPORATE GROUP SL.-B05334966</t>
  </si>
  <si>
    <t>AON</t>
  </si>
  <si>
    <t>2018/RQLC/0175/0001/R7</t>
  </si>
  <si>
    <t>VIDEOJUEGOS SL-B59091108</t>
  </si>
  <si>
    <t>DIAGONAL</t>
  </si>
  <si>
    <t>2019/RQLC/0458/0053/R2</t>
  </si>
  <si>
    <t>2021/RQLC/0892/0002/R4</t>
  </si>
  <si>
    <t>2021/RQLC/0900/0002/R4</t>
  </si>
  <si>
    <t>LEO PEREGILES-B01623198</t>
  </si>
  <si>
    <t>2019/RQLC/0458/0052/R2</t>
  </si>
  <si>
    <t>2025/RQLC/1292/0001/R1</t>
  </si>
  <si>
    <t>CONSTRUCCIONES APLIBUR SL.-B09588740</t>
  </si>
  <si>
    <t>2021/RQLC/0901/0004/R4</t>
  </si>
  <si>
    <t>2021/RQLC/0901/0002/R4</t>
  </si>
  <si>
    <t>2021/RQLC/0894/0003/R4</t>
  </si>
  <si>
    <t>LAUSIA MAREAS I-B01584143</t>
  </si>
  <si>
    <t>2021/RQLC/0898/0003/R4</t>
  </si>
  <si>
    <t>CASSIOPEA LANTUENO-B88645056</t>
  </si>
  <si>
    <t>2021/RQLC/0891/0002/R4</t>
  </si>
  <si>
    <t>LA RASA ENERGY SLU-B74451436</t>
  </si>
  <si>
    <t>2024/RQLC/1170/0010/R1</t>
  </si>
  <si>
    <t>MODUS SOLAR SPAIN SL.-B87781449</t>
  </si>
  <si>
    <t>2021/RQLC/0897/0002/R4</t>
  </si>
  <si>
    <t>BRAÑADESELLA PRADERAS ALTAS-B88632302</t>
  </si>
  <si>
    <t>2021/RQLC/0893/0003/R4</t>
  </si>
  <si>
    <t>TURKANA PEDRECHA-B88504741</t>
  </si>
  <si>
    <t>2021/RQLC/0893/0002/R4</t>
  </si>
  <si>
    <t>2021/RQLC/0899/0003/R4</t>
  </si>
  <si>
    <t>PICO LIEBRES CABEZUELAS-B01623206</t>
  </si>
  <si>
    <t>2021/RQLC/0894/0002/R4</t>
  </si>
  <si>
    <t>2019/RQLC/0209/0001/R7</t>
  </si>
  <si>
    <t>HERYSAN 2007 SL-B92861152</t>
  </si>
  <si>
    <t>2018/RQLC/0146/0001/R7</t>
  </si>
  <si>
    <t>FEDERMAN GLOBAL WORK ETT-A64778061</t>
  </si>
  <si>
    <t>2021/RQLC/0899/0002/R4</t>
  </si>
  <si>
    <t>2020/RQLC/0514/0001/R6</t>
  </si>
  <si>
    <t>ACCEDA SERVICIOS Y SOLUCIONES INTEGRALES SL.-B90226671</t>
  </si>
  <si>
    <t>ii-BROKER</t>
  </si>
  <si>
    <t>2021/RQLC/0891/0003/R4</t>
  </si>
  <si>
    <t>2018/RQLC/0051/0002/R7</t>
  </si>
  <si>
    <t>MERSANT VIGILANCIA SOCIEDAD LIMITADA.-B90229790</t>
  </si>
  <si>
    <t>2022/RQLC/1008/0011/R1</t>
  </si>
  <si>
    <t>2021/RQLC/0900/0003/R4</t>
  </si>
  <si>
    <t>2021/RQLC/0891/0005/R4</t>
  </si>
  <si>
    <t>2021/RQLC/0895/0002/R4</t>
  </si>
  <si>
    <t>LA HERRADA MAREAS II-B88624754</t>
  </si>
  <si>
    <t>2021/RQLC/0895/0003/R4</t>
  </si>
  <si>
    <t>2021/RQLC/0896/0003/R4</t>
  </si>
  <si>
    <t>PINAREJO I SAN CRISTÓBAL-B88627658</t>
  </si>
  <si>
    <t>2021/RQLC/0891/0006/R4</t>
  </si>
  <si>
    <t>2021/RQLC/0897/0003/R4</t>
  </si>
  <si>
    <t>2021/RQLC/0899/0004/R4</t>
  </si>
  <si>
    <t>2021/RQLC/0896/0002/R4</t>
  </si>
  <si>
    <t>2021/RQLC/0898/0002/R4</t>
  </si>
  <si>
    <t>2021/RQLC/0768/0002/R1</t>
  </si>
  <si>
    <t>CONSTRUCCIONES GOVASUR INGENIEROS ASOCIADOS SL. - B93384626</t>
  </si>
  <si>
    <t>2021/RQLC/0900/0003/R3</t>
  </si>
  <si>
    <t>LEO PEREGILES - B01623198</t>
  </si>
  <si>
    <t>2021/RQLC/0900/0002/R3</t>
  </si>
  <si>
    <t>2021/RQLC/0899/0004/R3</t>
  </si>
  <si>
    <t>PICO LIEBRES CABEZUELAS - B01623206</t>
  </si>
  <si>
    <t>2021/RQLC/0898/0003/R3</t>
  </si>
  <si>
    <t>CASSIOPEA LANTUENO - B88645056</t>
  </si>
  <si>
    <t>2021/RQLC/0898/0002/R3</t>
  </si>
  <si>
    <t>2021/RQLC/0897/0003/R3</t>
  </si>
  <si>
    <t>BRAÑADESELLA PRADERAS ALTAS - B88632302</t>
  </si>
  <si>
    <t>2021/RQLC/0897/0002/R3</t>
  </si>
  <si>
    <t>2021/RQLC/0896/0003/R3</t>
  </si>
  <si>
    <t>PINAREJO I SAN CRISTÓBAL - B88627658</t>
  </si>
  <si>
    <t>2021/RQLC/0896/0002/R3</t>
  </si>
  <si>
    <t>2021/RQLC/0895/0003/R3</t>
  </si>
  <si>
    <t>LA HERRADA MAREAS II - B88624754</t>
  </si>
  <si>
    <t>2021/RQLC/0895/0002/R3</t>
  </si>
  <si>
    <t>2021/RQLC/0891/0006/R3</t>
  </si>
  <si>
    <t>LA RASA ENERGY SLU - B74451436</t>
  </si>
  <si>
    <t>2021/RQLC/0891/0005/R3</t>
  </si>
  <si>
    <t>2021/RQLC/0722/0002/R4</t>
  </si>
  <si>
    <t>CAPITAL ENERGY SLU - B83410183</t>
  </si>
  <si>
    <t>2021/RQLC/0722/0001/R4</t>
  </si>
  <si>
    <t>2018/RQLC/0180/0005/R6</t>
  </si>
  <si>
    <t>OLIVIA CARBURANTES S.L. - B72359573</t>
  </si>
  <si>
    <t>HOWDEN RISK SOLUTIONS SA - A28098382</t>
  </si>
  <si>
    <t>2019/RQLC/0326/0036/R2</t>
  </si>
  <si>
    <t>DURALIA INVESTMENTS, S.L. - B88378997</t>
  </si>
  <si>
    <t>2025/RQLC/1403/0001</t>
  </si>
  <si>
    <t>ASYOTA ASFALTOS Y OBRAS SL. - B38420121</t>
  </si>
  <si>
    <t>2019/RQLC/0458/0051/R2</t>
  </si>
  <si>
    <t>2024/RQLC/1206/0002/R1</t>
  </si>
  <si>
    <t>FRESNO SOSTENIBLE, S.L.  - B67959338</t>
  </si>
  <si>
    <t>2024/RQLC/1206/0001/R1</t>
  </si>
  <si>
    <t>2024/RQLC/1206/0006/R1</t>
  </si>
  <si>
    <t>GABRIEL ENERGÍA, S.L.  - B01591395</t>
  </si>
  <si>
    <t>2024/RQLC/1206/0004/R1</t>
  </si>
  <si>
    <t>TALES SOSTENIBLE, S.L.  - B42919464</t>
  </si>
  <si>
    <t>2024/RQLC/1206/0005/R1</t>
  </si>
  <si>
    <t>2024/RQLC/1206/0003/R1</t>
  </si>
  <si>
    <t>2024/RQLC/1270/0001/R1</t>
  </si>
  <si>
    <t>BESIDE DESARROLLO 1 S.L. - B05544069</t>
  </si>
  <si>
    <t>2023/RQAF/1150/0055/SUP1</t>
  </si>
  <si>
    <t>2023/RQAF/1027/0001/SUP4</t>
  </si>
  <si>
    <t>LA FINCA DE JASMINE SL. - B93714822</t>
  </si>
  <si>
    <t>2023/RQAF/1027/0002/SUP3</t>
  </si>
  <si>
    <t>2023/RQAF/1027/0003/SUP3</t>
  </si>
  <si>
    <t>2023/RQAF/1027/0004/SUP3</t>
  </si>
  <si>
    <t>2023/RQAF/1027/0005/SUP3</t>
  </si>
  <si>
    <t>2023/RQAF/1027/0006/SUP4</t>
  </si>
  <si>
    <t>2023/RQAF/1027/0007/SUP3</t>
  </si>
  <si>
    <t>2023/RQAF/1027/0008/SUP3</t>
  </si>
  <si>
    <t>2023/RQAF/1027/0009/SUP3</t>
  </si>
  <si>
    <t>2023/RQAF/1027/0010/SUP3</t>
  </si>
  <si>
    <t>2023/RQAF/1027/0011/SUP4</t>
  </si>
  <si>
    <t>2023/RQAF/1027/0012/SUP4</t>
  </si>
  <si>
    <t>2023/RQAF/1027/0013/SUP3</t>
  </si>
  <si>
    <t>2023/RQAF/1027/0014/SUP3</t>
  </si>
  <si>
    <t>2023/RQAF/1027/0015/SUP3</t>
  </si>
  <si>
    <t>2023/RQAF/1027/0016/SUP4</t>
  </si>
  <si>
    <t>2023/RQAF/1027/0017/SUP4</t>
  </si>
  <si>
    <t>2023/RQAF/1027/0018/SUP4</t>
  </si>
  <si>
    <t>2023/RQAF/1027/0019/SUP3</t>
  </si>
  <si>
    <t>2023/RQAF/1150/0013/SUP1</t>
  </si>
  <si>
    <t>2023/RQAF/1150/0014/SUP1</t>
  </si>
  <si>
    <t>2023/RQAF/1150/0015/SUP1</t>
  </si>
  <si>
    <t>2023/RQAF/1150/0016/SUP1</t>
  </si>
  <si>
    <t>2023/RQAF/1150/0056/SUP1</t>
  </si>
  <si>
    <t>2023/RQAF/1150/0076/SUP1</t>
  </si>
  <si>
    <t>2023/RQAF/1150/0057</t>
  </si>
  <si>
    <t>ONE EDEN SERENITY SL. - B93725497</t>
  </si>
  <si>
    <t>2023/RQAF/1055/0001/SUP3</t>
  </si>
  <si>
    <t>LES TERRASSES VALLDEMOSSA SL. - B16664906</t>
  </si>
  <si>
    <t>2022/RQAF/1009/0103/SUP3</t>
  </si>
  <si>
    <t>ONE EDEN INFINITY 2020 SL. - b93725414</t>
  </si>
  <si>
    <t>CONSTRUCCIONES APLIBUR SL. - B09588740</t>
  </si>
  <si>
    <t>2020/RQLC/0583/0001/R5/EXT1</t>
  </si>
  <si>
    <t>SOLAR PLANT ARERICSOL I SL - B26549931</t>
  </si>
  <si>
    <t>2026/RQLC/1415/0002</t>
  </si>
  <si>
    <t>FEDEZU DEVELOPMENT III SL. - B88181300</t>
  </si>
  <si>
    <t>2026/RQLC/1415/0001</t>
  </si>
  <si>
    <t>2026/RQLC/1414/0001</t>
  </si>
  <si>
    <t>GAMES SPAIN OPERATIONS SOCIEDAD ANONIMA. - A01739457</t>
  </si>
  <si>
    <t>2021/RQLC/0715/0003</t>
  </si>
  <si>
    <t>GAMESYS SPAIN SOCIEDAD ANONIMA. - A01739143</t>
  </si>
  <si>
    <t>2026/RQLC/1417/0001</t>
  </si>
  <si>
    <t>EDNON SL - B36938009</t>
  </si>
  <si>
    <t>2020/RQLC/0574/0019/R4/EXT1</t>
  </si>
  <si>
    <t>HUMILLADERO HIVE S.L. - B42519991</t>
  </si>
  <si>
    <t>2020/RQLC/0574/0037/R3/EXT1</t>
  </si>
  <si>
    <t>MAGASQUILLA HIVE, S.L.  - B42568170</t>
  </si>
  <si>
    <t>2025/RQLC/1314/0001</t>
  </si>
  <si>
    <t>IBERALCOHOL SL - B86084977</t>
  </si>
  <si>
    <t>BMS Mediación Iberia Correduría de Seguros y Reaseguros, S.L.U. - B88053186</t>
  </si>
  <si>
    <t>2025/RQLC/1403/0002</t>
  </si>
  <si>
    <t>2024/RQAF/1203/0017/EXT1</t>
  </si>
  <si>
    <t>ABAUCO NERVION SL. - B56479686</t>
  </si>
  <si>
    <t>2024/RQAF/1203/0014/EXT1</t>
  </si>
  <si>
    <t>2024/RQAF/1203/0001/EXT1</t>
  </si>
  <si>
    <t>2024/RQAF/1203/0008/EXT1</t>
  </si>
  <si>
    <t>2024/RQAF/1203/0003/EXT1</t>
  </si>
  <si>
    <t>2024/RQAF/1203/0004/EXT1</t>
  </si>
  <si>
    <t>2024/RQAF/1203/0012/EXT1</t>
  </si>
  <si>
    <t>2024/RQAF/1203/0015/EXT1</t>
  </si>
  <si>
    <t>2024/RQAF/1203/0016/EXT1</t>
  </si>
  <si>
    <t>2024/RQAF/1203/0002/REG1</t>
  </si>
  <si>
    <t>2024/RQAF/1203/0007/REG1</t>
  </si>
  <si>
    <t>2024/RQAF/1203/0018/REG1</t>
  </si>
  <si>
    <t>2024/RQAF/1203/0009/EXT1</t>
  </si>
  <si>
    <t>2024/RQAF/1237/0012</t>
  </si>
  <si>
    <t>2024/RQAF/1237/0004/SUP1</t>
  </si>
  <si>
    <t>2024/RQAF/1260/0049</t>
  </si>
  <si>
    <t>2024/RQAF/1260/0050</t>
  </si>
  <si>
    <t>2026/RQLC/1420/0001</t>
  </si>
  <si>
    <t>SONORA POWER SL. - B44616787</t>
  </si>
  <si>
    <t>2024/RQLC/1216/0005/R1/EXT1</t>
  </si>
  <si>
    <t>IRADI ENERGIA S.L. - B56662760</t>
  </si>
  <si>
    <t>2024/RQAF/1260/0052</t>
  </si>
  <si>
    <t>2024/RQAF/1260/0051</t>
  </si>
  <si>
    <t>2026/RQLC/1422/0001</t>
  </si>
  <si>
    <t>DESARROLLO RENOVABLE MAHOGANY SL. - B88081336</t>
  </si>
  <si>
    <t>2019/RQLC/0202/0001/R7</t>
  </si>
  <si>
    <t>ANALISIS DE METALES AMPCOR SL - B14805501</t>
  </si>
  <si>
    <t>2018/RQLC/0029/0004/R7</t>
  </si>
  <si>
    <t>TEMPORAL QUALITY ETT SL - B60732047</t>
  </si>
  <si>
    <t>2018/RQLC/0029/0003/R7</t>
  </si>
  <si>
    <t>2019/RQLC/0189/0002/R7</t>
  </si>
  <si>
    <t>IMAN TEMPORING EMPRESA DE TRABAJO TEMPOR - B60336989</t>
  </si>
  <si>
    <t>2019/RQLC/0189/0001/R7</t>
  </si>
  <si>
    <t>2018/RQLC/0061/0005/R7</t>
  </si>
  <si>
    <t>STV GESTION SL - B30365712</t>
  </si>
  <si>
    <t>2018/RQLC/0161/0002/R7</t>
  </si>
  <si>
    <t>CAMPUSPORT SL - B41814153</t>
  </si>
  <si>
    <t>2019/RQLC/0207/0001/R7</t>
  </si>
  <si>
    <t>DESARROLLOS SOVEFIN 16 SL - B88040183</t>
  </si>
  <si>
    <t>INTERNACIONAL INSURANCE BROKER SA CORREDURIA DE SEGUROS - A79325957</t>
  </si>
  <si>
    <t>2019/RQLC/0231/0001/R7</t>
  </si>
  <si>
    <t>AGRO SURESTE EMPLEO ETT S.L. - B05500939</t>
  </si>
  <si>
    <t>2019/RQLC/0242/0001/R7</t>
  </si>
  <si>
    <t>GRANIOREGA SL - B32262867</t>
  </si>
  <si>
    <t>2020/RQLC/0535/0002/R6</t>
  </si>
  <si>
    <t>MEDALLON SOLAR SL - B88246038</t>
  </si>
  <si>
    <t>2019/RQLC/0242/0003/R6</t>
  </si>
  <si>
    <t>2019/RQLC/0335/0004/R6</t>
  </si>
  <si>
    <t>ALFANAR ENERGIA ESPAÑA SL. - B87910394</t>
  </si>
  <si>
    <t>B.V.C ARTAI CORREDURIA DE SEGUROS, S.A.  - A36768257</t>
  </si>
  <si>
    <t>2019/RQLC/0233/0007/R6</t>
  </si>
  <si>
    <t>FERSITEC PROYECTOS Y TECNOLOGIAS SLL. - B73927022</t>
  </si>
  <si>
    <t>2019/RQLC/0251/0003/R6</t>
  </si>
  <si>
    <t>WAKEFUL SEGURETAT SL - B67293985</t>
  </si>
  <si>
    <t>2021/RQLC/0708/0001/R5</t>
  </si>
  <si>
    <t>ALAMILLO DE DORAMAS, S.L. - B70510847</t>
  </si>
  <si>
    <t>2021/RQLC/0714/0001/R5</t>
  </si>
  <si>
    <t>2021/RQLC/0709/0001/R5</t>
  </si>
  <si>
    <t>CONTROL SEGURIDAD Y DOMOTICA SL - B47650114</t>
  </si>
  <si>
    <t>BONDING BROKERS SL - B01824697</t>
  </si>
  <si>
    <t>2021/RQLC/0727/0002/R5</t>
  </si>
  <si>
    <t>EOLICA DE MEDINACELI SL - B82186925</t>
  </si>
  <si>
    <t>2021/RQLC/0727/0001/R5</t>
  </si>
  <si>
    <t>2021/RQLC/0715/0002/R4</t>
  </si>
  <si>
    <t>2022/RQLC/0921/0001/R4</t>
  </si>
  <si>
    <t>TERSAQUA INGENIERIA Y TRATAMIENTO DE AGUAS SL. - B90065640</t>
  </si>
  <si>
    <t>2024/RQLC/1166/0001/R2</t>
  </si>
  <si>
    <t>INTERSOLAR DMA SL. - B16935033</t>
  </si>
  <si>
    <t>2019/RQLC/0213/0011/R2</t>
  </si>
  <si>
    <t>SALZILLO SERVICIOS INTEGRALES SL. - B73589814</t>
  </si>
  <si>
    <t>2024/RQLC/1172/0002/R2</t>
  </si>
  <si>
    <t>2024/RQLC/1172/0001/R2</t>
  </si>
  <si>
    <t>2023/RQLC/1155/0001/R2</t>
  </si>
  <si>
    <t>NOVATION SECURITY SYSTEMS S.L. - B87209680</t>
  </si>
  <si>
    <t>2021/RQLC/0739/0006/R2</t>
  </si>
  <si>
    <t>DOC 2001 SL - B91106393</t>
  </si>
  <si>
    <t>2021/RQLC/0739/0005/R2</t>
  </si>
  <si>
    <t>2024/RQAF/1220/0006</t>
  </si>
  <si>
    <t>TAYLOR WIMPEY DE ESPAÑA SA - A07248206</t>
  </si>
  <si>
    <t>FU/D90/0000175</t>
  </si>
  <si>
    <t>JUAN FRANCISCO DÍAZ GALLEGO-23237228Y</t>
  </si>
  <si>
    <t>CYC MEDIADORES DE SEGUROS TÉCNICOS, S.L.-B93495729</t>
  </si>
  <si>
    <t>2018/RQLC/0006/0002/R4</t>
  </si>
  <si>
    <t>BIOTEC ENERGIAS RENOVABLES SL-B02546802</t>
  </si>
  <si>
    <t>HOWDEN</t>
  </si>
  <si>
    <t>2018/RQLC/0006/0005/R4</t>
  </si>
  <si>
    <t>2018/RQLC/0006/0006/R4</t>
  </si>
  <si>
    <t>2018/RQLC/0015/0001/R5</t>
  </si>
  <si>
    <t>OHLIMPIA GLOBAL TALENT ETT, SOCIEDAD LIMITADA.-B76288836</t>
  </si>
  <si>
    <t>2018/RQLC/0015/0001/R6</t>
  </si>
  <si>
    <t>2018/RQLC/0027/0001/R5</t>
  </si>
  <si>
    <t>AVANZA SOLUTIONS &amp; PROJETS S.L.-B14200562</t>
  </si>
  <si>
    <t>2018/RQLC/0027/0001/R6</t>
  </si>
  <si>
    <t>2018/RQLC/0048/0015/R5</t>
  </si>
  <si>
    <t>2018/RQLC/0048/0018/R5</t>
  </si>
  <si>
    <t>2018/RQLC/0048/0026/R4</t>
  </si>
  <si>
    <t>2018/RQLC/0048/0028/R4</t>
  </si>
  <si>
    <t>2018/RQLC/0048/0021/R5</t>
  </si>
  <si>
    <t>2018/RQLC/0048/0027/R4</t>
  </si>
  <si>
    <t>2018/RQLC/0048/0019/R5</t>
  </si>
  <si>
    <t>2018/RQLC/0048/0023/R5</t>
  </si>
  <si>
    <t>2018/RQLC/0048/0020/R5</t>
  </si>
  <si>
    <t>2018/RQLC/0048/0016/R5</t>
  </si>
  <si>
    <t>2018/RQLC/0048/0025/R4</t>
  </si>
  <si>
    <t>2018/RQLC/0048/0001/R6</t>
  </si>
  <si>
    <t>2018/RQLC/0048/0017/R5</t>
  </si>
  <si>
    <t>2018/RQLC/0059/0001/R3</t>
  </si>
  <si>
    <t>ESPACIOS INTEGRALES EUROVIP SL.-B87737573</t>
  </si>
  <si>
    <t>VIAFINA</t>
  </si>
  <si>
    <t>2018/RQLC/0059/0002/R3</t>
  </si>
  <si>
    <t>2018/RQLC/0051/0003/R4</t>
  </si>
  <si>
    <t>2018/RQLC/0051/0003/R5</t>
  </si>
  <si>
    <t>2018/RQLC/0048/0038/R4</t>
  </si>
  <si>
    <t>2018/RQLC/0051/0004/R4</t>
  </si>
  <si>
    <t>2018/RQLC/0051/0004/R5</t>
  </si>
  <si>
    <t>2018/RQLC/0048/0029/R4</t>
  </si>
  <si>
    <t>2018/RQLC/0048/0039/R4</t>
  </si>
  <si>
    <t>2018/RQLC/0051/0001/R4</t>
  </si>
  <si>
    <t>2018/RQLC/0051/0001/R5</t>
  </si>
  <si>
    <t>2018/RQLC/0051/0005/R2</t>
  </si>
  <si>
    <t>2018/RQLC/0051/0005/R3</t>
  </si>
  <si>
    <t>2018/RQLC/0048/0030/R4</t>
  </si>
  <si>
    <t>2018/RQLC/0048/0040/R4</t>
  </si>
  <si>
    <t>2018/RQLC/0051/0005/R4</t>
  </si>
  <si>
    <t>2018/RQLC/0051/0002/R3</t>
  </si>
  <si>
    <t>2018/RQLC/0051/0002/R4</t>
  </si>
  <si>
    <t>2018/RQLC/0051/0002/R5</t>
  </si>
  <si>
    <t>2018/RQLC/0048/0031/R4</t>
  </si>
  <si>
    <t>2018/RQLC/0048/0041/R4</t>
  </si>
  <si>
    <t>2018/RQLC/0065/0001/R3</t>
  </si>
  <si>
    <t>VEGA OIL ESTACIONES SL-B56079775</t>
  </si>
  <si>
    <t>2018/RQLC/0065/0001/R4</t>
  </si>
  <si>
    <t>2018/RQLC/0065/0001/R5</t>
  </si>
  <si>
    <t>2018/RQLC/0065/0001/R2</t>
  </si>
  <si>
    <t>2018/RQLC/0110/0002/R1</t>
  </si>
  <si>
    <t>TEMPO FACILITY SERVICES SL.-B66226234</t>
  </si>
  <si>
    <t>2018/RQLC/0110/0002/R2</t>
  </si>
  <si>
    <t>2018/RQLC/0110/0011/R1</t>
  </si>
  <si>
    <t>2018/RQLC/0110/0002/R3</t>
  </si>
  <si>
    <t>2018/RQLC/0110/0003/R1</t>
  </si>
  <si>
    <t>2018/RQLC/0110/0003/R2</t>
  </si>
  <si>
    <t>2018/RQLC/0110/0011/R2</t>
  </si>
  <si>
    <t>2018/RQLC/0110/0011/R3</t>
  </si>
  <si>
    <t>2018/RQLC/0110/0003/R3</t>
  </si>
  <si>
    <t>2018/RQLC/0110/0012/R1</t>
  </si>
  <si>
    <t>2018/RQLC/0110/0004/R1</t>
  </si>
  <si>
    <t>2018/RQLC/0110/0004/R2</t>
  </si>
  <si>
    <t>2018/RQLC/0110/0012/R2</t>
  </si>
  <si>
    <t>2018/RQLC/0110/0012/R3</t>
  </si>
  <si>
    <t>2018/RQLC/0110/0005/R1</t>
  </si>
  <si>
    <t>2018/RQLC/0110/0013/R1</t>
  </si>
  <si>
    <t>2018/RQLC/0110/0005/R2</t>
  </si>
  <si>
    <t>2018/RQLC/0110/0005/R3</t>
  </si>
  <si>
    <t>2018/RQLC/0110/0013/R2</t>
  </si>
  <si>
    <t>2018/RQLC/0110/0013/R3</t>
  </si>
  <si>
    <t>2018/RQLC/0110/0006/R1</t>
  </si>
  <si>
    <t>2018/RQLC/0110/0014/R1</t>
  </si>
  <si>
    <t>2018/RQLC/0110/0006/R2</t>
  </si>
  <si>
    <t>2018/RQLC/0110/0006/R3</t>
  </si>
  <si>
    <t>2018/RQLC/0110/0014/R2</t>
  </si>
  <si>
    <t>2018/RQLC/0110/0014/R3</t>
  </si>
  <si>
    <t>2018/RQLC/0110/0007/R1</t>
  </si>
  <si>
    <t>2018/RQLC/0110/0015/R1</t>
  </si>
  <si>
    <t>2018/RQLC/0110/0007/R2</t>
  </si>
  <si>
    <t>2018/RQLC/0110/0007/R3</t>
  </si>
  <si>
    <t>2018/RQLC/0110/0015/R2</t>
  </si>
  <si>
    <t>2018/RQLC/0110/0015/R3</t>
  </si>
  <si>
    <t>2018/RQLC/0110/0008/R1</t>
  </si>
  <si>
    <t>2018/RQLC/0110/0016/R1</t>
  </si>
  <si>
    <t>2018/RQLC/0110/0008/R2</t>
  </si>
  <si>
    <t>2018/RQLC/0110/0008/R3</t>
  </si>
  <si>
    <t>2018/RQLC/0110/0016/R2</t>
  </si>
  <si>
    <t>2018/RQLC/0110/0010/R1</t>
  </si>
  <si>
    <t>2018/RQLC/0110/0001/R1</t>
  </si>
  <si>
    <t>2018/RQLC/0110/0010/R2</t>
  </si>
  <si>
    <t>2018/RQLC/0110/0010/R3</t>
  </si>
  <si>
    <t>2018/RQLC/0110/0001/R2</t>
  </si>
  <si>
    <t>2018/RQLC/0126/0001/R2</t>
  </si>
  <si>
    <t>INGENIERIA SIMANCAS SL-B06418503</t>
  </si>
  <si>
    <t>2018/RQLC/0128/0005/R1</t>
  </si>
  <si>
    <t>INVERSION Y EDIFICACIONES SODELOR SL-B30473599</t>
  </si>
  <si>
    <t>2018/RQLC/0128/0006/R1</t>
  </si>
  <si>
    <t>2018/RQLC/0128/0006/R2</t>
  </si>
  <si>
    <t>2018/RQLC/0128/0006/R3</t>
  </si>
  <si>
    <t>2018/RQLC/0128/0007/R1</t>
  </si>
  <si>
    <t>2018/RQLC/0128/0007/R2</t>
  </si>
  <si>
    <t>2018/RQLC/0128/0007/R3</t>
  </si>
  <si>
    <t>2018/RQLC/0128/0008/R1</t>
  </si>
  <si>
    <t>2018/RQLC/0128/0008/R2</t>
  </si>
  <si>
    <t>2018/RQLC/0128/0008/R3</t>
  </si>
  <si>
    <t>2018/RQLC/0126/0001/R3</t>
  </si>
  <si>
    <t>2018/RQLC/0126/0002/R1</t>
  </si>
  <si>
    <t>2018/RQLC/0126/0002/R2</t>
  </si>
  <si>
    <t>2018/RQLC/0126/0002/R3</t>
  </si>
  <si>
    <t>2018/RQLC/0126/0003/R2</t>
  </si>
  <si>
    <t>2018/RQLC/0126/0003/R3</t>
  </si>
  <si>
    <t>2018/RQLC/0126/0003/R4</t>
  </si>
  <si>
    <t>2018/RQLC/0128/0005/R2</t>
  </si>
  <si>
    <t>2018/RQLC/0128/0005/R3</t>
  </si>
  <si>
    <t>2018/RQLC/0146/0001/R5</t>
  </si>
  <si>
    <t>2018/RQLC/0163/0001/R1</t>
  </si>
  <si>
    <t>MOTION TEAM CONCRETIA SL-B91517169</t>
  </si>
  <si>
    <t>2018/RQLC/0163/0001/R2</t>
  </si>
  <si>
    <t>2018/RQLC/0163/0001/R3</t>
  </si>
  <si>
    <t>2018/RQLC/0163/0002/R1</t>
  </si>
  <si>
    <t>2018/RQLC/0163/0002/R2</t>
  </si>
  <si>
    <t>2018/RQLC/0163/0002/R3</t>
  </si>
  <si>
    <t>2018/RQLC/0163/0002/R4</t>
  </si>
  <si>
    <t>2018/RQLC/0163/0003/R1</t>
  </si>
  <si>
    <t>2018/RQLC/0163/0003/R2</t>
  </si>
  <si>
    <t>2018/RQLC/0163/0003/R3</t>
  </si>
  <si>
    <t>2018/RQLC/0163/0003/R4</t>
  </si>
  <si>
    <t>2019/RQLC/0188/0001/R4</t>
  </si>
  <si>
    <t>2019/RQLC/0199/0001/R1</t>
  </si>
  <si>
    <t>DESARROLLO DE MEDIOS Y SISTEMAS SL-B84278118</t>
  </si>
  <si>
    <t>FILHET</t>
  </si>
  <si>
    <t>2019/RQLC/0199/0001/R2</t>
  </si>
  <si>
    <t>2019/RQLC/0199/0001/R3</t>
  </si>
  <si>
    <t>2019/RQLC/0199/0001/R4</t>
  </si>
  <si>
    <t>2019/RQLC/0199/0002/R1</t>
  </si>
  <si>
    <t>2019/RQLC/0199/0002/R2</t>
  </si>
  <si>
    <t>2019/RQLC/0199/0002/R3</t>
  </si>
  <si>
    <t>2019/RQLC/0199/0002/R4</t>
  </si>
  <si>
    <t>2019/RQLC/0200/0011/R4</t>
  </si>
  <si>
    <t>REALAN SERVICES .L.-B76121078</t>
  </si>
  <si>
    <t>BRUZON</t>
  </si>
  <si>
    <t>2019/RQLC/0200/0002/R5</t>
  </si>
  <si>
    <t>2019/RQLC/0243/0001/R1</t>
  </si>
  <si>
    <t>SOCIEDAD ANONIMA DE RIEGOS CAMINOS Y OBRAS-A30237028</t>
  </si>
  <si>
    <t>2019/RQLC/0243/0001/R2</t>
  </si>
  <si>
    <t>2019/RQLC/0243/0001/R3</t>
  </si>
  <si>
    <t>2019/RQLC/0243/0001/R4</t>
  </si>
  <si>
    <t>2019/RQLC/0248/0001/R1</t>
  </si>
  <si>
    <t>DUNAS VIVAS SL.-B94049939</t>
  </si>
  <si>
    <t>2019/RQLC/0248/0001/R2</t>
  </si>
  <si>
    <t>2019/RQLC/0248/0001/R3</t>
  </si>
  <si>
    <t>2019/RQLC/0248/0001/R4</t>
  </si>
  <si>
    <t>2019/RQLC/0248/0002/R1</t>
  </si>
  <si>
    <t>2019/RQLC/0248/0002/R2</t>
  </si>
  <si>
    <t>2019/RQLC/0248/0002/R3</t>
  </si>
  <si>
    <t>2019/RQLC/0248/0002/R4</t>
  </si>
  <si>
    <t>2019/RQLC/0280/0006/R2</t>
  </si>
  <si>
    <t>2019/RQLC/0280/0006/R3</t>
  </si>
  <si>
    <t>2019/RQLC/0280/0006/R4</t>
  </si>
  <si>
    <t>2019/RQLC/0283/0004/R5</t>
  </si>
  <si>
    <t>DIAZ CUBERO SA-A41658022</t>
  </si>
  <si>
    <t>2019/RQLC/0283/0011/R5</t>
  </si>
  <si>
    <t>2019/RQLC/0283/0006/R5</t>
  </si>
  <si>
    <t>2019/RQLC/0281/0001/R2</t>
  </si>
  <si>
    <t>LABORUM TEMPORAL-EMPRESA DE TRABAJO TEMPORAL SL-B29851748</t>
  </si>
  <si>
    <t>2019/RQLC/0281/0001/R3</t>
  </si>
  <si>
    <t>2019/RQLC/0281/0001/R4</t>
  </si>
  <si>
    <t>2019/RQLC/0281/0001/R5</t>
  </si>
  <si>
    <t>2019/RQLC/0283/0008/R5</t>
  </si>
  <si>
    <t>2019/RQLC/0282/0001/R4</t>
  </si>
  <si>
    <t>SELYCO CONTRATACION ETT S.L.-B67157669</t>
  </si>
  <si>
    <t>2019/RQLC/0282/0001/R5</t>
  </si>
  <si>
    <t>2019/RQLC/0336/0001/R5</t>
  </si>
  <si>
    <t>2019/RQLC/0364/0001/R5</t>
  </si>
  <si>
    <t>EUROIL ENERGIA 2000 SL.-B12883666</t>
  </si>
  <si>
    <t>2019/RQLC/0450/0018/R3</t>
  </si>
  <si>
    <t>OTERO BUILDERS SL.-B93539310</t>
  </si>
  <si>
    <t>2019/RQLC/0450/0001/R4</t>
  </si>
  <si>
    <t>2019/RQLC/0450/0009/R3</t>
  </si>
  <si>
    <t>2019/RQLC/0450/0002/R4</t>
  </si>
  <si>
    <t>2019/RQLC/0450/0003/R4</t>
  </si>
  <si>
    <t>2019/RQLC/0450/0010/R3</t>
  </si>
  <si>
    <t>2019/RQLC/0450/0011/R3</t>
  </si>
  <si>
    <t>2019/RQLC/0450/0019/R3</t>
  </si>
  <si>
    <t>2019/RQLC/0450/0004/R4</t>
  </si>
  <si>
    <t>2019/RQLC/0450/0012/R3</t>
  </si>
  <si>
    <t>2019/RQLC/0450/0005/R4</t>
  </si>
  <si>
    <t>2019/RQLC/0450/0014/R3</t>
  </si>
  <si>
    <t>2019/RQLC/0454/0001/R1</t>
  </si>
  <si>
    <t>RENOVABLES ALCOLEA 11 SL-B40616971</t>
  </si>
  <si>
    <t>2019/RQLC/0450/0006/R4</t>
  </si>
  <si>
    <t>2019/RQLC/0450/0015/R3</t>
  </si>
  <si>
    <t>2019/RQLC/0454/0001/R2</t>
  </si>
  <si>
    <t>2019/RQLC/0450/0016/R3</t>
  </si>
  <si>
    <t>2019/RQLC/0454/0002/R1</t>
  </si>
  <si>
    <t>RENOVABLES ALCOLEA 12 SL-B40616963</t>
  </si>
  <si>
    <t>2019/RQLC/0454/0002/R2</t>
  </si>
  <si>
    <t>2019/RQLC/0450/0007/R4</t>
  </si>
  <si>
    <t>2019/RQLC/0454/0003/R1</t>
  </si>
  <si>
    <t>RENOVABLES ALCOLEA 13 SLU-B40616955</t>
  </si>
  <si>
    <t>2019/RQLC/0450/0017/R3</t>
  </si>
  <si>
    <t>2019/RQLC/0454/0003/R2</t>
  </si>
  <si>
    <t>2019/RQLC/0450/0008/R3</t>
  </si>
  <si>
    <t>2019/RQLC/0454/0004/R1</t>
  </si>
  <si>
    <t>RENOVABLES ALCOLEA 14 SL-B40616948</t>
  </si>
  <si>
    <t>2019/RQLC/0454/0004/R2</t>
  </si>
  <si>
    <t>2019/RQLC/0478/0001/R2</t>
  </si>
  <si>
    <t>2019/RQLC/0478/0001/R3</t>
  </si>
  <si>
    <t>2019/RQLC/0464/0001/R1</t>
  </si>
  <si>
    <t>CONSPAI OBRAS Y SERVICIOS DEL VALLES SL.-B66888645</t>
  </si>
  <si>
    <t>2019/RQLC/0478/0001/R1</t>
  </si>
  <si>
    <t>2019/RQLC/0464/0001/R2</t>
  </si>
  <si>
    <t>2019/RQLC/0464/0001/R3</t>
  </si>
  <si>
    <t>2019/RQLC/0464/0001/R4</t>
  </si>
  <si>
    <t>2019/RQLC/0464/0002/R1</t>
  </si>
  <si>
    <t>2019/RQLC/0464/0002/R2</t>
  </si>
  <si>
    <t>2019/RQLC/0464/0002/R3</t>
  </si>
  <si>
    <t>2019/RQLC/0464/0002/R4</t>
  </si>
  <si>
    <t>2019/RQLC/0496/0004/R3</t>
  </si>
  <si>
    <t>GESTION Y DESARROLLO DE SERVICIOS URBANOS INTEGRADOS SL-B91694588</t>
  </si>
  <si>
    <t>2019/RQLC/0496/0004/R4</t>
  </si>
  <si>
    <t>2019/RQLC/0496/0001/R2</t>
  </si>
  <si>
    <t>2019/RQLC/0496/0001/R3</t>
  </si>
  <si>
    <t>2019/RQLC/0496/0001/R4</t>
  </si>
  <si>
    <t>2019/RQLC/0496/0003/R1</t>
  </si>
  <si>
    <t>2019/RQLC/0496/0003/R2</t>
  </si>
  <si>
    <t>2019/RQLC/0496/0003/R3</t>
  </si>
  <si>
    <t>2019/RQLC/0496/0003/R4</t>
  </si>
  <si>
    <t>2019/RQLC/0496/0004/R2</t>
  </si>
  <si>
    <t>2019/RQLC/0496/0004/R1</t>
  </si>
  <si>
    <t>2020/RQLC/0525/0001/R3</t>
  </si>
  <si>
    <t>HISPANOSEGUR SEGURIDAD SL.-B56065980</t>
  </si>
  <si>
    <t>2020/RQLC/0525/0001/R4</t>
  </si>
  <si>
    <t>2020/RQLC/0525/0001/R2</t>
  </si>
  <si>
    <t>2020/RQLC/0525/0001/R1</t>
  </si>
  <si>
    <t>2020/RQLC/0514/0001/R3</t>
  </si>
  <si>
    <t>2020/RQLC/0514/0001/R4</t>
  </si>
  <si>
    <t>2020/RQLC/0562/0001/R3</t>
  </si>
  <si>
    <t>TRABEMOS E.T.T SOCIEDAD LIMITADA.-B02601144</t>
  </si>
  <si>
    <t>2020/RQLC/0562/0001/R4</t>
  </si>
  <si>
    <t>2020/RQLC/0613/0004/R1</t>
  </si>
  <si>
    <t>2020/RQLC/0613/0004/R2</t>
  </si>
  <si>
    <t>2020/RQLC/0613/0004/R3</t>
  </si>
  <si>
    <t>2020/RQLC/0647/0001/R2</t>
  </si>
  <si>
    <t>CARNES Y FABRICA DE EMBUTIDOS MONTORO SL-B14771968</t>
  </si>
  <si>
    <t>2020/RQLC/0624/0001/R4</t>
  </si>
  <si>
    <t>BDMED 2010 SOCIEDAD LIMITADA-B12848008</t>
  </si>
  <si>
    <t>2020/RQLC/0658/0001/R1</t>
  </si>
  <si>
    <t>2021/RQLC/0768/0001/R2</t>
  </si>
  <si>
    <t>CONSTRUCCIONES GOVASUR INGENIEROS ASOCIADOS SL.-B93384626</t>
  </si>
  <si>
    <t>2021/RQLC/0768/0002/R2</t>
  </si>
  <si>
    <t>2021/RQLC/0889/0001/R2</t>
  </si>
  <si>
    <t>INSTALACION CONTROL Y PROTECCION DE SEGURIDAD SOCIEDAD-B98920838</t>
  </si>
  <si>
    <t>2021/RQLC/0878/0003/R1</t>
  </si>
  <si>
    <t>HERCULES SERVICIOS GENERALES DE INTEGRACION SL-B51025591</t>
  </si>
  <si>
    <t>2021/RQLC/0878/0003/R2</t>
  </si>
  <si>
    <t>2021/RQLC/0878/0004/R1</t>
  </si>
  <si>
    <t>2021/RQLC/0878/0004/R2</t>
  </si>
  <si>
    <t>2021/RQLC/0911/0001/R2</t>
  </si>
  <si>
    <t>OPROYECTS IBERICA SL.-B98699507</t>
  </si>
  <si>
    <t>BONDINGBROKERS</t>
  </si>
  <si>
    <t>2021/RQLC/0911/0002/R2</t>
  </si>
  <si>
    <t>2023/RQLC/1084/0001/R1</t>
  </si>
  <si>
    <t>2018/RQLC/0048/0030/R5</t>
  </si>
  <si>
    <t>2018/RQLC/0048/0026/R5</t>
  </si>
  <si>
    <t>2018/RQLC/0048/0029/R5</t>
  </si>
  <si>
    <t>2019/RQLC/0283/0015/R5</t>
  </si>
  <si>
    <t>EDIMEL, S.L.-B41853540</t>
  </si>
  <si>
    <t>2019/RQLC/0200/0011/R5</t>
  </si>
  <si>
    <t>2018/RQLC/0048/0027/R5</t>
  </si>
  <si>
    <t>2018/RQLC/0048/0031/R5</t>
  </si>
  <si>
    <t>2018/RQLC/0048/0028/R5</t>
  </si>
  <si>
    <t>2019/RQLC/0450/0001/R5</t>
  </si>
  <si>
    <t>2019/RQLC/0450/0002/R5</t>
  </si>
  <si>
    <t>2019/RQLC/0450/0003/R5</t>
  </si>
  <si>
    <t>2019/RQLC/0450/0004/R5</t>
  </si>
  <si>
    <t>2019/RQLC/0450/0005/R5</t>
  </si>
  <si>
    <t>2019/RQLC/0450/0006/R5</t>
  </si>
  <si>
    <t>2019/RQLC/0450/0007/R5</t>
  </si>
  <si>
    <t>2019/RQLC/0450/0008/R4</t>
  </si>
  <si>
    <t>2019/RQLC/0450/0010/R4</t>
  </si>
  <si>
    <t>2019/RQLC/0450/0009/R4</t>
  </si>
  <si>
    <t>2019/RQLC/0450/0011/R4</t>
  </si>
  <si>
    <t>2019/RQLC/0450/0012/R4</t>
  </si>
  <si>
    <t>2019/RQLC/0450/0014/R4</t>
  </si>
  <si>
    <t>2019/RQLC/0450/0015/R4</t>
  </si>
  <si>
    <t>2020/RQLC/0613/0004/R4</t>
  </si>
  <si>
    <t>ESPACIOS INTEGRALES EUROVIP, S.L.-B87737573</t>
  </si>
  <si>
    <t>2019/RQLC/0450/0016/R4</t>
  </si>
  <si>
    <t>2019/RQLC/0450/0017/R4</t>
  </si>
  <si>
    <t>2018/RQLC/0048/0025/R5</t>
  </si>
  <si>
    <t>INGEMONT TECNOLOGIAS SA. (EN LIQUIDACION)-A91614263</t>
  </si>
  <si>
    <t>2019/RQLC/0283/0012/R5</t>
  </si>
  <si>
    <t>2019/RQLC/0450/0018/R4</t>
  </si>
  <si>
    <t>2019/RQLC/0450/0019/R4</t>
  </si>
  <si>
    <t>2019/RQLC/0339/0001/R5</t>
  </si>
  <si>
    <t>TRAFALGAR OILS SL.-B72293012</t>
  </si>
  <si>
    <t>2020/RQLC/0678/0001/R4</t>
  </si>
  <si>
    <t>THE ONE COLLECTION 2018 SL-B93641439</t>
  </si>
  <si>
    <t>2023/RQLC/1110/0001/R1</t>
  </si>
  <si>
    <t>GRAND INVESTMENT 2022 SL.-B16994964</t>
  </si>
  <si>
    <t>2023/RQLC/1110/0002/R1</t>
  </si>
  <si>
    <t>2023/RQLC/1110/0003/R1</t>
  </si>
  <si>
    <t>2021/RQLC/0768/0001/R3</t>
  </si>
  <si>
    <t>CONSTRUCCIONES GOVASUR INGENIEROS ASOCIADOS SL-B93384626</t>
  </si>
  <si>
    <t>2018/RQLC/0051/0003/R6</t>
  </si>
  <si>
    <t>2023/RQLC/1024/0002/R2</t>
  </si>
  <si>
    <t>FORJADOS Y ESTRUCTURAS DE HORMIGON ONE S.L.-B67481721</t>
  </si>
  <si>
    <t>2019/RQLC/0200/0002/R6</t>
  </si>
  <si>
    <t>2018/RQLC/0051/0004/R6</t>
  </si>
  <si>
    <t>2018/RQLC/0048/0019/R6</t>
  </si>
  <si>
    <t>2019/RQLC/0496/0001/R5</t>
  </si>
  <si>
    <t>2018/RQLC/0048/0018/R6</t>
  </si>
  <si>
    <t>2018/RQLC/0048/0017/R6</t>
  </si>
  <si>
    <t>2018/RQLC/0051/0001/R6</t>
  </si>
  <si>
    <t>2021/RQLC/0889/0001/R3</t>
  </si>
  <si>
    <t>2018/RQLC/0146/0001/R6</t>
  </si>
  <si>
    <t>2021/RQLC/0911/0002/R3</t>
  </si>
  <si>
    <t>2021/RQLC/0911/0001/R3</t>
  </si>
  <si>
    <t>2021/RQLC/0878/0004/R3</t>
  </si>
  <si>
    <t>2018/RQLC/0048/0016/R6</t>
  </si>
  <si>
    <t>2021/RQLC/0878/0003/R3</t>
  </si>
  <si>
    <t>2021/RQLC/0768/0002/R3</t>
  </si>
  <si>
    <t>2018/RQLC/0048/0015/R6</t>
  </si>
  <si>
    <t>2018/RQLC/0051/0002/R6</t>
  </si>
  <si>
    <t>2019/RQLC/0280/0006/R5</t>
  </si>
  <si>
    <t>2020/RQLC/0514/0001/R5</t>
  </si>
  <si>
    <t>2018/RQLC/0048/0001/R7</t>
  </si>
  <si>
    <t>2019/RQLC/0273/0001/R6</t>
  </si>
  <si>
    <t>RURAL AGRICOLA NATASHA E.T.T. SOCIEDAD LIMITADA.-B02564722</t>
  </si>
  <si>
    <t>2019/RQLC/0282/0001/R6</t>
  </si>
  <si>
    <t>2019/RQLC/0281/0001/R6</t>
  </si>
  <si>
    <t>2018/RQLC/0048/0020/R6</t>
  </si>
  <si>
    <t>2019/RQLC/0364/0001/R6</t>
  </si>
  <si>
    <t>2019/RQLC/0283/0011/R6</t>
  </si>
  <si>
    <t>2018/RQLC/0048/0039/R5</t>
  </si>
  <si>
    <t>2019/RQLC/0496/0004/R5</t>
  </si>
  <si>
    <t>2019/RQLC/0496/0003/R5</t>
  </si>
  <si>
    <t>2020/RQLC/0562/0001/R5</t>
  </si>
  <si>
    <t>2019/RQLC/0464/0001/R5</t>
  </si>
  <si>
    <t>2018/RQLC/0051/0005/R5</t>
  </si>
  <si>
    <t>CAPITAL ENERGY SLU-B83410183</t>
  </si>
  <si>
    <t>2018/RQLC/0048/0021/R6</t>
  </si>
  <si>
    <t>2018/RQLC/0048/0023/R6</t>
  </si>
  <si>
    <t>2019/RQLC/0283/0004/R6</t>
  </si>
  <si>
    <t>2019/RQLC/0336/0001/R6</t>
  </si>
  <si>
    <t>2019/RQLC/0283/0006/R6</t>
  </si>
  <si>
    <t>2018/RQLC/0048/0041/R5</t>
  </si>
  <si>
    <t>2023/RQLC/1084/0001/R2</t>
  </si>
  <si>
    <t>2018/RQLC/0048/0040/R5</t>
  </si>
  <si>
    <t>2022/RQLC/0962/0001/R3</t>
  </si>
  <si>
    <t>PARQUE EÓLICO LUIRE-B88472733</t>
  </si>
  <si>
    <t>2019/RQLC/0421/0003/R5</t>
  </si>
  <si>
    <t>MESTOLAYA SL-B83910323</t>
  </si>
  <si>
    <t>2020/RQLC/0624/0001/R5</t>
  </si>
  <si>
    <t>2018/RQLC/0027/0001/R7</t>
  </si>
  <si>
    <t>2019/RQLC/0307/0013/R4</t>
  </si>
  <si>
    <t>CLEAN RENOVABLES DE DION S.L.-B88628920</t>
  </si>
  <si>
    <t>2021/RQLC/0908/0002/R1</t>
  </si>
  <si>
    <t>URGACEN VIENA 25 SL-B30850838</t>
  </si>
  <si>
    <t>2021/RQLC/0908/0003/R1</t>
  </si>
  <si>
    <t>2018/RQLC/0048/0038/R5</t>
  </si>
  <si>
    <t>2019/RQLC/0283/0008/R6</t>
  </si>
  <si>
    <t>2023/RQLC/1064/0001/R2</t>
  </si>
  <si>
    <t>CONSTRUREY GALICIA SL.-B94135985</t>
  </si>
  <si>
    <t>2020/RQLC/0665/0029/R4</t>
  </si>
  <si>
    <t>YAKARTA FOTOVOLTAICA, S.L.-B42760736</t>
  </si>
  <si>
    <t>2019/RQLC/0450/0014/R5</t>
  </si>
  <si>
    <t>2019/RQLC/0283/0012/R6</t>
  </si>
  <si>
    <t>2019/RQLC/0450/0012/R5</t>
  </si>
  <si>
    <t>2019/RQLC/0450/0011/R5</t>
  </si>
  <si>
    <t>2021/RQLC/0762/0005/R4</t>
  </si>
  <si>
    <t>REN BETA I S.L.-B06832349</t>
  </si>
  <si>
    <t>2019/RQLC/0450/0010/R5</t>
  </si>
  <si>
    <t>2021/RQLC/0768/0001/R4</t>
  </si>
  <si>
    <t>2019/RQLC/0450/0009/R5</t>
  </si>
  <si>
    <t>2019/RQLC/0450/0008/R5</t>
  </si>
  <si>
    <t>2019/RQLC/0339/0001/R6</t>
  </si>
  <si>
    <t>2020/RQLC/0678/0001/R5</t>
  </si>
  <si>
    <t>2019/RQLC/0450/0015/R5</t>
  </si>
  <si>
    <t>2020/RQLC/0569/0007/R5</t>
  </si>
  <si>
    <t>ALCOLEA DEL RIO SPV SL-B67558007</t>
  </si>
  <si>
    <t>2020/RQLC/0569/0006/R5</t>
  </si>
  <si>
    <t>2018/RQLC/0015/0001/R7</t>
  </si>
  <si>
    <t>2019/RQLC/0394/0002/R4</t>
  </si>
  <si>
    <t>NARA ES SOLAR 6 SL-B88380373</t>
  </si>
  <si>
    <t>MARCH JLT</t>
  </si>
  <si>
    <t>OLIVIA CARBURANTES S.L.-B72359573</t>
  </si>
  <si>
    <t>2019/RQLC/0450/0003/R6</t>
  </si>
  <si>
    <t>2019/RQLC/0450/0007/R6</t>
  </si>
  <si>
    <t>2019/RQLC/0450/0004/R6</t>
  </si>
  <si>
    <t>2020/RQLC/0613/0004/R5</t>
  </si>
  <si>
    <t>2018/RQLC/0048/0025/R6</t>
  </si>
  <si>
    <t>2019/RQLC/0450/0002/R6</t>
  </si>
  <si>
    <t>2024/RQLC/1243/0001/R1</t>
  </si>
  <si>
    <t>SICILY BY CAR SPAIN S.L.-B55475982</t>
  </si>
  <si>
    <t>CONFIDE</t>
  </si>
  <si>
    <t>2019/RQLC/0450/0017/R5</t>
  </si>
  <si>
    <t>2019/RQLC/0450/0018/R5</t>
  </si>
  <si>
    <t>2023/RQLC/1110/0002/R2</t>
  </si>
  <si>
    <t>2023/RQLC/1110/0001/R2</t>
  </si>
  <si>
    <t>2019/RQLC/0450/0019/R5</t>
  </si>
  <si>
    <t>2019/RQLC/0450/0005/R6</t>
  </si>
  <si>
    <t>2023/RQLC/1110/0003/R2</t>
  </si>
  <si>
    <t>2019/RQLC/0450/0016/R5</t>
  </si>
  <si>
    <t>2023/RQLC/1127/0001/R2</t>
  </si>
  <si>
    <t>RETURN ENERGY STORAGE SOLUTIONS SL.-B16948762</t>
  </si>
  <si>
    <t>MARSH</t>
  </si>
  <si>
    <t>2019/RQLC/0450/0001/R6</t>
  </si>
  <si>
    <t>2019/RQLC/0450/0006/R6</t>
  </si>
  <si>
    <t>2018/RQLC/0048/0029/R6</t>
  </si>
  <si>
    <t>2018/RQLC/0048/0028/R6</t>
  </si>
  <si>
    <t>2018/RQLC/0048/0026/R6</t>
  </si>
  <si>
    <t>2018/RQLC/0048/0027/R6</t>
  </si>
  <si>
    <t>2018/RQLC/0048/0031/R6</t>
  </si>
  <si>
    <t>2021/RQLC/0889/0001/R4</t>
  </si>
  <si>
    <t>2018/RQLC/0048/0030/R6</t>
  </si>
  <si>
    <t>2019/RQLC/0200/0011/R6</t>
  </si>
  <si>
    <t>2019/RQLC/0354/0001/R6</t>
  </si>
  <si>
    <t>CONSTRUCCIONES HERMATINSA SL-B37052602</t>
  </si>
  <si>
    <t>2018/RQLC/0051/0001/R7</t>
  </si>
  <si>
    <t>TALES SOSTENIBLE SL.-B42919464</t>
  </si>
  <si>
    <t>2021/RQLC/0911/0001/R4</t>
  </si>
  <si>
    <t>BESIDE DESARROLLO 1, SOCIEDAD LIMITADA.-B05544069</t>
  </si>
  <si>
    <t>2022/RQLC/0989/0005/R3</t>
  </si>
  <si>
    <t>GREENING SOLAR V, S.L.-B72560428</t>
  </si>
  <si>
    <t>2019/RQLC/0490/0001/R6</t>
  </si>
  <si>
    <t>WAKEFUL SL-B66322421</t>
  </si>
  <si>
    <t>2021/RQLC/0878/0004/R4</t>
  </si>
  <si>
    <t>2021/RQLC/0911/0002/R4</t>
  </si>
  <si>
    <t>GABRIEL ENERGIA SL.-B01591395</t>
  </si>
  <si>
    <t>2021/RQLC/0768/0002/R4</t>
  </si>
  <si>
    <t>2022/RQLC/0989/0007/R3</t>
  </si>
  <si>
    <t>GREENING SOLAR IV, S.L.-B72560378</t>
  </si>
  <si>
    <t>FRESNO SOSTENIBLE SL.-B67959338</t>
  </si>
  <si>
    <t>2021/RQLC/0878/0003/R4</t>
  </si>
  <si>
    <t>2019/RQLC/0251/0002/R6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</si>
</sst>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,_);\(#,##0,\);\-_);@_)"/>
    <numFmt numFmtId="165" formatCode="#,##0.00;\(#,##0.00\);\-\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name val="Arial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14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0" fontId="0" fillId="0" borderId="0" xfId="0" pivotButton="1"/>
    <xf numFmtId="0" fontId="0" fillId="0" borderId="0" xfId="0" pivotButton="1" applyAlignment="1">
      <alignment wrapText="1"/>
    </xf>
    <xf numFmtId="0" fontId="2" fillId="5" borderId="1" xfId="0" applyFont="1" applyFill="1" applyBorder="1" applyAlignment="1">
      <alignment horizontal="right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14" fontId="6" fillId="4" borderId="0" xfId="0" applyNumberFormat="1" applyFont="1" applyFill="1"/>
    <xf numFmtId="14" fontId="2" fillId="6" borderId="1" xfId="0" applyNumberFormat="1" applyFont="1" applyFill="1" applyBorder="1" applyAlignment="1">
      <alignment horizontal="left" wrapText="1"/>
    </xf>
    <xf numFmtId="0" fontId="5" fillId="7" borderId="0" xfId="0" applyFont="1" applyFill="1" applyAlignment="1">
      <alignment horizontal="center"/>
    </xf>
    <xf numFmtId="0" fontId="2" fillId="8" borderId="3" xfId="0" applyFont="1" applyFill="1" applyBorder="1"/>
    <xf numFmtId="0" fontId="0" fillId="4" borderId="0" xfId="0" applyFill="1" applyAlignment="1">
      <alignment wrapText="1"/>
    </xf>
    <xf numFmtId="0" fontId="2" fillId="8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8" borderId="2" xfId="0" applyFont="1" applyFill="1" applyBorder="1" applyAlignment="1">
      <alignment horizontal="center"/>
    </xf>
    <xf numFmtId="4" fontId="2" fillId="8" borderId="3" xfId="0" applyNumberFormat="1" applyFont="1" applyFill="1" applyBorder="1" applyAlignment="1">
      <alignment horizontal="center"/>
    </xf>
    <xf numFmtId="4" fontId="0" fillId="0" borderId="0" xfId="0" applyNumberFormat="1"/>
    <xf numFmtId="4" fontId="3" fillId="4" borderId="1" xfId="0" applyNumberFormat="1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left"/>
    </xf>
    <xf numFmtId="164" fontId="5" fillId="9" borderId="0" xfId="0" applyNumberFormat="1" applyFont="1" applyFill="1" applyAlignment="1">
      <alignment horizontal="left"/>
    </xf>
    <xf numFmtId="4" fontId="0" fillId="0" borderId="0" xfId="0" applyNumberFormat="1" applyAlignment="1">
      <alignment horizontal="left"/>
    </xf>
    <xf numFmtId="0" fontId="2" fillId="8" borderId="2" xfId="0" applyFont="1" applyFill="1" applyBorder="1"/>
    <xf numFmtId="0" fontId="0" fillId="0" borderId="0" xfId="0" pivotButton="1" applyAlignment="1">
      <alignment horizontal="center"/>
    </xf>
    <xf numFmtId="0" fontId="0" fillId="4" borderId="0" xfId="0" applyFill="1" applyAlignment="1">
      <alignment horizontal="center" vertical="top" wrapText="1"/>
    </xf>
    <xf numFmtId="0" fontId="2" fillId="0" borderId="0" xfId="0" applyFont="1"/>
    <xf numFmtId="165" fontId="7" fillId="0" borderId="0" xfId="0" applyNumberFormat="1" applyFont="1"/>
    <xf numFmtId="10" fontId="0" fillId="0" borderId="0" xfId="1" applyNumberFormat="1" applyFont="1" applyFill="1" applyAlignment="1">
      <alignment horizontal="right"/>
    </xf>
    <xf numFmtId="43" fontId="0" fillId="0" borderId="0" xfId="0" applyNumberFormat="1"/>
    <xf numFmtId="0" fontId="0" fillId="4" borderId="0" xfId="0" applyFill="1"/>
    <xf numFmtId="0" fontId="2" fillId="10" borderId="0" xfId="0" applyFont="1" applyFill="1" applyAlignment="1">
      <alignment horizontal="center" vertical="center"/>
    </xf>
    <xf numFmtId="0" fontId="8" fillId="0" borderId="0" xfId="0" applyFont="1" applyFill="1"/>
    <xf numFmtId="14" fontId="6" fillId="0" borderId="0" xfId="0" applyNumberFormat="1" applyFont="1" applyFill="1"/>
    <xf numFmtId="10" fontId="8" fillId="0" borderId="0" xfId="0" applyNumberFormat="1" applyFont="1" applyFill="1" applyAlignment="1">
      <alignment horizontal="right"/>
    </xf>
    <xf numFmtId="14" fontId="8" fillId="0" borderId="0" xfId="0" applyNumberFormat="1" applyFont="1" applyFill="1" applyAlignment="1">
      <alignment horizontal="right"/>
    </xf>
    <xf numFmtId="0" fontId="0" fillId="0" borderId="0" xfId="0" applyFill="1"/>
    <xf numFmtId="0" fontId="8" fillId="0" borderId="0" xfId="0" applyFont="1" applyFill="1" applyAlignment="1">
      <alignment horizontal="right"/>
    </xf>
    <xf numFmtId="14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4" fontId="0" fillId="0" borderId="0" xfId="0" applyNumberFormat="1" applyFill="1" applyAlignment="1">
      <alignment horizontal="right"/>
    </xf>
    <xf numFmtId="14" fontId="0" fillId="0" borderId="0" xfId="0" applyNumberFormat="1" applyFill="1" applyAlignment="1">
      <alignment horizontal="right"/>
    </xf>
    <xf numFmtId="4" fontId="0" fillId="0" borderId="0" xfId="0" applyNumberFormat="1" applyFill="1"/>
    <xf numFmtId="14" fontId="9" fillId="0" borderId="0" xfId="0" applyNumberFormat="1" applyFont="1" applyFill="1"/>
    <xf numFmtId="4" fontId="0" fillId="4" borderId="0" xfId="0" applyNumberFormat="1" applyFill="1" applyAlignment="1">
      <alignment horizontal="right"/>
    </xf>
    <xf numFmtId="10" fontId="0" fillId="4" borderId="0" xfId="1" applyNumberFormat="1" applyFont="1" applyFill="1" applyAlignment="1">
      <alignment horizontal="right"/>
    </xf>
    <xf numFmtId="14" fontId="0" fillId="4" borderId="0" xfId="0" applyNumberFormat="1" applyFill="1" applyAlignment="1">
      <alignment horizontal="right"/>
    </xf>
    <xf numFmtId="0" fontId="0" fillId="0" borderId="0" xfId="0" applyFill="1" applyAlignment="1">
      <alignment wrapText="1"/>
    </xf>
  </cellXfs>
  <cellStyles count="2">
    <cellStyle name="Normal" xfId="0" builtinId="0"/>
    <cellStyle name="Porcentaje" xfId="1" builtinId="5"/>
  </cellStyles>
  <dxfs count="29">
    <dxf>
      <numFmt numFmtId="4" formatCode="#,##0.00"/>
    </dxf>
    <dxf>
      <fill>
        <patternFill patternType="solid">
          <bgColor rgb="FFFFFF00"/>
        </patternFill>
      </fill>
    </dxf>
    <dxf>
      <alignment wrapText="1"/>
    </dxf>
    <dxf>
      <alignment wrapText="1"/>
    </dxf>
    <dxf>
      <fill>
        <patternFill patternType="solid"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/>
        </patternFill>
      </fill>
    </dxf>
    <dxf>
      <font>
        <color theme="0"/>
      </font>
    </dxf>
    <dxf>
      <font>
        <b/>
      </font>
    </dxf>
    <dxf>
      <alignment horizontal="center"/>
    </dxf>
    <dxf>
      <numFmt numFmtId="4" formatCode="#,##0.00"/>
    </dxf>
    <dxf>
      <fill>
        <patternFill patternType="solid">
          <bgColor rgb="FFFFFF00"/>
        </patternFill>
      </fill>
    </dxf>
    <dxf>
      <alignment wrapText="1"/>
    </dxf>
    <dxf>
      <alignment wrapText="1"/>
    </dxf>
    <dxf>
      <fill>
        <patternFill patternType="solid"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/>
        </patternFill>
      </fill>
    </dxf>
    <dxf>
      <font>
        <color theme="0"/>
      </font>
    </dxf>
    <dxf>
      <font>
        <b/>
      </font>
    </dxf>
    <dxf>
      <alignment horizontal="center"/>
    </dxf>
    <dxf>
      <alignment horizontal="center"/>
    </dxf>
    <dxf>
      <alignment vertical="top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458824421294" createdVersion="8" refreshedVersion="8" minRefreshableVersion="3" recordCount="2253" xr:uid="{B4BB1251-883D-4F65-B354-2E7F5D4209C1}">
  <cacheSource type="worksheet">
    <worksheetSource ref="A1:U1048576" sheet="DATOS 2026"/>
  </cacheSource>
  <cacheFields count="21">
    <cacheField name="Fecha emisión" numFmtId="0">
      <sharedItems containsNonDate="0" containsDate="1" containsString="0" containsBlank="1" minDate="2022-05-20T00:00:00" maxDate="2026-02-01T00:00:00"/>
    </cacheField>
    <cacheField name="fecha efecto" numFmtId="0">
      <sharedItems containsNonDate="0" containsDate="1" containsString="0" containsBlank="1" minDate="2022-12-12T00:00:00" maxDate="2026-07-02T00:00:00"/>
    </cacheField>
    <cacheField name="fecha cobro si la tiene" numFmtId="0">
      <sharedItems containsNonDate="0" containsDate="1" containsString="0" containsBlank="1" minDate="2026-01-08T00:00:00" maxDate="2026-02-01T00:00:00"/>
    </cacheField>
    <cacheField name="Nº Póliza" numFmtId="0">
      <sharedItems containsBlank="1"/>
    </cacheField>
    <cacheField name="cliente  (nombre y CIF)" numFmtId="0">
      <sharedItems containsBlank="1"/>
    </cacheField>
    <cacheField name="colaborador si lo hay  (nombre y CIF)" numFmtId="0">
      <sharedItems containsBlank="1"/>
    </cacheField>
    <cacheField name="Compañía" numFmtId="0">
      <sharedItems containsBlank="1"/>
    </cacheField>
    <cacheField name="Prima neta €" numFmtId="0">
      <sharedItems containsString="0" containsBlank="1" containsNumber="1" minValue="83.2" maxValue="69703.02"/>
    </cacheField>
    <cacheField name="Comisión correduría (%)" numFmtId="0">
      <sharedItems containsString="0" containsBlank="1" containsNumber="1" minValue="0.1" maxValue="0.23"/>
    </cacheField>
    <cacheField name="Comisión cedida €" numFmtId="0">
      <sharedItems containsString="0" containsBlank="1" containsNumber="1" minValue="16.743999999999996" maxValue="14027.719999999998"/>
    </cacheField>
    <cacheField name="Comisión neta €" numFmtId="0">
      <sharedItems containsString="0" containsBlank="1" containsNumber="1" minValue="8.933600000000002" maxValue="7735.3054195000041"/>
    </cacheField>
    <cacheField name="Honoarios si los hay" numFmtId="0">
      <sharedItems containsString="0" containsBlank="1" containsNumber="1" minValue="12.479999999999999" maxValue="10455.379999999999"/>
    </cacheField>
    <cacheField name="Ramo" numFmtId="0">
      <sharedItems containsBlank="1"/>
    </cacheField>
    <cacheField name="Producto" numFmtId="0">
      <sharedItems containsBlank="1"/>
    </cacheField>
    <cacheField name="Cartera / nueva producción" numFmtId="0">
      <sharedItems containsBlank="1"/>
    </cacheField>
    <cacheField name="account date" numFmtId="0">
      <sharedItems containsNonDate="0" containsDate="1" containsString="0" containsBlank="1" minDate="2026-01-31T00:00:00" maxDate="2026-02-01T00:00:00"/>
    </cacheField>
    <cacheField name="Prima total _x000a_(Neta + Honorarios)" numFmtId="0">
      <sharedItems containsString="0" containsBlank="1" containsNumber="1" minValue="95.68" maxValue="80158.400000000009"/>
    </cacheField>
    <cacheField name="Comisión Bruta_x000a_(Cedida + Neta + Honorarios)" numFmtId="0">
      <sharedItems containsString="0" containsBlank="1" containsNumber="1" minValue="38.157599999999995" maxValue="32218.405419499999"/>
    </cacheField>
    <cacheField name="MES" numFmtId="0">
      <sharedItems containsString="0" containsBlank="1" containsNumber="1" containsInteger="1" minValue="1" maxValue="12" count="7">
        <n v="12"/>
        <n v="1"/>
        <n v="6"/>
        <n v="10"/>
        <n v="11"/>
        <n v="7"/>
        <m/>
      </sharedItems>
    </cacheField>
    <cacheField name="año" numFmtId="0">
      <sharedItems containsString="0" containsBlank="1" containsNumber="1" containsInteger="1" minValue="2022" maxValue="2026" count="4">
        <n v="2025"/>
        <n v="2026"/>
        <n v="2022"/>
        <m/>
      </sharedItems>
    </cacheField>
    <cacheField name="Estado" numFmtId="0">
      <sharedItems containsBlank="1" count="3">
        <s v="Cobrado"/>
        <s v="Impagad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 Anadon" refreshedDate="46092.434825925928" createdVersion="8" refreshedVersion="8" minRefreshableVersion="3" recordCount="2020" xr:uid="{F0D1941B-6976-46D8-BF26-052C6F80A369}">
  <cacheSource type="worksheet">
    <worksheetSource ref="A1:T1048576" sheet="DATOS 2026"/>
  </cacheSource>
  <cacheFields count="20">
    <cacheField name="Fecha emisión" numFmtId="0">
      <sharedItems containsNonDate="0" containsDate="1" containsString="0" containsBlank="1" minDate="2022-05-20T00:00:00" maxDate="2026-03-01T00:00:00"/>
    </cacheField>
    <cacheField name="fecha efecto" numFmtId="0">
      <sharedItems containsNonDate="0" containsDate="1" containsString="0" containsBlank="1" minDate="2019-11-14T00:00:00" maxDate="2026-07-02T00:00:00"/>
    </cacheField>
    <cacheField name="fecha cobro si la tiene" numFmtId="0">
      <sharedItems containsNonDate="0" containsDate="1" containsString="0" containsBlank="1" minDate="2026-01-08T00:00:00" maxDate="2026-03-28T00:00:00"/>
    </cacheField>
    <cacheField name="Nº Póliza" numFmtId="0">
      <sharedItems containsBlank="1"/>
    </cacheField>
    <cacheField name="cliente  (nombre y CIF)" numFmtId="0">
      <sharedItems containsBlank="1"/>
    </cacheField>
    <cacheField name="colaborador si lo hay  (nombre y CIF)" numFmtId="0">
      <sharedItems containsBlank="1"/>
    </cacheField>
    <cacheField name="Compañía" numFmtId="0">
      <sharedItems containsBlank="1"/>
    </cacheField>
    <cacheField name="Prima neta €" numFmtId="0">
      <sharedItems containsString="0" containsBlank="1" containsNumber="1" minValue="-3305.5400000000004" maxValue="478261.3"/>
    </cacheField>
    <cacheField name="Comisión correduría (%)" numFmtId="0">
      <sharedItems containsString="0" containsBlank="1" containsNumber="1" minValue="0" maxValue="1.209393690629764"/>
    </cacheField>
    <cacheField name="Comisión cedida €" numFmtId="0">
      <sharedItems containsString="0" containsBlank="1" containsNumber="1" minValue="-570.20549999999992" maxValue="77000.000000000015"/>
    </cacheField>
    <cacheField name="Comisión neta €" numFmtId="0">
      <sharedItems containsString="0" containsBlank="1" containsNumber="1" minValue="-4897.6720141567193" maxValue="72325.134392499996"/>
    </cacheField>
    <cacheField name="Honoarios si los hay" numFmtId="0">
      <sharedItems containsString="0" containsBlank="1" containsNumber="1" minValue="-495.82999999999993" maxValue="71738.7"/>
    </cacheField>
    <cacheField name="Ramo" numFmtId="0">
      <sharedItems containsBlank="1" count="5">
        <s v="Ingeniería"/>
        <s v="Caución"/>
        <m/>
        <s v="Decenal" u="1"/>
        <s v="Bonds" u="1"/>
      </sharedItems>
    </cacheField>
    <cacheField name="Producto" numFmtId="0">
      <sharedItems containsBlank="1"/>
    </cacheField>
    <cacheField name="Cartera / nueva producción" numFmtId="0">
      <sharedItems containsBlank="1"/>
    </cacheField>
    <cacheField name="account date" numFmtId="0">
      <sharedItems containsNonDate="0" containsDate="1" containsString="0" containsBlank="1" minDate="2019-11-30T00:00:00" maxDate="2026-03-01T00:00:00"/>
    </cacheField>
    <cacheField name="Prima total _x000a_(Neta + Honorarios)" numFmtId="0">
      <sharedItems containsString="0" containsBlank="1" containsNumber="1" minValue="-3801.3700000000003" maxValue="550000"/>
    </cacheField>
    <cacheField name="Comisión Bruta_x000a_(Cedida + Neta + Honorarios)" numFmtId="0">
      <sharedItems containsString="0" containsBlank="1" containsNumber="1" minValue="-1521.2911465" maxValue="221063.83439249999"/>
    </cacheField>
    <cacheField name="MES" numFmtId="0">
      <sharedItems containsString="0" containsBlank="1" containsNumber="1" containsInteger="1" minValue="1" maxValue="12" count="13">
        <n v="12"/>
        <n v="1"/>
        <n v="6"/>
        <n v="10"/>
        <n v="11"/>
        <n v="7"/>
        <n v="3"/>
        <n v="2"/>
        <n v="8"/>
        <n v="9"/>
        <n v="4"/>
        <n v="5"/>
        <m/>
      </sharedItems>
    </cacheField>
    <cacheField name="año" numFmtId="0">
      <sharedItems containsString="0" containsBlank="1" containsNumber="1" containsInteger="1" minValue="1900" maxValue="2026" count="10">
        <n v="2025"/>
        <n v="2026"/>
        <n v="2022"/>
        <n v="2024"/>
        <n v="2023"/>
        <n v="2021"/>
        <n v="2020"/>
        <n v="2019"/>
        <m/>
        <n v="19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3">
  <r>
    <d v="2026-01-31T00:00:00"/>
    <d v="2025-12-08T00:00:00"/>
    <d v="2026-01-31T00:00:00"/>
    <s v="FU/D90/0000078"/>
    <s v="ARETÉ MACENAS RESIDENCIAL, S.L.-B67775882"/>
    <s v="RASHER ASESORAMIENTO, S.L.-B14571434"/>
    <s v="Helvetia Compañía de Seguros, S.A.S.R."/>
    <n v="910"/>
    <n v="0.15"/>
    <n v="156.97499999999999"/>
    <n v="127.39999999999999"/>
    <n v="116.02499999999999"/>
    <s v="Decenal"/>
    <s v="ENTRADA EN VIGOR"/>
    <s v="Nueva producción"/>
    <d v="2026-01-31T00:00:00"/>
    <n v="1026.0250000000001"/>
    <n v="400.4"/>
    <x v="0"/>
    <x v="0"/>
    <x v="0"/>
  </r>
  <r>
    <d v="2026-01-31T00:00:00"/>
    <d v="2025-12-08T00:00:00"/>
    <d v="2026-01-31T00:00:00"/>
    <s v="FU/D90/0000083"/>
    <s v="ARETÉ MACENAS RESIDENCIAL, S.L.-B67775882"/>
    <s v="RASHER ASESORAMIENTO, S.L.-B14571434"/>
    <s v="Helvetia Compañía de Seguros, S.A.S.R."/>
    <n v="910"/>
    <n v="0.15"/>
    <n v="156.97499999999999"/>
    <n v="127.39999999999999"/>
    <n v="116.02499999999999"/>
    <s v="Decenal"/>
    <s v="ENTRADA EN VIGOR"/>
    <s v="Nueva producción"/>
    <d v="2026-01-31T00:00:00"/>
    <n v="1026.0250000000001"/>
    <n v="400.4"/>
    <x v="0"/>
    <x v="0"/>
    <x v="0"/>
  </r>
  <r>
    <d v="2026-01-31T00:00:00"/>
    <d v="2026-01-08T00:00:00"/>
    <d v="2026-01-31T00:00:00"/>
    <s v="FU/D90/0000120"/>
    <s v="ARETÉ MACENAS RESIDENCIAL, S.L.-B67775882"/>
    <s v="RASHER ASESORAMIENTO, S.L.-B14571434"/>
    <s v="Helvetia Compañía de Seguros, S.A.S.R."/>
    <n v="910"/>
    <n v="0.15"/>
    <n v="156.97499999999999"/>
    <n v="127.39999999999999"/>
    <n v="116.02499999999999"/>
    <s v="Decenal"/>
    <s v="ENTRADA EN VIGOR"/>
    <s v="Nueva producción"/>
    <d v="2026-01-31T00:00:00"/>
    <n v="1026.0250000000001"/>
    <n v="400.4"/>
    <x v="1"/>
    <x v="1"/>
    <x v="0"/>
  </r>
  <r>
    <d v="2026-01-31T00:00:00"/>
    <d v="2025-12-08T00:00:00"/>
    <d v="2026-01-31T00:00:00"/>
    <s v="FU/D90/0000121"/>
    <s v="ARETÉ MACENAS RESIDENCIAL, S.L.-B67775882"/>
    <s v="RASHER ASESORAMIENTO, S.L.-B14571434"/>
    <s v="Helvetia Compañía de Seguros, S.A.S.R."/>
    <n v="910"/>
    <n v="0.15"/>
    <n v="156.97499999999999"/>
    <n v="127.39999999999999"/>
    <n v="116.02499999999999"/>
    <s v="Decenal"/>
    <s v="ENTRADA EN VIGOR"/>
    <s v="Nueva producción"/>
    <d v="2026-01-31T00:00:00"/>
    <n v="1026.0250000000001"/>
    <n v="400.4"/>
    <x v="0"/>
    <x v="0"/>
    <x v="0"/>
  </r>
  <r>
    <d v="2026-01-31T00:00:00"/>
    <d v="2026-01-07T00:00:00"/>
    <d v="2026-01-31T00:00:00"/>
    <s v="FU/D90/0000160"/>
    <s v="PJMD REAL ESTATE, S.L.-B19850346"/>
    <s v="ORES Y BRYAN CORREDURÍA DE SEGUROS, S.L.-B29435260"/>
    <s v="Helvetia Compañía de Seguros, S.A.S.R."/>
    <n v="390"/>
    <n v="0.23"/>
    <n v="103.16"/>
    <n v="23.399999999999988"/>
    <n v="45.045000000000002"/>
    <s v="Decenal"/>
    <s v="PREPOLIZA"/>
    <s v="Nueva producción"/>
    <d v="2026-01-31T00:00:00"/>
    <n v="435.04500000000002"/>
    <n v="171.60499999999999"/>
    <x v="1"/>
    <x v="1"/>
    <x v="0"/>
  </r>
  <r>
    <d v="2025-01-01T00:00:00"/>
    <d v="2025-01-01T00:00:00"/>
    <d v="2026-01-26T00:00:00"/>
    <s v="2021/RQLC/0901/0004/R3"/>
    <s v="LA ENCANTADA LA RAMBLA - B01635606"/>
    <s v="RASHER CORREDURIA DE SEGUROS - B14571434"/>
    <s v="Accredited Insurance (Europe) Limited"/>
    <n v="4173.9130434782601"/>
    <n v="0.14000000000000012"/>
    <n v="672.00000000000045"/>
    <n v="622.85217391304263"/>
    <n v="626.08695652173901"/>
    <s v="Caución"/>
    <s v="Performance"/>
    <s v="Cartera"/>
    <d v="2026-01-31T00:00:00"/>
    <n v="4799.9999999999991"/>
    <n v="1920.9391304347821"/>
    <x v="1"/>
    <x v="0"/>
    <x v="0"/>
  </r>
  <r>
    <d v="2025-06-21T00:00:00"/>
    <d v="2025-06-21T00:00:00"/>
    <d v="2026-01-13T00:00:00"/>
    <s v="2021/RQLC/0773/0001/R4"/>
    <s v="AMBER SOLAR POWER CUARENTA Y UNO SL. - B05399969"/>
    <s v="WILLIS IBERIA SA - A28961639"/>
    <s v="Accredited Insurance (Europe) Limited"/>
    <n v="12521.7391304348"/>
    <n v="0.14000000000000029"/>
    <n v="2016.0000000000068"/>
    <n v="1868.5565217391286"/>
    <n v="1878.2608695652198"/>
    <s v="Caución"/>
    <s v="Performance"/>
    <s v="Cartera"/>
    <d v="2026-01-31T00:00:00"/>
    <n v="14400.00000000002"/>
    <n v="5762.8173913043556"/>
    <x v="2"/>
    <x v="0"/>
    <x v="0"/>
  </r>
  <r>
    <d v="2025-06-21T00:00:00"/>
    <d v="2025-06-21T00:00:00"/>
    <d v="2026-01-13T00:00:00"/>
    <s v="2021/RQLC/0779/0001/R4"/>
    <s v="AMBER SOLAR POWER TREINTA Y SIETE SL. - B88594098"/>
    <s v="WILLIS IBERIA SA - A28961639"/>
    <s v="Accredited Insurance (Europe) Limited"/>
    <n v="15636.521739130398"/>
    <n v="0.14000000000000032"/>
    <n v="2517.4800000000009"/>
    <n v="2333.359956521726"/>
    <n v="2345.47826086957"/>
    <s v="Caución"/>
    <s v="Performance"/>
    <s v="Cartera"/>
    <d v="2026-01-31T00:00:00"/>
    <n v="17981.999999999967"/>
    <n v="7196.3182173912974"/>
    <x v="2"/>
    <x v="0"/>
    <x v="0"/>
  </r>
  <r>
    <d v="2025-06-21T00:00:00"/>
    <d v="2025-06-21T00:00:00"/>
    <d v="2026-01-13T00:00:00"/>
    <s v="2021/RQLC/0800/0001/R4"/>
    <s v="AMBER SOLAR POWER VEINTICUATRO SL. - B88422308"/>
    <s v="WILLIS IBERIA SA - A28961639"/>
    <s v="Accredited Insurance (Europe) Limited"/>
    <n v="15652.173913043502"/>
    <n v="0.14000000000000012"/>
    <n v="2520.0000000000055"/>
    <n v="2335.6956521739148"/>
    <n v="2347.8260869565202"/>
    <s v="Caución"/>
    <s v="Performance"/>
    <s v="Cartera"/>
    <d v="2026-01-31T00:00:00"/>
    <n v="18000.000000000022"/>
    <n v="7203.5217391304404"/>
    <x v="2"/>
    <x v="0"/>
    <x v="0"/>
  </r>
  <r>
    <d v="2025-06-21T00:00:00"/>
    <d v="2025-06-21T00:00:00"/>
    <d v="2026-01-13T00:00:00"/>
    <s v="2021/RQLC/0801/0001/R4"/>
    <s v="AMBER SOLAR POWER CUARENTA Y TRES SL. - B05399977"/>
    <s v="WILLIS IBERIA SA - A28961639"/>
    <s v="Accredited Insurance (Europe) Limited"/>
    <n v="10956.5217391304"/>
    <n v="0.1400000000000004"/>
    <n v="1764.0000000000007"/>
    <n v="1634.9869565217271"/>
    <n v="1643.4782608695702"/>
    <s v="Caución"/>
    <s v="Performance"/>
    <s v="Cartera"/>
    <d v="2026-01-31T00:00:00"/>
    <n v="12599.999999999969"/>
    <n v="5042.4652173912982"/>
    <x v="2"/>
    <x v="0"/>
    <x v="0"/>
  </r>
  <r>
    <d v="2025-06-21T00:00:00"/>
    <d v="2025-06-21T00:00:00"/>
    <d v="2026-01-13T00:00:00"/>
    <s v="2021/RQLC/0797/0001/R4"/>
    <s v="AMBER SOLAR POWER TREINTA Y CUATRO SL. - B88594064"/>
    <s v="WILLIS IBERIA SA - A28961639"/>
    <s v="Accredited Insurance (Europe) Limited"/>
    <n v="1533.9130434782601"/>
    <n v="0.14000000000000029"/>
    <n v="246.96000000000038"/>
    <n v="228.8981739130428"/>
    <n v="230.08695652173901"/>
    <s v="Caución"/>
    <s v="Performance"/>
    <s v="Cartera"/>
    <d v="2026-01-31T00:00:00"/>
    <n v="1763.9999999999991"/>
    <n v="705.94513043478219"/>
    <x v="2"/>
    <x v="0"/>
    <x v="0"/>
  </r>
  <r>
    <d v="2025-06-21T00:00:00"/>
    <d v="2025-06-21T00:00:00"/>
    <d v="2026-01-13T00:00:00"/>
    <s v="2021/RQLC/0793/0001/R4"/>
    <s v="AMBER SOLAR POWER CUARENTA Y SEIS SL. - B05400007"/>
    <s v="WILLIS IBERIA SA - A28961639"/>
    <s v="Accredited Insurance (Europe) Limited"/>
    <n v="15636.521739130398"/>
    <n v="0.14000000000000032"/>
    <n v="2517.4800000000009"/>
    <n v="2333.359956521726"/>
    <n v="2345.47826086957"/>
    <s v="Caución"/>
    <s v="Performance"/>
    <s v="Cartera"/>
    <d v="2026-01-31T00:00:00"/>
    <n v="17981.999999999967"/>
    <n v="7196.3182173912974"/>
    <x v="2"/>
    <x v="0"/>
    <x v="0"/>
  </r>
  <r>
    <d v="2025-06-21T00:00:00"/>
    <d v="2025-06-21T00:00:00"/>
    <d v="2026-01-13T00:00:00"/>
    <s v="2021/RQLC/0798/0001/R4"/>
    <s v="LUMINORA SOLAR OCHO SL. - B88532585"/>
    <s v="WILLIS IBERIA SA - A28961639"/>
    <s v="Accredited Insurance (Europe) Limited"/>
    <n v="15652.173913043502"/>
    <n v="0.14000000000000012"/>
    <n v="2520.0000000000055"/>
    <n v="2335.6956521739148"/>
    <n v="2347.8260869565202"/>
    <s v="Caución"/>
    <s v="Performance"/>
    <s v="Cartera"/>
    <d v="2026-01-31T00:00:00"/>
    <n v="18000.000000000022"/>
    <n v="7203.5217391304404"/>
    <x v="2"/>
    <x v="0"/>
    <x v="0"/>
  </r>
  <r>
    <d v="2025-06-21T00:00:00"/>
    <d v="2025-06-21T00:00:00"/>
    <d v="2026-01-13T00:00:00"/>
    <s v="2021/RQLC/0792/0001/R4"/>
    <s v="AMBER SOLAR POWER TREINTA Y OCHO SL. - B88594106"/>
    <s v="WILLIS IBERIA SA - A28961639"/>
    <s v="Accredited Insurance (Europe) Limited"/>
    <n v="9391.3043478260897"/>
    <n v="0.13999999999999949"/>
    <n v="1511.9999999999945"/>
    <n v="1401.4173913043537"/>
    <n v="1408.69565217391"/>
    <s v="Caución"/>
    <s v="Performance"/>
    <s v="Cartera"/>
    <d v="2026-01-31T00:00:00"/>
    <n v="10800"/>
    <n v="4322.1130434782581"/>
    <x v="2"/>
    <x v="0"/>
    <x v="0"/>
  </r>
  <r>
    <d v="2025-06-21T00:00:00"/>
    <d v="2025-06-21T00:00:00"/>
    <d v="2026-01-13T00:00:00"/>
    <s v="2021/RQLC/0802/0001/R4"/>
    <s v="AMBER SOLAR POWER CUARENTA Y CUATRO SL. - B05399985"/>
    <s v="WILLIS IBERIA SA - A28961639"/>
    <s v="Accredited Insurance (Europe) Limited"/>
    <n v="10956.5217391304"/>
    <n v="0.1400000000000004"/>
    <n v="1764.0000000000007"/>
    <n v="1634.9869565217271"/>
    <n v="1643.4782608695702"/>
    <s v="Caución"/>
    <s v="Performance"/>
    <s v="Cartera"/>
    <d v="2026-01-31T00:00:00"/>
    <n v="12599.999999999969"/>
    <n v="5042.4652173912982"/>
    <x v="2"/>
    <x v="0"/>
    <x v="0"/>
  </r>
  <r>
    <d v="2025-06-21T00:00:00"/>
    <d v="2025-06-21T00:00:00"/>
    <d v="2026-01-13T00:00:00"/>
    <s v="2021/RQLC/0796/0001/R4"/>
    <s v="LUMINORA SOLAR VEINTICINCO SL. - B05399936"/>
    <s v="WILLIS IBERIA SA - A28961639"/>
    <s v="Accredited Insurance (Europe) Limited"/>
    <n v="2084.8695652173901"/>
    <n v="0.14000000000000037"/>
    <n v="335.66400000000061"/>
    <n v="311.11466086956415"/>
    <n v="312.73043478260797"/>
    <s v="Caución"/>
    <s v="Performance"/>
    <s v="Cartera"/>
    <d v="2026-01-31T00:00:00"/>
    <n v="2397.5999999999981"/>
    <n v="959.50909565217273"/>
    <x v="2"/>
    <x v="0"/>
    <x v="0"/>
  </r>
  <r>
    <d v="2025-06-21T00:00:00"/>
    <d v="2025-06-21T00:00:00"/>
    <d v="2026-01-13T00:00:00"/>
    <s v="2021/RQLC/0795/0001/R4"/>
    <s v="LUMINORA SOLAR VEINTICUATRO SL. - B05399928"/>
    <s v="WILLIS IBERIA SA - A28961639"/>
    <s v="Accredited Insurance (Europe) Limited"/>
    <n v="2084.8695652173901"/>
    <n v="0.14000000000000037"/>
    <n v="335.66400000000061"/>
    <n v="311.11466086956415"/>
    <n v="312.73043478260797"/>
    <s v="Caución"/>
    <s v="Performance"/>
    <s v="Cartera"/>
    <d v="2026-01-31T00:00:00"/>
    <n v="2397.5999999999981"/>
    <n v="959.50909565217273"/>
    <x v="2"/>
    <x v="0"/>
    <x v="0"/>
  </r>
  <r>
    <d v="2025-06-21T00:00:00"/>
    <d v="2025-06-21T00:00:00"/>
    <d v="2026-01-13T00:00:00"/>
    <s v="2021/RQLC/0794/0001/R4"/>
    <s v="LUMINORA SOLAR VEINTITRES SL. - B05399910"/>
    <s v="WILLIS IBERIA SA - A28961639"/>
    <s v="Accredited Insurance (Europe) Limited"/>
    <n v="2084.8695652173901"/>
    <n v="0.14000000000000037"/>
    <n v="335.66400000000061"/>
    <n v="311.11466086956415"/>
    <n v="312.73043478260797"/>
    <s v="Caución"/>
    <s v="Performance"/>
    <s v="Cartera"/>
    <d v="2026-01-31T00:00:00"/>
    <n v="2397.5999999999981"/>
    <n v="959.50909565217273"/>
    <x v="2"/>
    <x v="0"/>
    <x v="0"/>
  </r>
  <r>
    <d v="2025-06-23T00:00:00"/>
    <d v="2025-06-23T00:00:00"/>
    <d v="2026-01-13T00:00:00"/>
    <s v="2021/RQLC/0808/0001/R4"/>
    <s v="AMBER SOLAR POWER VEINTICUATRO SL. - B88422308"/>
    <s v="WILLIS IBERIA SA - A28961639"/>
    <s v="Accredited Insurance (Europe) Limited"/>
    <n v="15652.173913043502"/>
    <n v="0.14000000000000012"/>
    <n v="2520.0000000000055"/>
    <n v="2335.6956521739148"/>
    <n v="2347.8260869565202"/>
    <s v="Caución"/>
    <s v="Performance"/>
    <s v="Cartera"/>
    <d v="2026-01-31T00:00:00"/>
    <n v="18000.000000000022"/>
    <n v="7203.5217391304404"/>
    <x v="2"/>
    <x v="0"/>
    <x v="0"/>
  </r>
  <r>
    <d v="2022-12-12T00:00:00"/>
    <d v="2022-12-12T00:00:00"/>
    <d v="2026-01-16T00:00:00"/>
    <s v="2022/RQAF/1009/0044/REG1"/>
    <s v="ONE EDEN INFINITY 2020 SL. - B93725414"/>
    <s v="ORES Y BRYAN SL - B29435260"/>
    <s v="Accredited Insurance (Europe) Limited"/>
    <n v="754.05"/>
    <n v="0.17499999999999999"/>
    <n v="151.75299999999999"/>
    <n v="74.084974999999986"/>
    <n v="113.11"/>
    <s v="Caución"/>
    <s v="Advance payment"/>
    <s v="Nueva producción"/>
    <d v="2026-01-31T00:00:00"/>
    <n v="867.16"/>
    <n v="338.94797499999999"/>
    <x v="0"/>
    <x v="2"/>
    <x v="0"/>
  </r>
  <r>
    <d v="2025-10-26T00:00:00"/>
    <d v="2025-10-26T00:00:00"/>
    <d v="2026-01-12T00:00:00"/>
    <s v="2019/RQLC/0458/0046/R2"/>
    <s v="ATHISA MEDIO AMBIENTE, S.A.U. - A18485516"/>
    <s v="ORES Y BRYAN SL - B29435260"/>
    <s v="Accredited Insurance (Europe) Limited"/>
    <n v="173.91"/>
    <n v="0.17499999999999999"/>
    <n v="35"/>
    <n v="18.951229749999996"/>
    <n v="26.09"/>
    <s v="Caución"/>
    <s v="Performance"/>
    <s v="Cartera"/>
    <d v="2026-01-31T00:00:00"/>
    <n v="200"/>
    <n v="80.041229749999999"/>
    <x v="3"/>
    <x v="0"/>
    <x v="0"/>
  </r>
  <r>
    <d v="2025-11-13T00:00:00"/>
    <d v="2025-11-13T00:00:00"/>
    <d v="2026-01-20T00:00:00"/>
    <s v="2020/RQLC/0696/0001/R5"/>
    <s v="COLMENA SUN DARRO SL. - B88010459"/>
    <s v="HOWDEN IBERIA SA - A82473349"/>
    <s v="Accredited Insurance (Europe) Limited"/>
    <n v="2921.7391304347798"/>
    <n v="0.17500000000000002"/>
    <n v="587.99999999999955"/>
    <n v="318.39652173912998"/>
    <n v="438.26086956521698"/>
    <s v="Caución"/>
    <s v="Performance"/>
    <s v="Cartera"/>
    <d v="2026-01-31T00:00:00"/>
    <n v="3359.9999999999968"/>
    <n v="1344.6573913043464"/>
    <x v="4"/>
    <x v="0"/>
    <x v="0"/>
  </r>
  <r>
    <d v="2025-11-22T00:00:00"/>
    <d v="2025-11-22T00:00:00"/>
    <d v="2026-01-26T00:00:00"/>
    <s v="2021/RQLC/0902/0002/R4"/>
    <s v="INGENIERIA ATECSUR SL - B18612242"/>
    <s v="ORES Y BRYAN SL - B29435260"/>
    <s v="Accredited Insurance (Europe) Limited"/>
    <n v="365.70944347826099"/>
    <n v="0.17499999999999977"/>
    <n v="73.599025499999925"/>
    <n v="39.853186603043582"/>
    <n v="54.856416521739099"/>
    <s v="Caución"/>
    <s v="Performance"/>
    <s v="Cartera"/>
    <d v="2026-01-31T00:00:00"/>
    <n v="420.5658600000001"/>
    <n v="168.30862862478261"/>
    <x v="4"/>
    <x v="0"/>
    <x v="0"/>
  </r>
  <r>
    <d v="2025-11-16T00:00:00"/>
    <d v="2025-11-16T00:00:00"/>
    <d v="2026-01-26T00:00:00"/>
    <s v="2022/RQLC/0950/0008/R3"/>
    <s v="SOLUTIA INNOVAWORLD TECHNOLOGIES SOCIEDAD LIMITADA - B91447193"/>
    <s v="HOWDEN IBERIA SA - A82473349"/>
    <s v="Accredited Insurance (Europe) Limited"/>
    <n v="359.61049999999994"/>
    <n v="0.17500000000000002"/>
    <n v="72.371613124999996"/>
    <n v="39.188554237499972"/>
    <n v="53.941575"/>
    <s v="Caución"/>
    <s v="Performance"/>
    <s v="Cartera"/>
    <d v="2026-01-31T00:00:00"/>
    <n v="413.55207499999995"/>
    <n v="165.50174236249995"/>
    <x v="4"/>
    <x v="0"/>
    <x v="0"/>
  </r>
  <r>
    <d v="2025-11-07T00:00:00"/>
    <d v="2025-11-07T00:00:00"/>
    <d v="2026-01-26T00:00:00"/>
    <s v="2019/RQLC/0458/0047/R2"/>
    <s v="ATHISA MEDIO AMBIENTE, S.A.U. - A18485516"/>
    <s v="ORES Y BRYAN SL - B29435260"/>
    <s v="Accredited Insurance (Europe) Limited"/>
    <n v="264.17791304347799"/>
    <n v="0.17500000000000002"/>
    <n v="53.165804999999956"/>
    <n v="28.78878807391299"/>
    <n v="39.626686956521702"/>
    <s v="Caución"/>
    <s v="Performance"/>
    <s v="Cartera"/>
    <d v="2026-01-31T00:00:00"/>
    <n v="303.80459999999971"/>
    <n v="121.58128003043464"/>
    <x v="4"/>
    <x v="0"/>
    <x v="0"/>
  </r>
  <r>
    <d v="2025-11-14T00:00:00"/>
    <d v="2025-11-14T00:00:00"/>
    <d v="2026-01-26T00:00:00"/>
    <s v="2019/RQLC/0458/0048/R2"/>
    <s v="ATHISA MEDIO AMBIENTE, S.A.U. - A18485516"/>
    <s v="ORES Y BRYAN SL - B29435260"/>
    <s v="Accredited Insurance (Europe) Limited"/>
    <n v="623.32045217391305"/>
    <n v="0.17500000000000002"/>
    <n v="125.44324100000001"/>
    <n v="67.926346275652136"/>
    <n v="93.498067826086995"/>
    <s v="Caución"/>
    <s v="Performance"/>
    <s v="Cartera"/>
    <d v="2026-01-31T00:00:00"/>
    <n v="716.81852000000003"/>
    <n v="286.86765510173916"/>
    <x v="4"/>
    <x v="0"/>
    <x v="0"/>
  </r>
  <r>
    <d v="2025-11-27T00:00:00"/>
    <d v="2025-11-27T00:00:00"/>
    <d v="2026-01-26T00:00:00"/>
    <s v="2019/RQLC/0458/0049/R2"/>
    <s v="ATHISA MEDIO AMBIENTE, S.A.U. - A18485516"/>
    <s v="ORES Y BRYAN SL - B29435260"/>
    <s v="Accredited Insurance (Europe) Limited"/>
    <n v="173.91"/>
    <n v="0.17499999999999999"/>
    <n v="35"/>
    <n v="18.951229749999996"/>
    <n v="26.09"/>
    <s v="Caución"/>
    <s v="Performance"/>
    <s v="Cartera"/>
    <d v="2026-01-31T00:00:00"/>
    <n v="200"/>
    <n v="80.041229749999999"/>
    <x v="4"/>
    <x v="0"/>
    <x v="0"/>
  </r>
  <r>
    <d v="2025-11-30T00:00:00"/>
    <d v="2025-11-30T00:00:00"/>
    <d v="2026-01-26T00:00:00"/>
    <s v="2019/RQLC/0458/0050/R2"/>
    <s v="ATHISA MEDIO AMBIENTE, S.A.U. - A18485516"/>
    <s v="ORES Y BRYAN SL - B29435260"/>
    <s v="Accredited Insurance (Europe) Limited"/>
    <n v="173.91"/>
    <n v="0.17499999999999999"/>
    <n v="35"/>
    <n v="18.951229749999996"/>
    <n v="26.09"/>
    <s v="Caución"/>
    <s v="Performance"/>
    <s v="Cartera"/>
    <d v="2026-01-31T00:00:00"/>
    <n v="200"/>
    <n v="80.041229749999999"/>
    <x v="4"/>
    <x v="0"/>
    <x v="0"/>
  </r>
  <r>
    <d v="2025-11-28T00:00:00"/>
    <d v="2025-11-28T00:00:00"/>
    <d v="2026-01-26T00:00:00"/>
    <s v="2023/RQLC/1147/0001/R2"/>
    <s v="SOLUTIA INNOVAWORLD TECHNOLOGIES SOCIEDAD LIMITADA - B91447193"/>
    <s v="HOWDEN IBERIA SA - A82473349"/>
    <s v="Accredited Insurance (Europe) Limited"/>
    <n v="354.0453"/>
    <n v="0.17500000000000002"/>
    <n v="71.251616624999997"/>
    <n v="38.582086567499999"/>
    <n v="53.106794999999998"/>
    <s v="Caución"/>
    <s v="Performance"/>
    <s v="Cartera"/>
    <d v="2026-01-31T00:00:00"/>
    <n v="407.15209499999997"/>
    <n v="162.9404981925"/>
    <x v="4"/>
    <x v="0"/>
    <x v="0"/>
  </r>
  <r>
    <d v="2025-11-07T00:00:00"/>
    <d v="2025-11-07T00:00:00"/>
    <d v="2026-01-15T00:00:00"/>
    <s v="2021/RQLC/0761/0015/R1"/>
    <s v="MARSIC SOLAR, S.L. - B88197090"/>
    <s v="HOWDEN IBERIA SA - A82473349"/>
    <s v="Accredited Insurance (Europe) Limited"/>
    <n v="18991.304347826099"/>
    <n v="0.17499999999999963"/>
    <n v="3821.9999999999932"/>
    <n v="2069.5773913043581"/>
    <n v="2848.6956521739098"/>
    <s v="Caución"/>
    <s v="Performance"/>
    <s v="Cartera"/>
    <d v="2026-01-31T00:00:00"/>
    <n v="21840.000000000007"/>
    <n v="8740.2730434782607"/>
    <x v="4"/>
    <x v="0"/>
    <x v="0"/>
  </r>
  <r>
    <d v="2025-11-06T00:00:00"/>
    <d v="2025-11-06T00:00:00"/>
    <d v="2026-01-15T00:00:00"/>
    <s v="2021/RQLC/0761/0011/R1"/>
    <s v="WASSAT SOLAR, S.L. - B88211107"/>
    <s v="HOWDEN IBERIA SA - A82473349"/>
    <s v="Accredited Insurance (Europe) Limited"/>
    <n v="9970.4347826086996"/>
    <n v="0.17499999999999979"/>
    <n v="2006.5499999999977"/>
    <n v="1086.5281304347857"/>
    <n v="1495.5652173912997"/>
    <s v="Caución"/>
    <s v="Performance"/>
    <s v="Cartera"/>
    <d v="2026-01-31T00:00:00"/>
    <n v="11466"/>
    <n v="4588.6433478260833"/>
    <x v="4"/>
    <x v="0"/>
    <x v="0"/>
  </r>
  <r>
    <d v="2025-11-06T00:00:00"/>
    <d v="2025-11-06T00:00:00"/>
    <d v="2026-01-15T00:00:00"/>
    <s v="2021/RQLC/0761/0009/R1"/>
    <s v="MIRAM SOLAR,S.L - B88198858"/>
    <s v="HOWDEN IBERIA SA - A82473349"/>
    <s v="Accredited Insurance (Europe) Limited"/>
    <n v="18801.391304347799"/>
    <n v="0.17500000000000007"/>
    <n v="3783.7799999999961"/>
    <n v="2048.8816173912992"/>
    <n v="2820.2086956521698"/>
    <s v="Caución"/>
    <s v="Performance"/>
    <s v="Cartera"/>
    <d v="2026-01-31T00:00:00"/>
    <n v="21621.599999999969"/>
    <n v="8652.870313043466"/>
    <x v="4"/>
    <x v="0"/>
    <x v="0"/>
  </r>
  <r>
    <d v="2025-11-25T00:00:00"/>
    <d v="2025-11-25T00:00:00"/>
    <d v="2026-01-20T00:00:00"/>
    <s v="2024/RQLC/1271/0001/R1"/>
    <s v="DESARROLLOS ECOINDUSTRIALES TERUEL, S.L. - B16447856"/>
    <s v="RASHER CORREDURIA DE SEGUROS - B14571434"/>
    <s v="Accredited Insurance (Europe) Limited"/>
    <n v="3270.52"/>
    <n v="0.14000000000000001"/>
    <n v="526.5526000000001"/>
    <n v="488.04446699999983"/>
    <n v="490.57"/>
    <s v="Caución"/>
    <s v="Performance"/>
    <s v="Cartera"/>
    <d v="2026-01-31T00:00:00"/>
    <n v="3761.09"/>
    <n v="1505.1670669999999"/>
    <x v="4"/>
    <x v="0"/>
    <x v="0"/>
  </r>
  <r>
    <d v="2026-01-09T00:00:00"/>
    <d v="2026-01-09T00:00:00"/>
    <d v="2026-01-09T00:00:00"/>
    <s v="2023/RQLC/1155/0002"/>
    <s v="NOVATION IT SYSTEMS SL - B87149605"/>
    <s v="ORES Y BRYAN SL - B29435260"/>
    <s v="Accredited Insurance (Europe) Limited"/>
    <n v="665.69"/>
    <n v="0.17499999999999996"/>
    <n v="133.96949999999998"/>
    <n v="73.875560250000063"/>
    <n v="99.85"/>
    <s v="Caución"/>
    <s v="Performance"/>
    <s v="Nueva producción"/>
    <d v="2026-01-31T00:00:00"/>
    <n v="765.54000000000008"/>
    <n v="307.69506025000004"/>
    <x v="1"/>
    <x v="1"/>
    <x v="0"/>
  </r>
  <r>
    <d v="2022-12-12T00:00:00"/>
    <d v="2022-12-12T00:00:00"/>
    <d v="2026-01-16T00:00:00"/>
    <s v="2022/RQAF/1009/0015/REG1"/>
    <s v="ONE EDEN INFINITY 2020 SL. - B93725414"/>
    <s v="ORES Y BRYAN SL - B29435260"/>
    <s v="Accredited Insurance (Europe) Limited"/>
    <n v="784.84000000000015"/>
    <n v="0.17499999999999996"/>
    <n v="157.94800000000001"/>
    <n v="77.111580000000032"/>
    <n v="117.72000000000001"/>
    <s v="Caución"/>
    <s v="Advance payment"/>
    <s v="Nueva producción"/>
    <d v="2026-01-31T00:00:00"/>
    <n v="902.56000000000017"/>
    <n v="352.77958000000007"/>
    <x v="0"/>
    <x v="2"/>
    <x v="0"/>
  </r>
  <r>
    <d v="2022-12-12T00:00:00"/>
    <d v="2022-12-12T00:00:00"/>
    <d v="2026-01-16T00:00:00"/>
    <s v="2022/RQAF/1009/0057/REG1"/>
    <s v="ONE EDEN INFINITY 2020 SL. - B93725414"/>
    <s v="ORES Y BRYAN SL - B29435260"/>
    <s v="Accredited Insurance (Europe) Limited"/>
    <n v="408.16000000000008"/>
    <n v="0.17499999999999996"/>
    <n v="82.143249999999995"/>
    <n v="40.100670000000022"/>
    <n v="61.22999999999999"/>
    <s v="Caución"/>
    <s v="Advance payment"/>
    <s v="Nueva producción"/>
    <d v="2026-01-31T00:00:00"/>
    <n v="469.3900000000001"/>
    <n v="183.47392000000002"/>
    <x v="0"/>
    <x v="2"/>
    <x v="0"/>
  </r>
  <r>
    <d v="2024-06-17T00:00:00"/>
    <d v="2025-12-12T00:00:00"/>
    <d v="2026-01-09T00:00:00"/>
    <s v="2024/RQAF/1205/0001/SUP1"/>
    <s v="KAMPINAS SLU - B29132636"/>
    <s v="HOWDEN IBERIA SA - A82473349"/>
    <s v="Accredited Insurance (Europe) Limited"/>
    <n v="83.2"/>
    <n v="0.17499999999999996"/>
    <n v="16.743999999999996"/>
    <n v="8.933600000000002"/>
    <n v="12.479999999999999"/>
    <s v="Caución"/>
    <s v="Advance payment"/>
    <s v="Cartera"/>
    <d v="2026-01-31T00:00:00"/>
    <n v="95.68"/>
    <n v="38.157599999999995"/>
    <x v="0"/>
    <x v="0"/>
    <x v="0"/>
  </r>
  <r>
    <d v="2024-06-17T00:00:00"/>
    <d v="2025-12-12T00:00:00"/>
    <d v="2026-01-09T00:00:00"/>
    <s v="2024/RQAF/1205/0002/SUP1"/>
    <s v="KAMPINAS SLU - B29132636"/>
    <s v="HOWDEN IBERIA SA - A82473349"/>
    <s v="Accredited Insurance (Europe) Limited"/>
    <n v="311.44999999999993"/>
    <n v="0.17499999999999999"/>
    <n v="62.679749999999991"/>
    <n v="33.441506249999982"/>
    <n v="46.72"/>
    <s v="Caución"/>
    <s v="Advance payment"/>
    <s v="Cartera"/>
    <d v="2026-01-31T00:00:00"/>
    <n v="358.16999999999996"/>
    <n v="142.84125624999996"/>
    <x v="0"/>
    <x v="0"/>
    <x v="0"/>
  </r>
  <r>
    <d v="2024-06-19T00:00:00"/>
    <d v="2025-12-12T00:00:00"/>
    <d v="2026-01-09T00:00:00"/>
    <s v="2024/RQAF/1205/0004/SUP1"/>
    <s v="KAMPINAS SLU - B29132636"/>
    <s v="HOWDEN IBERIA SA - A82473349"/>
    <s v="Accredited Insurance (Europe) Limited"/>
    <n v="157.19999999999999"/>
    <n v="0.17500000000000002"/>
    <n v="31.636499999999998"/>
    <n v="16.879349999999995"/>
    <n v="23.58"/>
    <s v="Caución"/>
    <s v="Advance payment"/>
    <s v="Cartera"/>
    <d v="2026-01-31T00:00:00"/>
    <n v="180.77999999999997"/>
    <n v="72.095849999999984"/>
    <x v="0"/>
    <x v="0"/>
    <x v="0"/>
  </r>
  <r>
    <d v="2024-06-28T00:00:00"/>
    <d v="2025-12-12T00:00:00"/>
    <d v="2026-01-09T00:00:00"/>
    <s v="2024/RQAF/1205/0006/SUP1"/>
    <s v="KAMPINAS SLU - B29132636"/>
    <s v="HOWDEN IBERIA SA - A82473349"/>
    <s v="Accredited Insurance (Europe) Limited"/>
    <n v="119.87999999999998"/>
    <n v="0.17499999999999999"/>
    <n v="24.125499999999995"/>
    <n v="12.872464999999998"/>
    <n v="17.98"/>
    <s v="Caución"/>
    <s v="Advance payment"/>
    <s v="Cartera"/>
    <d v="2026-01-31T00:00:00"/>
    <n v="137.85999999999999"/>
    <n v="54.977964999999998"/>
    <x v="0"/>
    <x v="0"/>
    <x v="0"/>
  </r>
  <r>
    <d v="2024-07-02T00:00:00"/>
    <d v="2025-12-12T00:00:00"/>
    <d v="2026-01-09T00:00:00"/>
    <s v="2024/RQAF/1205/0009/SUP1"/>
    <s v="KAMPINAS SLU - B29132636"/>
    <s v="HOWDEN IBERIA SA - A82473349"/>
    <s v="Accredited Insurance (Europe) Limited"/>
    <n v="909.78"/>
    <n v="0.17499999999999999"/>
    <n v="183.09375"/>
    <n v="97.68710249999998"/>
    <n v="136.47"/>
    <s v="Caución"/>
    <s v="Advance payment"/>
    <s v="Cartera"/>
    <d v="2026-01-31T00:00:00"/>
    <n v="1046.25"/>
    <n v="417.25085249999995"/>
    <x v="0"/>
    <x v="0"/>
    <x v="0"/>
  </r>
  <r>
    <d v="2024-07-02T00:00:00"/>
    <d v="2025-12-12T00:00:00"/>
    <d v="2026-01-09T00:00:00"/>
    <s v="2024/RQAF/1205/0010/SUP1"/>
    <s v="KAMPINAS SLU - B29132636"/>
    <s v="HOWDEN IBERIA SA - A82473349"/>
    <s v="Accredited Insurance (Europe) Limited"/>
    <n v="141.13"/>
    <n v="0.17499999999999996"/>
    <n v="28.402499999999996"/>
    <n v="15.153746249999998"/>
    <n v="21.17"/>
    <s v="Caución"/>
    <s v="Advance payment"/>
    <s v="Cartera"/>
    <d v="2026-01-31T00:00:00"/>
    <n v="162.30000000000001"/>
    <n v="64.726246250000003"/>
    <x v="0"/>
    <x v="0"/>
    <x v="0"/>
  </r>
  <r>
    <d v="2024-07-12T00:00:00"/>
    <d v="2025-12-12T00:00:00"/>
    <d v="2026-01-09T00:00:00"/>
    <s v="2024/RQAF/1205/0011/SUP1"/>
    <s v="KAMPINAS SLU - B29132636"/>
    <s v="HOWDEN IBERIA SA - A82473349"/>
    <s v="Accredited Insurance (Europe) Limited"/>
    <n v="1007.8999999999999"/>
    <n v="0.17499999999999999"/>
    <n v="202.83899999999997"/>
    <n v="108.22413749999996"/>
    <n v="151.18"/>
    <s v="Caución"/>
    <s v="Advance payment"/>
    <s v="Cartera"/>
    <d v="2026-01-31T00:00:00"/>
    <n v="1159.08"/>
    <n v="462.24313749999993"/>
    <x v="0"/>
    <x v="0"/>
    <x v="0"/>
  </r>
  <r>
    <d v="2024-07-15T00:00:00"/>
    <d v="2025-12-12T00:00:00"/>
    <d v="2026-01-09T00:00:00"/>
    <s v="2024/RQAF/1205/0012/SUP1"/>
    <s v="KAMPINAS SLU - B29132636"/>
    <s v="HOWDEN IBERIA SA - A82473349"/>
    <s v="Accredited Insurance (Europe) Limited"/>
    <n v="612.96"/>
    <n v="0.17499999999999999"/>
    <n v="123.3575"/>
    <n v="65.817279999999997"/>
    <n v="91.94"/>
    <s v="Caución"/>
    <s v="Advance payment"/>
    <s v="Cartera"/>
    <d v="2026-01-31T00:00:00"/>
    <n v="704.90000000000009"/>
    <n v="281.11478"/>
    <x v="0"/>
    <x v="0"/>
    <x v="0"/>
  </r>
  <r>
    <d v="2024-08-01T00:00:00"/>
    <d v="2025-12-12T00:00:00"/>
    <d v="2026-01-09T00:00:00"/>
    <s v="2024/RQAF/1205/0015/SUP1"/>
    <s v="KAMPINAS SLU - B29132636"/>
    <s v="HOWDEN IBERIA SA - A82473349"/>
    <s v="Accredited Insurance (Europe) Limited"/>
    <n v="277.17"/>
    <n v="0.17499999999999999"/>
    <n v="55.779499999999999"/>
    <n v="29.762091249999997"/>
    <n v="41.57"/>
    <s v="Caución"/>
    <s v="Advance payment"/>
    <s v="Cartera"/>
    <d v="2026-01-31T00:00:00"/>
    <n v="318.74"/>
    <n v="127.11159125"/>
    <x v="0"/>
    <x v="0"/>
    <x v="0"/>
  </r>
  <r>
    <d v="2024-08-27T00:00:00"/>
    <d v="2025-12-12T00:00:00"/>
    <d v="2026-01-09T00:00:00"/>
    <s v="2024/RQAF/1205/0017/SUP1"/>
    <s v="KAMPINAS SLU - B29132636"/>
    <s v="HOWDEN IBERIA SA - A82473349"/>
    <s v="Accredited Insurance (Europe) Limited"/>
    <n v="201.5"/>
    <n v="0.17499999999999999"/>
    <n v="40.550999999999995"/>
    <n v="21.636937500000002"/>
    <n v="30.22"/>
    <s v="Caución"/>
    <s v="Advance payment"/>
    <s v="Cartera"/>
    <d v="2026-01-31T00:00:00"/>
    <n v="231.72"/>
    <n v="92.407937500000003"/>
    <x v="0"/>
    <x v="0"/>
    <x v="0"/>
  </r>
  <r>
    <d v="2025-02-03T00:00:00"/>
    <d v="2025-12-12T00:00:00"/>
    <d v="2026-01-09T00:00:00"/>
    <s v="2024/RQAF/1205/0024/SUP1"/>
    <s v="KAMPINAS SLU - B29132636"/>
    <s v="HOWDEN IBERIA SA - A82473349"/>
    <s v="Accredited Insurance (Europe) Limited"/>
    <n v="817.31"/>
    <n v="0.17499999999999999"/>
    <n v="164.48249999999999"/>
    <n v="89.06749474999998"/>
    <n v="122.58999999999999"/>
    <s v="Caución"/>
    <s v="Advance payment"/>
    <s v="Cartera"/>
    <d v="2026-01-31T00:00:00"/>
    <n v="939.9"/>
    <n v="376.13999474999997"/>
    <x v="0"/>
    <x v="0"/>
    <x v="0"/>
  </r>
  <r>
    <d v="2025-02-11T00:00:00"/>
    <d v="2025-12-12T00:00:00"/>
    <d v="2026-01-09T00:00:00"/>
    <s v="2024/RQAF/1205/0025/SUP1"/>
    <s v="KAMPINAS SLU - B29132636"/>
    <s v="HOWDEN IBERIA SA - A82473349"/>
    <s v="Accredited Insurance (Europe) Limited"/>
    <n v="177.58000000000004"/>
    <n v="0.17499999999999996"/>
    <n v="35.738499999999995"/>
    <n v="19.351255500000015"/>
    <n v="26.64"/>
    <s v="Caución"/>
    <s v="Advance payment"/>
    <s v="Cartera"/>
    <d v="2026-01-31T00:00:00"/>
    <n v="204.22000000000003"/>
    <n v="81.72975550000001"/>
    <x v="0"/>
    <x v="0"/>
    <x v="0"/>
  </r>
  <r>
    <d v="2026-01-21T00:00:00"/>
    <d v="2026-01-21T00:00:00"/>
    <d v="2026-01-21T00:00:00"/>
    <s v="2025/RQAF/1386/0001"/>
    <s v="THE RESIDENCES DEVCO SL. - B72718554"/>
    <s v="HOWDEN IBERIA SA - A82473349"/>
    <s v="Accredited Insurance (Europe) Limited"/>
    <n v="38721.25"/>
    <n v="0.17499999999999999"/>
    <n v="7792.6449999999995"/>
    <n v="4297.0972812500013"/>
    <n v="5808.15"/>
    <s v="Caución"/>
    <s v="Advance payment"/>
    <s v="Nueva producción"/>
    <d v="2026-01-31T00:00:00"/>
    <n v="44529.4"/>
    <n v="17897.892281250002"/>
    <x v="1"/>
    <x v="1"/>
    <x v="0"/>
  </r>
  <r>
    <d v="2026-01-21T00:00:00"/>
    <d v="2026-01-21T00:00:00"/>
    <d v="2026-01-21T00:00:00"/>
    <s v="2025/RQAF/1386/0002"/>
    <s v="THE RESIDENCES DEVCO SL. - B72718554"/>
    <s v="HOWDEN IBERIA SA - A82473349"/>
    <s v="Accredited Insurance (Europe) Limited"/>
    <n v="35837.47"/>
    <n v="0.17499999999999996"/>
    <n v="7212.2837499999987"/>
    <n v="3977.0703207500028"/>
    <n v="5375.58"/>
    <s v="Caución"/>
    <s v="Advance payment"/>
    <s v="Nueva producción"/>
    <d v="2026-01-31T00:00:00"/>
    <n v="41213.050000000003"/>
    <n v="16564.934070750001"/>
    <x v="1"/>
    <x v="1"/>
    <x v="0"/>
  </r>
  <r>
    <d v="2026-01-21T00:00:00"/>
    <d v="2026-01-21T00:00:00"/>
    <d v="2026-01-21T00:00:00"/>
    <s v="2025/RQAF/1386/0003"/>
    <s v="THE RESIDENCES DEVCO SL. - B72718554"/>
    <s v="HOWDEN IBERIA SA - A82473349"/>
    <s v="Accredited Insurance (Europe) Limited"/>
    <n v="45834.09"/>
    <n v="0.17499999999999999"/>
    <n v="9224.1029999999992"/>
    <n v="5086.4457502500009"/>
    <n v="6875.07"/>
    <s v="Caución"/>
    <s v="Advance payment"/>
    <s v="Nueva producción"/>
    <d v="2026-01-31T00:00:00"/>
    <n v="52709.159999999996"/>
    <n v="21185.61875025"/>
    <x v="1"/>
    <x v="1"/>
    <x v="0"/>
  </r>
  <r>
    <d v="2026-01-21T00:00:00"/>
    <d v="2026-01-21T00:00:00"/>
    <d v="2026-01-21T00:00:00"/>
    <s v="2025/RQAF/1386/0004"/>
    <s v="THE RESIDENCES DEVCO SL. - B72718554"/>
    <s v="HOWDEN IBERIA SA - A82473349"/>
    <s v="Accredited Insurance (Europe) Limited"/>
    <n v="37478.490000000005"/>
    <n v="0.17499999999999999"/>
    <n v="7542.5384999999997"/>
    <n v="4159.1830402500027"/>
    <n v="5621.73"/>
    <s v="Caución"/>
    <s v="Advance payment"/>
    <s v="Nueva producción"/>
    <d v="2026-01-31T00:00:00"/>
    <n v="43100.22"/>
    <n v="17323.451540250004"/>
    <x v="1"/>
    <x v="1"/>
    <x v="0"/>
  </r>
  <r>
    <d v="2026-01-21T00:00:00"/>
    <d v="2026-01-21T00:00:00"/>
    <d v="2026-01-21T00:00:00"/>
    <s v="2025/RQAF/1386/0005"/>
    <s v="THE RESIDENCES DEVCO SL. - B72718554"/>
    <s v="HOWDEN IBERIA SA - A82473349"/>
    <s v="Accredited Insurance (Europe) Limited"/>
    <n v="37807.480000000003"/>
    <n v="0.17499999999999996"/>
    <n v="7608.7479999999987"/>
    <n v="4195.6924430000026"/>
    <n v="5671.08"/>
    <s v="Caución"/>
    <s v="Advance payment"/>
    <s v="Nueva producción"/>
    <d v="2026-01-31T00:00:00"/>
    <n v="43478.560000000005"/>
    <n v="17475.520443000001"/>
    <x v="1"/>
    <x v="1"/>
    <x v="0"/>
  </r>
  <r>
    <d v="2026-01-21T00:00:00"/>
    <d v="2026-01-21T00:00:00"/>
    <d v="2026-01-21T00:00:00"/>
    <s v="2025/RQAF/1386/0006"/>
    <s v="THE RESIDENCES DEVCO SL. - B72718554"/>
    <s v="HOWDEN IBERIA SA - A82473349"/>
    <s v="Accredited Insurance (Europe) Limited"/>
    <n v="36200.21"/>
    <n v="0.17499999999999999"/>
    <n v="7285.2849999999989"/>
    <n v="4017.3255672500027"/>
    <n v="5429.99"/>
    <s v="Caución"/>
    <s v="Advance payment"/>
    <s v="Nueva producción"/>
    <d v="2026-01-31T00:00:00"/>
    <n v="41630.199999999997"/>
    <n v="16732.600567250003"/>
    <x v="1"/>
    <x v="1"/>
    <x v="0"/>
  </r>
  <r>
    <d v="2026-01-21T00:00:00"/>
    <d v="2026-01-21T00:00:00"/>
    <d v="2026-01-21T00:00:00"/>
    <s v="2025/RQAF/1386/0007"/>
    <s v="THE RESIDENCES DEVCO SL. - B72718554"/>
    <s v="HOWDEN IBERIA SA - A82473349"/>
    <s v="Accredited Insurance (Europe) Limited"/>
    <n v="69703.02"/>
    <n v="0.17499999999999996"/>
    <n v="14027.719999999998"/>
    <n v="7735.3054195000041"/>
    <n v="10455.379999999999"/>
    <s v="Caución"/>
    <s v="Advance payment"/>
    <s v="Nueva producción"/>
    <d v="2026-01-31T00:00:00"/>
    <n v="80158.400000000009"/>
    <n v="32218.405419499999"/>
    <x v="1"/>
    <x v="1"/>
    <x v="0"/>
  </r>
  <r>
    <d v="2026-01-21T00:00:00"/>
    <d v="2026-01-21T00:00:00"/>
    <d v="2026-01-21T00:00:00"/>
    <s v="2025/RQAF/1386/0008"/>
    <s v="THE RESIDENCES DEVCO SL. - B72718554"/>
    <s v="HOWDEN IBERIA SA - A82473349"/>
    <s v="Accredited Insurance (Europe) Limited"/>
    <n v="46431.96"/>
    <n v="0.17500000000000002"/>
    <n v="9344.42425"/>
    <n v="5152.7944610000013"/>
    <n v="6964.75"/>
    <s v="Caución"/>
    <s v="Advance payment"/>
    <s v="Nueva producción"/>
    <d v="2026-01-31T00:00:00"/>
    <n v="53396.71"/>
    <n v="21461.968711000001"/>
    <x v="1"/>
    <x v="1"/>
    <x v="0"/>
  </r>
  <r>
    <d v="2026-01-21T00:00:00"/>
    <d v="2026-01-21T00:00:00"/>
    <d v="2026-01-21T00:00:00"/>
    <s v="2025/RQAF/1386/0009"/>
    <s v="THE RESIDENCES DEVCO SL. - B72718554"/>
    <s v="HOWDEN IBERIA SA - A82473349"/>
    <s v="Accredited Insurance (Europe) Limited"/>
    <n v="29712.78"/>
    <n v="0.17499999999999999"/>
    <n v="5979.6922499999991"/>
    <n v="3297.3804855000008"/>
    <n v="4456.8900000000003"/>
    <s v="Caución"/>
    <s v="Advance payment"/>
    <s v="Nueva producción"/>
    <d v="2026-01-31T00:00:00"/>
    <n v="34169.67"/>
    <n v="13733.962735500001"/>
    <x v="1"/>
    <x v="1"/>
    <x v="0"/>
  </r>
  <r>
    <d v="2026-01-21T00:00:00"/>
    <d v="2026-01-21T00:00:00"/>
    <d v="2026-01-21T00:00:00"/>
    <s v="2025/RQAF/1386/0010"/>
    <s v="THE RESIDENCES DEVCO SL. - B72718554"/>
    <s v="HOWDEN IBERIA SA - A82473349"/>
    <s v="Accredited Insurance (Europe) Limited"/>
    <n v="34087.919999999998"/>
    <n v="0.17499999999999999"/>
    <n v="6860.1872499999999"/>
    <n v="3782.9135720000004"/>
    <n v="5113.1499999999996"/>
    <s v="Caución"/>
    <s v="Advance payment"/>
    <s v="Nueva producción"/>
    <d v="2026-01-31T00:00:00"/>
    <n v="39201.07"/>
    <n v="15756.250822"/>
    <x v="1"/>
    <x v="1"/>
    <x v="0"/>
  </r>
  <r>
    <d v="2026-01-21T00:00:00"/>
    <d v="2026-01-21T00:00:00"/>
    <d v="2026-01-21T00:00:00"/>
    <s v="2025/RQAF/1386/0012"/>
    <s v="THE RESIDENCES DEVCO SL. - B72718554"/>
    <s v="HOWDEN IBERIA SA - A82473349"/>
    <s v="Accredited Insurance (Europe) Limited"/>
    <n v="35623.709999999992"/>
    <n v="0.17499999999999999"/>
    <n v="7169.2652499999986"/>
    <n v="3953.3476047500008"/>
    <n v="5343.52"/>
    <s v="Caución"/>
    <s v="Advance payment"/>
    <s v="Nueva producción"/>
    <d v="2026-01-31T00:00:00"/>
    <n v="40967.229999999996"/>
    <n v="16466.132854750002"/>
    <x v="1"/>
    <x v="1"/>
    <x v="0"/>
  </r>
  <r>
    <d v="2026-01-21T00:00:00"/>
    <d v="2026-01-21T00:00:00"/>
    <d v="2026-01-21T00:00:00"/>
    <s v="2025/RQAF/1386/0013"/>
    <s v="THE RESIDENCES DEVCO SL. - B72718554"/>
    <s v="HOWDEN IBERIA SA - A82473349"/>
    <s v="Accredited Insurance (Europe) Limited"/>
    <n v="38144.23000000001"/>
    <n v="0.17499999999999996"/>
    <n v="7676.5184999999992"/>
    <n v="4233.0637117500055"/>
    <n v="5721.59"/>
    <s v="Caución"/>
    <s v="Advance payment"/>
    <s v="Nueva producción"/>
    <d v="2026-01-31T00:00:00"/>
    <n v="43865.820000000007"/>
    <n v="17631.172211750003"/>
    <x v="1"/>
    <x v="1"/>
    <x v="0"/>
  </r>
  <r>
    <d v="2026-01-21T00:00:00"/>
    <d v="2026-01-21T00:00:00"/>
    <d v="2026-01-21T00:00:00"/>
    <s v="2025/RQAF/1386/0014"/>
    <s v="THE RESIDENCES DEVCO SL. - B72718554"/>
    <s v="HOWDEN IBERIA SA - A82473349"/>
    <s v="Accredited Insurance (Europe) Limited"/>
    <n v="37453.35"/>
    <n v="0.17499999999999999"/>
    <n v="7537.4792499999994"/>
    <n v="4156.3929537500017"/>
    <n v="5617.96"/>
    <s v="Caución"/>
    <s v="Advance payment"/>
    <s v="Nueva producción"/>
    <d v="2026-01-31T00:00:00"/>
    <n v="43071.31"/>
    <n v="17311.83220375"/>
    <x v="1"/>
    <x v="1"/>
    <x v="0"/>
  </r>
  <r>
    <d v="2024-01-08T00:00:00"/>
    <d v="2026-01-01T00:00:00"/>
    <d v="2026-01-12T00:00:00"/>
    <s v="2023/RQAF/1150/0001/SUP1"/>
    <s v="ONE EDEN SERENITY, S.L.U. - B93725497"/>
    <s v="ORES Y BRYAN SL - B29435260"/>
    <s v="Accredited Insurance (Europe) Limited"/>
    <n v="912.74000000000012"/>
    <n v="0.17499999999999999"/>
    <n v="183.68875"/>
    <n v="98.005632500000019"/>
    <n v="136.91"/>
    <s v="Caución"/>
    <s v="Advance payment"/>
    <s v="Cartera"/>
    <d v="2026-01-31T00:00:00"/>
    <n v="1049.6500000000001"/>
    <n v="418.60438250000004"/>
    <x v="1"/>
    <x v="1"/>
    <x v="0"/>
  </r>
  <r>
    <d v="2024-01-08T00:00:00"/>
    <d v="2026-01-01T00:00:00"/>
    <d v="2026-01-12T00:00:00"/>
    <s v="2023/RQAF/1150/0002/SUP1"/>
    <s v="ONE EDEN SERENITY, S.L.U. - B93725497"/>
    <s v="ORES Y BRYAN SL - B29435260"/>
    <s v="Accredited Insurance (Europe) Limited"/>
    <n v="605.98"/>
    <n v="0.17499999999999999"/>
    <n v="121.95399999999999"/>
    <n v="65.066577500000008"/>
    <n v="90.9"/>
    <s v="Caución"/>
    <s v="Advance payment"/>
    <s v="Cartera"/>
    <d v="2026-01-31T00:00:00"/>
    <n v="696.88"/>
    <n v="277.92057750000004"/>
    <x v="1"/>
    <x v="1"/>
    <x v="0"/>
  </r>
  <r>
    <d v="2024-01-08T00:00:00"/>
    <d v="2026-01-01T00:00:00"/>
    <d v="2026-01-12T00:00:00"/>
    <s v="2023/RQAF/1150/0003/SUP1"/>
    <s v="ONE EDEN SERENITY, S.L.U. - B93725497"/>
    <s v="ORES Y BRYAN SL - B29435260"/>
    <s v="Accredited Insurance (Europe) Limited"/>
    <n v="520.92999999999995"/>
    <n v="0.17500000000000002"/>
    <n v="104.83725"/>
    <n v="55.934771249999969"/>
    <n v="78.14"/>
    <s v="Caución"/>
    <s v="Advance payment"/>
    <s v="Cartera"/>
    <d v="2026-01-31T00:00:00"/>
    <n v="599.06999999999994"/>
    <n v="238.91202124999995"/>
    <x v="1"/>
    <x v="1"/>
    <x v="0"/>
  </r>
  <r>
    <d v="2024-02-20T00:00:00"/>
    <d v="2026-01-01T00:00:00"/>
    <d v="2026-01-12T00:00:00"/>
    <s v="2023/RQAF/1150/0004/SUP1"/>
    <s v="ONE EDEN SERENITY, S.L.U. - B93725497"/>
    <s v="ORES Y BRYAN SL - B29435260"/>
    <s v="Accredited Insurance (Europe) Limited"/>
    <n v="973.53"/>
    <n v="0.17499999999999999"/>
    <n v="195.92299999999997"/>
    <n v="104.53269624999999"/>
    <n v="146.03"/>
    <s v="Caución"/>
    <s v="Advance payment"/>
    <s v="Cartera"/>
    <d v="2026-01-31T00:00:00"/>
    <n v="1119.56"/>
    <n v="446.48569624999993"/>
    <x v="1"/>
    <x v="1"/>
    <x v="0"/>
  </r>
  <r>
    <d v="2024-01-08T00:00:00"/>
    <d v="2026-01-01T00:00:00"/>
    <d v="2026-01-12T00:00:00"/>
    <s v="2023/RQAF/1150/0005/SUP1"/>
    <s v="ONE EDEN SERENITY, S.L.U. - B93725497"/>
    <s v="ORES Y BRYAN SL - B29435260"/>
    <s v="Accredited Insurance (Europe) Limited"/>
    <n v="934.98"/>
    <n v="0.17499999999999999"/>
    <n v="188.16524999999999"/>
    <n v="100.39295250000001"/>
    <n v="140.25"/>
    <s v="Caución"/>
    <s v="Advance payment"/>
    <s v="Cartera"/>
    <d v="2026-01-31T00:00:00"/>
    <n v="1075.23"/>
    <n v="428.80820249999999"/>
    <x v="1"/>
    <x v="1"/>
    <x v="0"/>
  </r>
  <r>
    <d v="2024-01-08T00:00:00"/>
    <d v="2026-01-01T00:00:00"/>
    <d v="2026-01-12T00:00:00"/>
    <s v="2023/RQAF/1150/0006/SUP1"/>
    <s v="ONE EDEN SERENITY, S.L.U. - B93725497"/>
    <s v="ORES Y BRYAN SL - B29435260"/>
    <s v="Accredited Insurance (Europe) Limited"/>
    <n v="1913.0499999999995"/>
    <n v="0.17500000000000004"/>
    <n v="385"/>
    <n v="205.41505624999979"/>
    <n v="286.95"/>
    <s v="Caución"/>
    <s v="Advance payment"/>
    <s v="Cartera"/>
    <d v="2026-01-31T00:00:00"/>
    <n v="2199.9999999999995"/>
    <n v="877.36505624999972"/>
    <x v="1"/>
    <x v="1"/>
    <x v="0"/>
  </r>
  <r>
    <d v="2024-02-20T00:00:00"/>
    <d v="2026-01-01T00:00:00"/>
    <d v="2026-01-12T00:00:00"/>
    <s v="2023/RQAF/1150/0007/SUP1"/>
    <s v="ONE EDEN SERENITY, S.L.U. - B93725497"/>
    <s v="ORES Y BRYAN SL - B29435260"/>
    <s v="Accredited Insurance (Europe) Limited"/>
    <n v="990.82"/>
    <n v="0.17499999999999999"/>
    <n v="199.40199999999999"/>
    <n v="106.38982250000004"/>
    <n v="148.62"/>
    <s v="Caución"/>
    <s v="Advance payment"/>
    <s v="Cartera"/>
    <d v="2026-01-31T00:00:00"/>
    <n v="1139.44"/>
    <n v="454.41182250000003"/>
    <x v="1"/>
    <x v="1"/>
    <x v="0"/>
  </r>
  <r>
    <d v="2024-03-12T00:00:00"/>
    <d v="2026-01-01T00:00:00"/>
    <d v="2026-01-12T00:00:00"/>
    <s v="2023/RQAF/1150/0008/SUP1"/>
    <s v="ONE EDEN SERENITY, S.L.U. - B93725497"/>
    <s v="ORES Y BRYAN SL - B29435260"/>
    <s v="Accredited Insurance (Europe) Limited"/>
    <n v="886.53000000000009"/>
    <n v="0.17499999999999996"/>
    <n v="178.41249999999999"/>
    <n v="95.192821250000037"/>
    <n v="132.97"/>
    <s v="Caución"/>
    <s v="Advance payment"/>
    <s v="Cartera"/>
    <d v="2026-01-31T00:00:00"/>
    <n v="1019.5000000000001"/>
    <n v="406.57532125"/>
    <x v="1"/>
    <x v="1"/>
    <x v="0"/>
  </r>
  <r>
    <d v="2024-03-12T00:00:00"/>
    <d v="2026-01-01T00:00:00"/>
    <d v="2026-01-12T00:00:00"/>
    <s v="2023/RQAF/1150/0009/SUP1"/>
    <s v="ONE EDEN SERENITY, S.L.U. - B93725497"/>
    <s v="ORES Y BRYAN SL - B29435260"/>
    <s v="Accredited Insurance (Europe) Limited"/>
    <n v="1121.8399999999999"/>
    <n v="0.17499999999999999"/>
    <n v="225.77099999999996"/>
    <n v="120.45686999999998"/>
    <n v="168.28"/>
    <s v="Caución"/>
    <s v="Advance payment"/>
    <s v="Cartera"/>
    <d v="2026-01-31T00:00:00"/>
    <n v="1290.1199999999999"/>
    <n v="514.50786999999991"/>
    <x v="1"/>
    <x v="1"/>
    <x v="0"/>
  </r>
  <r>
    <d v="2024-05-15T00:00:00"/>
    <d v="2026-01-01T00:00:00"/>
    <d v="2026-01-12T00:00:00"/>
    <s v="2023/RQAF/1150/0010/SUP1"/>
    <s v="ONE EDEN SERENITY, S.L.U. - B93725497"/>
    <s v="ORES Y BRYAN SL - B29435260"/>
    <s v="Accredited Insurance (Europe) Limited"/>
    <n v="821.2199999999998"/>
    <n v="0.17500000000000002"/>
    <n v="165.26999999999998"/>
    <n v="88.179022499999945"/>
    <n v="123.18"/>
    <s v="Caución"/>
    <s v="Advance payment"/>
    <s v="Cartera"/>
    <d v="2026-01-31T00:00:00"/>
    <n v="944.39999999999986"/>
    <n v="376.62902249999991"/>
    <x v="1"/>
    <x v="1"/>
    <x v="0"/>
  </r>
  <r>
    <d v="2024-05-15T00:00:00"/>
    <d v="2026-01-01T00:00:00"/>
    <d v="2026-01-12T00:00:00"/>
    <s v="2023/RQAF/1150/0011/SUP1"/>
    <s v="ONE EDEN SERENITY, S.L.U. - B93725497"/>
    <s v="ORES Y BRYAN SL - B29435260"/>
    <s v="Accredited Insurance (Europe) Limited"/>
    <n v="1231.7"/>
    <n v="0.17499999999999999"/>
    <n v="247.88049999999998"/>
    <n v="132.25291250000004"/>
    <n v="184.76"/>
    <s v="Caución"/>
    <s v="Advance payment"/>
    <s v="Cartera"/>
    <d v="2026-01-31T00:00:00"/>
    <n v="1416.46"/>
    <n v="564.89341250000007"/>
    <x v="1"/>
    <x v="1"/>
    <x v="0"/>
  </r>
  <r>
    <d v="2024-05-15T00:00:00"/>
    <d v="2026-01-01T00:00:00"/>
    <d v="2026-01-12T00:00:00"/>
    <s v="2023/RQAF/1150/0012/SUP1"/>
    <s v="ONE EDEN SERENITY, S.L.U. - B93725497"/>
    <s v="ORES Y BRYAN SL - B29435260"/>
    <s v="Accredited Insurance (Europe) Limited"/>
    <n v="959.67999999999984"/>
    <n v="0.17499999999999999"/>
    <n v="193.13699999999997"/>
    <n v="103.04423999999997"/>
    <n v="143.96"/>
    <s v="Caución"/>
    <s v="Advance payment"/>
    <s v="Cartera"/>
    <d v="2026-01-31T00:00:00"/>
    <n v="1103.6399999999999"/>
    <n v="440.14123999999993"/>
    <x v="1"/>
    <x v="1"/>
    <x v="0"/>
  </r>
  <r>
    <d v="2024-01-08T00:00:00"/>
    <d v="2026-01-01T00:00:00"/>
    <d v="2026-01-12T00:00:00"/>
    <s v="2023/RQAF/1150/0018/SUP1"/>
    <s v="ONE EDEN SERENITY, S.L.U. - B93725497"/>
    <s v="ORES Y BRYAN SL - B29435260"/>
    <s v="Accredited Insurance (Europe) Limited"/>
    <n v="1043.4100000000001"/>
    <n v="0.17499999999999999"/>
    <n v="209.98599999999999"/>
    <n v="112.03641125000001"/>
    <n v="156.51"/>
    <s v="Caución"/>
    <s v="Advance payment"/>
    <s v="Cartera"/>
    <d v="2026-01-31T00:00:00"/>
    <n v="1199.92"/>
    <n v="478.53241125"/>
    <x v="1"/>
    <x v="1"/>
    <x v="0"/>
  </r>
  <r>
    <d v="2024-01-08T00:00:00"/>
    <d v="2026-01-01T00:00:00"/>
    <d v="2026-01-12T00:00:00"/>
    <s v="2023/RQAF/1150/0019/SUP1"/>
    <s v="ONE EDEN SERENITY, S.L.U. - B93725497"/>
    <s v="ORES Y BRYAN SL - B29435260"/>
    <s v="Accredited Insurance (Europe) Limited"/>
    <n v="833.34"/>
    <n v="0.17499999999999999"/>
    <n v="167.70949999999999"/>
    <n v="89.480057499999987"/>
    <n v="125"/>
    <s v="Caución"/>
    <s v="Advance payment"/>
    <s v="Cartera"/>
    <d v="2026-01-31T00:00:00"/>
    <n v="958.34"/>
    <n v="382.18955749999998"/>
    <x v="1"/>
    <x v="1"/>
    <x v="0"/>
  </r>
  <r>
    <d v="2024-03-12T00:00:00"/>
    <d v="2026-01-01T00:00:00"/>
    <d v="2026-01-12T00:00:00"/>
    <s v="2023/RQAF/1150/0020/SUP1"/>
    <s v="ONE EDEN SERENITY, S.L.U. - B93725497"/>
    <s v="ORES Y BRYAN SL - B29435260"/>
    <s v="Accredited Insurance (Europe) Limited"/>
    <n v="878.32000000000016"/>
    <n v="0.17499999999999993"/>
    <n v="176.76224999999997"/>
    <n v="94.30926000000008"/>
    <n v="131.75"/>
    <s v="Caución"/>
    <s v="Advance payment"/>
    <s v="Cartera"/>
    <d v="2026-01-31T00:00:00"/>
    <n v="1010.0700000000002"/>
    <n v="402.82151000000005"/>
    <x v="1"/>
    <x v="1"/>
    <x v="0"/>
  </r>
  <r>
    <d v="2024-01-08T00:00:00"/>
    <d v="2026-01-01T00:00:00"/>
    <d v="2026-01-12T00:00:00"/>
    <s v="2023/RQAF/1150/0021/SUP1"/>
    <s v="ONE EDEN SERENITY, S.L.U. - B93725497"/>
    <s v="ORES Y BRYAN SL - B29435260"/>
    <s v="Accredited Insurance (Europe) Limited"/>
    <n v="1498.56"/>
    <n v="0.17499999999999999"/>
    <n v="301.58624999999995"/>
    <n v="160.90683000000001"/>
    <n v="224.79"/>
    <s v="Caución"/>
    <s v="Advance payment"/>
    <s v="Cartera"/>
    <d v="2026-01-31T00:00:00"/>
    <n v="1723.35"/>
    <n v="687.28307999999993"/>
    <x v="1"/>
    <x v="1"/>
    <x v="0"/>
  </r>
  <r>
    <d v="2024-01-08T00:00:00"/>
    <d v="2026-01-01T00:00:00"/>
    <d v="2026-01-12T00:00:00"/>
    <s v="2023/RQAF/1150/0022/SUP1"/>
    <s v="ONE EDEN SERENITY, S.L.U. - B93725497"/>
    <s v="ORES Y BRYAN SL - B29435260"/>
    <s v="Accredited Insurance (Europe) Limited"/>
    <n v="812.60000000000014"/>
    <n v="0.17499999999999996"/>
    <n v="163.53574999999998"/>
    <n v="87.252925000000062"/>
    <n v="121.89"/>
    <s v="Caución"/>
    <s v="Advance payment"/>
    <s v="Cartera"/>
    <d v="2026-01-31T00:00:00"/>
    <n v="934.49000000000012"/>
    <n v="372.67867500000006"/>
    <x v="1"/>
    <x v="1"/>
    <x v="0"/>
  </r>
  <r>
    <d v="2024-01-08T00:00:00"/>
    <d v="2026-01-01T00:00:00"/>
    <d v="2026-01-12T00:00:00"/>
    <s v="2023/RQAF/1150/0023/SUP1"/>
    <s v="ONE EDEN SERENITY, S.L.U. - B93725497"/>
    <s v="ORES Y BRYAN SL - B29435260"/>
    <s v="Accredited Insurance (Europe) Limited"/>
    <n v="812.60000000000014"/>
    <n v="0.17499999999999996"/>
    <n v="163.53574999999998"/>
    <n v="87.252925000000062"/>
    <n v="121.89"/>
    <s v="Caución"/>
    <s v="Advance payment"/>
    <s v="Cartera"/>
    <d v="2026-01-31T00:00:00"/>
    <n v="934.49000000000012"/>
    <n v="372.67867500000006"/>
    <x v="1"/>
    <x v="1"/>
    <x v="0"/>
  </r>
  <r>
    <d v="2024-01-08T00:00:00"/>
    <d v="2026-01-01T00:00:00"/>
    <d v="2026-01-12T00:00:00"/>
    <s v="2023/RQAF/1150/0024/SUP1"/>
    <s v="ONE EDEN SERENITY, S.L.U. - B93725497"/>
    <s v="ORES Y BRYAN SL - B29435260"/>
    <s v="Accredited Insurance (Europe) Limited"/>
    <n v="795.92"/>
    <n v="0.17499999999999999"/>
    <n v="160.17924999999997"/>
    <n v="85.46156000000002"/>
    <n v="119.39"/>
    <s v="Caución"/>
    <s v="Advance payment"/>
    <s v="Cartera"/>
    <d v="2026-01-31T00:00:00"/>
    <n v="915.31"/>
    <n v="365.03080999999997"/>
    <x v="1"/>
    <x v="1"/>
    <x v="0"/>
  </r>
  <r>
    <d v="2024-01-08T00:00:00"/>
    <d v="2026-01-01T00:00:00"/>
    <d v="2026-01-12T00:00:00"/>
    <s v="2023/RQAF/1150/0025/SUP1"/>
    <s v="ONE EDEN SERENITY, S.L.U. - B93725497"/>
    <s v="ORES Y BRYAN SL - B29435260"/>
    <s v="Accredited Insurance (Europe) Limited"/>
    <n v="1198.76"/>
    <n v="0.17500000000000002"/>
    <n v="241.25150000000002"/>
    <n v="128.71580499999993"/>
    <n v="179.82"/>
    <s v="Caución"/>
    <s v="Advance payment"/>
    <s v="Cartera"/>
    <d v="2026-01-31T00:00:00"/>
    <n v="1378.58"/>
    <n v="549.78730499999995"/>
    <x v="1"/>
    <x v="1"/>
    <x v="0"/>
  </r>
  <r>
    <d v="2024-01-08T00:00:00"/>
    <d v="2026-01-01T00:00:00"/>
    <d v="2026-01-12T00:00:00"/>
    <s v="2023/RQAF/1150/0026/SUP1"/>
    <s v="ONE EDEN SERENITY, S.L.U. - B93725497"/>
    <s v="ORES Y BRYAN SL - B29435260"/>
    <s v="Accredited Insurance (Europe) Limited"/>
    <n v="815.5"/>
    <n v="0.17499999999999996"/>
    <n v="164.12024999999997"/>
    <n v="87.56343750000002"/>
    <n v="122.33"/>
    <s v="Caución"/>
    <s v="Advance payment"/>
    <s v="Cartera"/>
    <d v="2026-01-31T00:00:00"/>
    <n v="937.83"/>
    <n v="374.0136875"/>
    <x v="1"/>
    <x v="1"/>
    <x v="0"/>
  </r>
  <r>
    <d v="2024-01-09T00:00:00"/>
    <d v="2026-01-01T00:00:00"/>
    <d v="2026-01-12T00:00:00"/>
    <s v="2023/RQAF/1150/0027/SUP1"/>
    <s v="ONE EDEN SERENITY, S.L.U. - B93725497"/>
    <s v="ORES Y BRYAN SL - B29435260"/>
    <s v="Accredited Insurance (Europe) Limited"/>
    <n v="1075.23"/>
    <n v="0.17499999999999999"/>
    <n v="216.38924999999998"/>
    <n v="115.45360875000003"/>
    <n v="161.28"/>
    <s v="Caución"/>
    <s v="Advance payment"/>
    <s v="Cartera"/>
    <d v="2026-01-31T00:00:00"/>
    <n v="1236.51"/>
    <n v="493.12285874999998"/>
    <x v="1"/>
    <x v="1"/>
    <x v="0"/>
  </r>
  <r>
    <d v="2024-01-08T00:00:00"/>
    <d v="2026-01-01T00:00:00"/>
    <d v="2026-01-12T00:00:00"/>
    <s v="2023/RQAF/1150/0028/SUP1"/>
    <s v="ONE EDEN SERENITY, S.L.U. - B93725497"/>
    <s v="ORES Y BRYAN SL - B29435260"/>
    <s v="Accredited Insurance (Europe) Limited"/>
    <n v="905.08999999999992"/>
    <n v="0.17500000000000002"/>
    <n v="182.14875000000001"/>
    <n v="97.184651249999945"/>
    <n v="135.76"/>
    <s v="Caución"/>
    <s v="Advance payment"/>
    <s v="Cartera"/>
    <d v="2026-01-31T00:00:00"/>
    <n v="1040.8499999999999"/>
    <n v="415.09340124999994"/>
    <x v="1"/>
    <x v="1"/>
    <x v="0"/>
  </r>
  <r>
    <d v="2024-01-08T00:00:00"/>
    <d v="2026-01-01T00:00:00"/>
    <d v="2026-01-12T00:00:00"/>
    <s v="2023/RQAF/1150/0029/SUP1"/>
    <s v="ONE EDEN SERENITY, S.L.U. - B93725497"/>
    <s v="ORES Y BRYAN SL - B29435260"/>
    <s v="Accredited Insurance (Europe) Limited"/>
    <n v="767.06"/>
    <n v="0.17499999999999999"/>
    <n v="154.37099999999998"/>
    <n v="82.362892499999987"/>
    <n v="115.06"/>
    <s v="Caución"/>
    <s v="Advance payment"/>
    <s v="Cartera"/>
    <d v="2026-01-31T00:00:00"/>
    <n v="882.11999999999989"/>
    <n v="351.79389249999997"/>
    <x v="1"/>
    <x v="1"/>
    <x v="0"/>
  </r>
  <r>
    <d v="2024-01-08T00:00:00"/>
    <d v="2026-01-01T00:00:00"/>
    <d v="2026-01-12T00:00:00"/>
    <s v="2023/RQAF/1150/0030/SUP1"/>
    <s v="ONE EDEN SERENITY, S.L.U. - B93725497"/>
    <s v="ORES Y BRYAN SL - B29435260"/>
    <s v="Accredited Insurance (Europe) Limited"/>
    <n v="767.06"/>
    <n v="0.17499999999999999"/>
    <n v="154.37099999999998"/>
    <n v="82.362892499999987"/>
    <n v="115.06"/>
    <s v="Caución"/>
    <s v="Advance payment"/>
    <s v="Cartera"/>
    <d v="2026-01-31T00:00:00"/>
    <n v="882.11999999999989"/>
    <n v="351.79389249999997"/>
    <x v="1"/>
    <x v="1"/>
    <x v="0"/>
  </r>
  <r>
    <d v="2024-01-08T00:00:00"/>
    <d v="2026-01-01T00:00:00"/>
    <d v="2026-01-12T00:00:00"/>
    <s v="2023/RQAF/1150/0031/SUP1"/>
    <s v="ONE EDEN SERENITY, S.L.U. - B93725497"/>
    <s v="ORES Y BRYAN SL - B29435260"/>
    <s v="Accredited Insurance (Europe) Limited"/>
    <n v="933.16999999999985"/>
    <n v="0.17499999999999999"/>
    <n v="187.79949999999997"/>
    <n v="100.20009124999996"/>
    <n v="139.97"/>
    <s v="Caución"/>
    <s v="Advance payment"/>
    <s v="Cartera"/>
    <d v="2026-01-31T00:00:00"/>
    <n v="1073.1399999999999"/>
    <n v="427.96959124999989"/>
    <x v="1"/>
    <x v="1"/>
    <x v="0"/>
  </r>
  <r>
    <d v="2024-01-08T00:00:00"/>
    <d v="2026-01-01T00:00:00"/>
    <d v="2026-01-12T00:00:00"/>
    <s v="2023/RQAF/1150/0032/SUP1"/>
    <s v="ONE EDEN SERENITY, S.L.U. - B93725497"/>
    <s v="ORES Y BRYAN SL - B29435260"/>
    <s v="Accredited Insurance (Europe) Limited"/>
    <n v="939.35000000000025"/>
    <n v="0.17499999999999996"/>
    <n v="189.04374999999999"/>
    <n v="100.86314375000006"/>
    <n v="140.9"/>
    <s v="Caución"/>
    <s v="Advance payment"/>
    <s v="Cartera"/>
    <d v="2026-01-31T00:00:00"/>
    <n v="1080.2500000000002"/>
    <n v="430.80689375000009"/>
    <x v="1"/>
    <x v="1"/>
    <x v="0"/>
  </r>
  <r>
    <d v="2024-02-20T00:00:00"/>
    <d v="2026-01-01T00:00:00"/>
    <d v="2026-01-12T00:00:00"/>
    <s v="2023/RQAF/1150/0033/SUP1"/>
    <s v="ONE EDEN SERENITY, S.L.U. - B93725497"/>
    <s v="ORES Y BRYAN SL - B29435260"/>
    <s v="Accredited Insurance (Europe) Limited"/>
    <n v="1495.4800000000002"/>
    <n v="0.17499999999999996"/>
    <n v="300.96499999999997"/>
    <n v="160.57751500000006"/>
    <n v="224.32"/>
    <s v="Caución"/>
    <s v="Advance payment"/>
    <s v="Cartera"/>
    <d v="2026-01-31T00:00:00"/>
    <n v="1719.8000000000002"/>
    <n v="685.86251500000003"/>
    <x v="1"/>
    <x v="1"/>
    <x v="0"/>
  </r>
  <r>
    <d v="2024-02-20T00:00:00"/>
    <d v="2026-01-01T00:00:00"/>
    <d v="2026-01-12T00:00:00"/>
    <s v="2023/RQAF/1150/0034/SUP1"/>
    <s v="ONE EDEN SERENITY, S.L.U. - B93725497"/>
    <s v="ORES Y BRYAN SL - B29435260"/>
    <s v="Accredited Insurance (Europe) Limited"/>
    <n v="732.22"/>
    <n v="0.17499999999999996"/>
    <n v="147.35874999999999"/>
    <n v="78.622647499999999"/>
    <n v="109.83"/>
    <s v="Caución"/>
    <s v="Advance payment"/>
    <s v="Cartera"/>
    <d v="2026-01-31T00:00:00"/>
    <n v="842.05000000000007"/>
    <n v="335.8113975"/>
    <x v="1"/>
    <x v="1"/>
    <x v="0"/>
  </r>
  <r>
    <d v="2024-08-13T00:00:00"/>
    <d v="2026-01-01T00:00:00"/>
    <d v="2026-01-12T00:00:00"/>
    <s v="2023/RQAF/1150/0035/SUP1"/>
    <s v="ONE EDEN SERENITY, S.L.U. - B93725497"/>
    <s v="ORES Y BRYAN SL - B29435260"/>
    <s v="Accredited Insurance (Europe) Limited"/>
    <n v="1201.8900000000001"/>
    <n v="0.17499999999999999"/>
    <n v="241.87975"/>
    <n v="129.05355125"/>
    <n v="180.28"/>
    <s v="Caución"/>
    <s v="Advance payment"/>
    <s v="Cartera"/>
    <d v="2026-01-31T00:00:00"/>
    <n v="1382.17"/>
    <n v="551.21330124999997"/>
    <x v="1"/>
    <x v="1"/>
    <x v="0"/>
  </r>
  <r>
    <d v="2024-08-16T00:00:00"/>
    <d v="2026-01-01T00:00:00"/>
    <d v="2026-01-12T00:00:00"/>
    <s v="2023/RQAF/1150/0036/SUP1"/>
    <s v="ONE EDEN SERENITY, S.L.U. - B93725497"/>
    <s v="ORES Y BRYAN SL - B29435260"/>
    <s v="Accredited Insurance (Europe) Limited"/>
    <n v="2110.6999999999998"/>
    <n v="0.17500000000000004"/>
    <n v="424.77750000000003"/>
    <n v="226.63728749999984"/>
    <n v="316.60000000000002"/>
    <s v="Caución"/>
    <s v="Advance payment"/>
    <s v="Cartera"/>
    <d v="2026-01-31T00:00:00"/>
    <n v="2427.2999999999997"/>
    <n v="968.0147874999999"/>
    <x v="1"/>
    <x v="1"/>
    <x v="0"/>
  </r>
  <r>
    <d v="2024-01-08T00:00:00"/>
    <d v="2026-01-01T00:00:00"/>
    <d v="2026-01-12T00:00:00"/>
    <s v="2023/RQAF/1150/0038/SUP1"/>
    <s v="ONE EDEN SERENITY, S.L.U. - B93725497"/>
    <s v="ORES Y BRYAN SL - B29435260"/>
    <s v="Accredited Insurance (Europe) Limited"/>
    <n v="795.98"/>
    <n v="0.17499999999999999"/>
    <n v="160.19149999999999"/>
    <n v="85.467827499999999"/>
    <n v="119.4"/>
    <s v="Caución"/>
    <s v="Advance payment"/>
    <s v="Cartera"/>
    <d v="2026-01-31T00:00:00"/>
    <n v="915.38"/>
    <n v="365.05932749999999"/>
    <x v="1"/>
    <x v="1"/>
    <x v="0"/>
  </r>
  <r>
    <d v="2024-01-08T00:00:00"/>
    <d v="2026-01-01T00:00:00"/>
    <d v="2026-01-12T00:00:00"/>
    <s v="2023/RQAF/1150/0039/SUP1"/>
    <s v="ONE EDEN SERENITY, S.L.U. - B93725497"/>
    <s v="ORES Y BRYAN SL - B29435260"/>
    <s v="Accredited Insurance (Europe) Limited"/>
    <n v="924.47000000000014"/>
    <n v="0.17499999999999996"/>
    <n v="186.04949999999997"/>
    <n v="99.26505375000005"/>
    <n v="138.66999999999999"/>
    <s v="Caución"/>
    <s v="Advance payment"/>
    <s v="Cartera"/>
    <d v="2026-01-31T00:00:00"/>
    <n v="1063.1400000000001"/>
    <n v="423.98455375000003"/>
    <x v="1"/>
    <x v="1"/>
    <x v="0"/>
  </r>
  <r>
    <d v="2024-01-08T00:00:00"/>
    <d v="2026-01-01T00:00:00"/>
    <d v="2026-01-12T00:00:00"/>
    <s v="2023/RQAF/1150/0040/SUP1"/>
    <s v="ONE EDEN SERENITY, S.L.U. - B93725497"/>
    <s v="ORES Y BRYAN SL - B29435260"/>
    <s v="Accredited Insurance (Europe) Limited"/>
    <n v="1564.87"/>
    <n v="0.17500000000000002"/>
    <n v="314.93"/>
    <n v="168.02800374999993"/>
    <n v="234.73"/>
    <s v="Caución"/>
    <s v="Advance payment"/>
    <s v="Cartera"/>
    <d v="2026-01-31T00:00:00"/>
    <n v="1799.6"/>
    <n v="717.68800374999989"/>
    <x v="1"/>
    <x v="1"/>
    <x v="0"/>
  </r>
  <r>
    <d v="2024-01-08T00:00:00"/>
    <d v="2026-01-01T00:00:00"/>
    <d v="2026-01-12T00:00:00"/>
    <s v="2023/RQAF/1150/0041/SUP1"/>
    <s v="ONE EDEN SERENITY, S.L.U. - B93725497"/>
    <s v="ORES Y BRYAN SL - B29435260"/>
    <s v="Accredited Insurance (Europe) Limited"/>
    <n v="985.99000000000012"/>
    <n v="0.17499999999999996"/>
    <n v="198.42899999999997"/>
    <n v="105.87216375000003"/>
    <n v="147.88999999999999"/>
    <s v="Caución"/>
    <s v="Advance payment"/>
    <s v="Cartera"/>
    <d v="2026-01-31T00:00:00"/>
    <n v="1133.8800000000001"/>
    <n v="452.19116374999999"/>
    <x v="1"/>
    <x v="1"/>
    <x v="0"/>
  </r>
  <r>
    <d v="2024-01-08T00:00:00"/>
    <d v="2026-01-01T00:00:00"/>
    <d v="2026-01-12T00:00:00"/>
    <s v="2023/RQAF/1150/0042/SUP1"/>
    <s v="ONE EDEN SERENITY, S.L.U. - B93725497"/>
    <s v="ORES Y BRYAN SL - B29435260"/>
    <s v="Accredited Insurance (Europe) Limited"/>
    <n v="1612.44"/>
    <n v="0.17499999999999999"/>
    <n v="324.50424999999996"/>
    <n v="173.13504500000005"/>
    <n v="241.87"/>
    <s v="Caución"/>
    <s v="Advance payment"/>
    <s v="Cartera"/>
    <d v="2026-01-31T00:00:00"/>
    <n v="1854.31"/>
    <n v="739.50929500000007"/>
    <x v="1"/>
    <x v="1"/>
    <x v="0"/>
  </r>
  <r>
    <d v="2024-01-08T00:00:00"/>
    <d v="2026-01-01T00:00:00"/>
    <d v="2026-01-12T00:00:00"/>
    <s v="2023/RQAF/1150/0043/SUP1"/>
    <s v="ONE EDEN SERENITY, S.L.U. - B93725497"/>
    <s v="ORES Y BRYAN SL - B29435260"/>
    <s v="Accredited Insurance (Europe) Limited"/>
    <n v="1186.18"/>
    <n v="0.17499999999999999"/>
    <n v="238.7175"/>
    <n v="127.36730250000002"/>
    <n v="177.92"/>
    <s v="Caución"/>
    <s v="Advance payment"/>
    <s v="Cartera"/>
    <d v="2026-01-31T00:00:00"/>
    <n v="1364.1000000000001"/>
    <n v="544.00480249999998"/>
    <x v="1"/>
    <x v="1"/>
    <x v="0"/>
  </r>
  <r>
    <d v="2024-01-08T00:00:00"/>
    <d v="2026-01-01T00:00:00"/>
    <d v="2026-01-12T00:00:00"/>
    <s v="2023/RQAF/1150/0044/SUP1"/>
    <s v="ONE EDEN SERENITY, S.L.U. - B93725497"/>
    <s v="ORES Y BRYAN SL - B29435260"/>
    <s v="Accredited Insurance (Europe) Limited"/>
    <n v="1695.7999999999997"/>
    <n v="0.17500000000000002"/>
    <n v="341.27974999999998"/>
    <n v="182.08652499999988"/>
    <n v="254.37"/>
    <s v="Caución"/>
    <s v="Advance payment"/>
    <s v="Cartera"/>
    <d v="2026-01-31T00:00:00"/>
    <n v="1950.1699999999996"/>
    <n v="777.73627499999986"/>
    <x v="1"/>
    <x v="1"/>
    <x v="0"/>
  </r>
  <r>
    <d v="2024-01-08T00:00:00"/>
    <d v="2026-01-01T00:00:00"/>
    <d v="2026-01-12T00:00:00"/>
    <s v="2023/RQAF/1150/0045/SUP1"/>
    <s v="ONE EDEN SERENITY, S.L.U. - B93725497"/>
    <s v="ORES Y BRYAN SL - B29435260"/>
    <s v="Accredited Insurance (Europe) Limited"/>
    <n v="757.66"/>
    <n v="0.17500000000000002"/>
    <n v="152.47925000000001"/>
    <n v="81.353567499999969"/>
    <n v="113.65"/>
    <s v="Caución"/>
    <s v="Advance payment"/>
    <s v="Cartera"/>
    <d v="2026-01-31T00:00:00"/>
    <n v="871.31"/>
    <n v="347.48281750000001"/>
    <x v="1"/>
    <x v="1"/>
    <x v="0"/>
  </r>
  <r>
    <d v="2024-01-08T00:00:00"/>
    <d v="2026-01-01T00:00:00"/>
    <d v="2026-01-12T00:00:00"/>
    <s v="2023/RQAF/1150/0046/SUP1"/>
    <s v="ONE EDEN SERENITY, S.L.U. - B93725497"/>
    <s v="ORES Y BRYAN SL - B29435260"/>
    <s v="Accredited Insurance (Europe) Limited"/>
    <n v="757.66"/>
    <n v="0.17500000000000002"/>
    <n v="152.47925000000001"/>
    <n v="81.353567499999969"/>
    <n v="113.65"/>
    <s v="Caución"/>
    <s v="Advance payment"/>
    <s v="Cartera"/>
    <d v="2026-01-31T00:00:00"/>
    <n v="871.31"/>
    <n v="347.48281750000001"/>
    <x v="1"/>
    <x v="1"/>
    <x v="0"/>
  </r>
  <r>
    <d v="2024-01-08T00:00:00"/>
    <d v="2026-01-01T00:00:00"/>
    <d v="2026-01-12T00:00:00"/>
    <s v="2023/RQAF/1150/0047/SUP1"/>
    <s v="ONE EDEN SERENITY, S.L.U. - B93725497"/>
    <s v="ORES Y BRYAN SL - B29435260"/>
    <s v="Accredited Insurance (Europe) Limited"/>
    <n v="687.21"/>
    <n v="0.17499999999999996"/>
    <n v="138.30074999999999"/>
    <n v="73.789436249999994"/>
    <n v="103.08"/>
    <s v="Caución"/>
    <s v="Advance payment"/>
    <s v="Cartera"/>
    <d v="2026-01-31T00:00:00"/>
    <n v="790.29000000000008"/>
    <n v="315.17018624999997"/>
    <x v="1"/>
    <x v="1"/>
    <x v="0"/>
  </r>
  <r>
    <d v="2024-01-08T00:00:00"/>
    <d v="2026-01-01T00:00:00"/>
    <d v="2026-01-12T00:00:00"/>
    <s v="2023/RQAF/1150/0048/SUP1"/>
    <s v="ONE EDEN SERENITY, S.L.U. - B93725497"/>
    <s v="ORES Y BRYAN SL - B29435260"/>
    <s v="Accredited Insurance (Europe) Limited"/>
    <n v="1200.94"/>
    <n v="0.17500000000000002"/>
    <n v="241.68900000000002"/>
    <n v="128.95110749999998"/>
    <n v="180.14"/>
    <s v="Caución"/>
    <s v="Advance payment"/>
    <s v="Cartera"/>
    <d v="2026-01-31T00:00:00"/>
    <n v="1381.08"/>
    <n v="550.78010749999999"/>
    <x v="1"/>
    <x v="1"/>
    <x v="0"/>
  </r>
  <r>
    <d v="2024-01-08T00:00:00"/>
    <d v="2026-01-01T00:00:00"/>
    <d v="2026-01-12T00:00:00"/>
    <s v="2023/RQAF/1150/0049/SUP1"/>
    <s v="ONE EDEN SERENITY, S.L.U. - B93725497"/>
    <s v="ORES Y BRYAN SL - B29435260"/>
    <s v="Accredited Insurance (Europe) Limited"/>
    <n v="805.48"/>
    <n v="0.17499999999999999"/>
    <n v="162.10249999999999"/>
    <n v="86.488765000000001"/>
    <n v="120.82"/>
    <s v="Caución"/>
    <s v="Advance payment"/>
    <s v="Cartera"/>
    <d v="2026-01-31T00:00:00"/>
    <n v="926.3"/>
    <n v="369.41126499999996"/>
    <x v="1"/>
    <x v="1"/>
    <x v="0"/>
  </r>
  <r>
    <d v="2024-02-08T00:00:00"/>
    <d v="2026-01-01T00:00:00"/>
    <d v="2026-01-12T00:00:00"/>
    <s v="2023/RQAF/1150/0050/SUP1"/>
    <s v="ONE EDEN SERENITY, S.L.U. - B93725497"/>
    <s v="ORES Y BRYAN SL - B29435260"/>
    <s v="Accredited Insurance (Europe) Limited"/>
    <n v="889.91"/>
    <n v="0.17499999999999996"/>
    <n v="179.09499999999997"/>
    <n v="95.553473750000023"/>
    <n v="133.49"/>
    <s v="Caución"/>
    <s v="Advance payment"/>
    <s v="Cartera"/>
    <d v="2026-01-31T00:00:00"/>
    <n v="1023.4"/>
    <n v="408.13847375"/>
    <x v="1"/>
    <x v="1"/>
    <x v="0"/>
  </r>
  <r>
    <d v="2024-01-08T00:00:00"/>
    <d v="2026-01-01T00:00:00"/>
    <d v="2026-01-12T00:00:00"/>
    <s v="2023/RQAF/1150/0051/SUP1"/>
    <s v="ONE EDEN SERENITY, S.L.U. - B93725497"/>
    <s v="ORES Y BRYAN SL - B29435260"/>
    <s v="Accredited Insurance (Europe) Limited"/>
    <n v="796.19"/>
    <n v="0.17499999999999996"/>
    <n v="160.23349999999999"/>
    <n v="85.490638750000016"/>
    <n v="119.43"/>
    <s v="Caución"/>
    <s v="Advance payment"/>
    <s v="Cartera"/>
    <d v="2026-01-31T00:00:00"/>
    <n v="915.62000000000012"/>
    <n v="365.15413875000002"/>
    <x v="1"/>
    <x v="1"/>
    <x v="0"/>
  </r>
  <r>
    <d v="2024-01-08T00:00:00"/>
    <d v="2026-01-01T00:00:00"/>
    <d v="2026-01-12T00:00:00"/>
    <s v="2023/RQAF/1150/0052/SUP1"/>
    <s v="ONE EDEN SERENITY, S.L.U. - B93725497"/>
    <s v="ORES Y BRYAN SL - B29435260"/>
    <s v="Accredited Insurance (Europe) Limited"/>
    <n v="892.57"/>
    <n v="0.17499999999999999"/>
    <n v="179.63049999999998"/>
    <n v="95.838916250000011"/>
    <n v="133.88999999999999"/>
    <s v="Caución"/>
    <s v="Advance payment"/>
    <s v="Cartera"/>
    <d v="2026-01-31T00:00:00"/>
    <n v="1026.46"/>
    <n v="409.35941624999998"/>
    <x v="1"/>
    <x v="1"/>
    <x v="0"/>
  </r>
  <r>
    <d v="2024-02-20T00:00:00"/>
    <d v="2026-01-01T00:00:00"/>
    <d v="2026-01-12T00:00:00"/>
    <s v="2023/RQAF/1150/0053/SUP1"/>
    <s v="ONE EDEN SERENITY, S.L.U. - B93725497"/>
    <s v="ORES Y BRYAN SL - B29435260"/>
    <s v="Accredited Insurance (Europe) Limited"/>
    <n v="834.37"/>
    <n v="0.17499999999999999"/>
    <n v="167.916"/>
    <n v="89.591441250000003"/>
    <n v="125.15"/>
    <s v="Caución"/>
    <s v="Advance payment"/>
    <s v="Cartera"/>
    <d v="2026-01-31T00:00:00"/>
    <n v="959.52"/>
    <n v="382.65744125000003"/>
    <x v="1"/>
    <x v="1"/>
    <x v="0"/>
  </r>
  <r>
    <d v="2024-02-20T00:00:00"/>
    <d v="2026-01-01T00:00:00"/>
    <d v="2026-01-12T00:00:00"/>
    <s v="2023/RQAF/1150/0054/SUP1"/>
    <s v="ONE EDEN SERENITY, S.L.U. - B93725497"/>
    <s v="ORES Y BRYAN SL - B29435260"/>
    <s v="Accredited Insurance (Europe) Limited"/>
    <n v="1193"/>
    <n v="0.17499999999999999"/>
    <n v="240.09125"/>
    <n v="128.09837499999998"/>
    <n v="178.95"/>
    <s v="Caución"/>
    <s v="Advance payment"/>
    <s v="Cartera"/>
    <d v="2026-01-31T00:00:00"/>
    <n v="1371.95"/>
    <n v="547.13962500000002"/>
    <x v="1"/>
    <x v="1"/>
    <x v="0"/>
  </r>
  <r>
    <d v="2024-01-08T00:00:00"/>
    <d v="2026-01-01T00:00:00"/>
    <d v="2026-01-12T00:00:00"/>
    <s v="2023/RQAF/1150/0058/SUP1"/>
    <s v="ONE EDEN SERENITY, S.L.U. - B93725497"/>
    <s v="ORES Y BRYAN SL - B29435260"/>
    <s v="Accredited Insurance (Europe) Limited"/>
    <n v="920.55999999999983"/>
    <n v="0.17499999999999999"/>
    <n v="185.26374999999996"/>
    <n v="98.844079999999963"/>
    <n v="138.09"/>
    <s v="Caución"/>
    <s v="Advance payment"/>
    <s v="Cartera"/>
    <d v="2026-01-31T00:00:00"/>
    <n v="1058.6499999999999"/>
    <n v="422.19782999999995"/>
    <x v="1"/>
    <x v="1"/>
    <x v="0"/>
  </r>
  <r>
    <d v="2024-01-08T00:00:00"/>
    <d v="2026-01-01T00:00:00"/>
    <d v="2026-01-12T00:00:00"/>
    <s v="2023/RQAF/1150/0059/SUP1"/>
    <s v="ONE EDEN SERENITY, S.L.U. - B93725497"/>
    <s v="ORES Y BRYAN SL - B29435260"/>
    <s v="Accredited Insurance (Europe) Limited"/>
    <n v="1048.8399999999999"/>
    <n v="0.17500000000000002"/>
    <n v="211.07974999999999"/>
    <n v="112.61849499999994"/>
    <n v="157.33000000000001"/>
    <s v="Caución"/>
    <s v="Advance payment"/>
    <s v="Cartera"/>
    <d v="2026-01-31T00:00:00"/>
    <n v="1206.1699999999998"/>
    <n v="481.02824499999997"/>
    <x v="1"/>
    <x v="1"/>
    <x v="0"/>
  </r>
  <r>
    <d v="2024-01-08T00:00:00"/>
    <d v="2026-01-01T00:00:00"/>
    <d v="2026-01-12T00:00:00"/>
    <s v="2023/RQAF/1150/0060/SUP1"/>
    <s v="ONE EDEN SERENITY, S.L.U. - B93725497"/>
    <s v="ORES Y BRYAN SL - B29435260"/>
    <s v="Accredited Insurance (Europe) Limited"/>
    <n v="1185.8200000000002"/>
    <n v="0.17499999999999999"/>
    <n v="238.64574999999999"/>
    <n v="127.32794750000002"/>
    <n v="177.87"/>
    <s v="Caución"/>
    <s v="Advance payment"/>
    <s v="Cartera"/>
    <d v="2026-01-31T00:00:00"/>
    <n v="1363.69"/>
    <n v="543.84369749999996"/>
    <x v="1"/>
    <x v="1"/>
    <x v="0"/>
  </r>
  <r>
    <d v="2024-01-08T00:00:00"/>
    <d v="2026-01-01T00:00:00"/>
    <d v="2026-01-12T00:00:00"/>
    <s v="2023/RQAF/1150/0062/SUP1"/>
    <s v="ONE EDEN SERENITY, S.L.U. - B93725497"/>
    <s v="ORES Y BRYAN SL - B29435260"/>
    <s v="Accredited Insurance (Europe) Limited"/>
    <n v="687.43"/>
    <n v="0.17500000000000002"/>
    <n v="138.34450000000001"/>
    <n v="73.813583749999964"/>
    <n v="103.11"/>
    <s v="Caución"/>
    <s v="Advance payment"/>
    <s v="Cartera"/>
    <d v="2026-01-31T00:00:00"/>
    <n v="790.54"/>
    <n v="315.26808374999996"/>
    <x v="1"/>
    <x v="1"/>
    <x v="0"/>
  </r>
  <r>
    <d v="2024-01-08T00:00:00"/>
    <d v="2026-01-01T00:00:00"/>
    <d v="2026-01-12T00:00:00"/>
    <s v="2023/RQAF/1150/0063/SUP1"/>
    <s v="ONE EDEN SERENITY, S.L.U. - B93725497"/>
    <s v="ORES Y BRYAN SL - B29435260"/>
    <s v="Accredited Insurance (Europe) Limited"/>
    <n v="758.3"/>
    <n v="0.17499999999999996"/>
    <n v="152.60699999999997"/>
    <n v="81.423337500000002"/>
    <n v="113.74"/>
    <s v="Caución"/>
    <s v="Advance payment"/>
    <s v="Cartera"/>
    <d v="2026-01-31T00:00:00"/>
    <n v="872.04"/>
    <n v="347.77033749999998"/>
    <x v="1"/>
    <x v="1"/>
    <x v="0"/>
  </r>
  <r>
    <d v="2024-01-08T00:00:00"/>
    <d v="2026-01-01T00:00:00"/>
    <d v="2026-01-12T00:00:00"/>
    <s v="2023/RQAF/1150/0064/SUP1"/>
    <s v="ONE EDEN SERENITY, S.L.U. - B93725497"/>
    <s v="ORES Y BRYAN SL - B29435260"/>
    <s v="Accredited Insurance (Europe) Limited"/>
    <n v="758.27"/>
    <n v="0.17499999999999999"/>
    <n v="152.6"/>
    <n v="81.421078749999992"/>
    <n v="113.73"/>
    <s v="Caución"/>
    <s v="Advance payment"/>
    <s v="Cartera"/>
    <d v="2026-01-31T00:00:00"/>
    <n v="872"/>
    <n v="347.75107874999998"/>
    <x v="1"/>
    <x v="1"/>
    <x v="0"/>
  </r>
  <r>
    <d v="2024-01-08T00:00:00"/>
    <d v="2026-01-01T00:00:00"/>
    <d v="2026-01-12T00:00:00"/>
    <s v="2023/RQAF/1150/0065/SUP1"/>
    <s v="ONE EDEN SERENITY, S.L.U. - B93725497"/>
    <s v="ORES Y BRYAN SL - B29435260"/>
    <s v="Accredited Insurance (Europe) Limited"/>
    <n v="724.06999999999994"/>
    <n v="0.17500000000000002"/>
    <n v="145.71899999999999"/>
    <n v="77.74710374999998"/>
    <n v="108.61"/>
    <s v="Caución"/>
    <s v="Advance payment"/>
    <s v="Cartera"/>
    <d v="2026-01-31T00:00:00"/>
    <n v="832.68"/>
    <n v="332.07610374999996"/>
    <x v="1"/>
    <x v="1"/>
    <x v="0"/>
  </r>
  <r>
    <d v="2024-08-16T00:00:00"/>
    <d v="2026-01-01T00:00:00"/>
    <d v="2026-01-12T00:00:00"/>
    <s v="2023/RQAF/1150/0066/SUP1"/>
    <s v="ONE EDEN SERENITY, S.L.U. - B93725497"/>
    <s v="ORES Y BRYAN SL - B29435260"/>
    <s v="Accredited Insurance (Europe) Limited"/>
    <n v="1036.07"/>
    <n v="0.17499999999999999"/>
    <n v="208.50899999999999"/>
    <n v="111.24810374999996"/>
    <n v="155.41"/>
    <s v="Caución"/>
    <s v="Advance payment"/>
    <s v="Cartera"/>
    <d v="2026-01-31T00:00:00"/>
    <n v="1191.48"/>
    <n v="475.16710374999991"/>
    <x v="1"/>
    <x v="1"/>
    <x v="0"/>
  </r>
  <r>
    <d v="2024-01-08T00:00:00"/>
    <d v="2026-01-01T00:00:00"/>
    <d v="2026-01-12T00:00:00"/>
    <s v="2023/RQAF/1150/0067/SUP1"/>
    <s v="ONE EDEN SERENITY, S.L.U. - B93725497"/>
    <s v="ORES Y BRYAN SL - B29435260"/>
    <s v="Accredited Insurance (Europe) Limited"/>
    <n v="805.62"/>
    <n v="0.17499999999999999"/>
    <n v="162.13049999999998"/>
    <n v="86.503972500000003"/>
    <n v="120.84"/>
    <s v="Caución"/>
    <s v="Advance payment"/>
    <s v="Cartera"/>
    <d v="2026-01-31T00:00:00"/>
    <n v="926.46"/>
    <n v="369.47447249999999"/>
    <x v="1"/>
    <x v="1"/>
    <x v="0"/>
  </r>
  <r>
    <d v="2024-01-08T00:00:00"/>
    <d v="2026-01-01T00:00:00"/>
    <d v="2026-01-12T00:00:00"/>
    <s v="2023/RQAF/1150/0068/SUP1"/>
    <s v="ONE EDEN SERENITY, S.L.U. - B93725497"/>
    <s v="ORES Y BRYAN SL - B29435260"/>
    <s v="Accredited Insurance (Europe) Limited"/>
    <n v="876.88"/>
    <n v="0.17500000000000002"/>
    <n v="176.47"/>
    <n v="94.157090000000011"/>
    <n v="131.52000000000001"/>
    <s v="Caución"/>
    <s v="Advance payment"/>
    <s v="Cartera"/>
    <d v="2026-01-31T00:00:00"/>
    <n v="1008.4"/>
    <n v="402.14709000000005"/>
    <x v="1"/>
    <x v="1"/>
    <x v="0"/>
  </r>
  <r>
    <d v="2024-01-08T00:00:00"/>
    <d v="2026-01-01T00:00:00"/>
    <d v="2026-01-12T00:00:00"/>
    <s v="2023/RQAF/1150/0069/SUP1"/>
    <s v="ONE EDEN SERENITY, S.L.U. - B93725497"/>
    <s v="ORES Y BRYAN SL - B29435260"/>
    <s v="Accredited Insurance (Europe) Limited"/>
    <n v="796.27"/>
    <n v="0.17499999999999999"/>
    <n v="160.24924999999999"/>
    <n v="85.499578749999984"/>
    <n v="119.44"/>
    <s v="Caución"/>
    <s v="Advance payment"/>
    <s v="Cartera"/>
    <d v="2026-01-31T00:00:00"/>
    <n v="915.71"/>
    <n v="365.18882874999997"/>
    <x v="1"/>
    <x v="1"/>
    <x v="0"/>
  </r>
  <r>
    <d v="2024-01-08T00:00:00"/>
    <d v="2026-01-01T00:00:00"/>
    <d v="2026-01-12T00:00:00"/>
    <s v="2023/RQAF/1150/0070/SUP1"/>
    <s v="ONE EDEN SERENITY, S.L.U. - B93725497"/>
    <s v="ORES Y BRYAN SL - B29435260"/>
    <s v="Accredited Insurance (Europe) Limited"/>
    <n v="758.38"/>
    <n v="0.17499999999999999"/>
    <n v="152.62275"/>
    <n v="81.432277499999998"/>
    <n v="113.75"/>
    <s v="Caución"/>
    <s v="Advance payment"/>
    <s v="Cartera"/>
    <d v="2026-01-31T00:00:00"/>
    <n v="872.13"/>
    <n v="347.80502749999999"/>
    <x v="1"/>
    <x v="1"/>
    <x v="0"/>
  </r>
  <r>
    <d v="2024-02-20T00:00:00"/>
    <d v="2026-01-01T00:00:00"/>
    <d v="2026-01-12T00:00:00"/>
    <s v="2023/RQAF/1150/0071/SUP1"/>
    <s v="ONE EDEN SERENITY, S.L.U. - B93725497"/>
    <s v="ORES Y BRYAN SL - B29435260"/>
    <s v="Accredited Insurance (Europe) Limited"/>
    <n v="1187.5700000000002"/>
    <n v="0.17499999999999999"/>
    <n v="238.99924999999999"/>
    <n v="127.51454125000006"/>
    <n v="178.14"/>
    <s v="Caución"/>
    <s v="Advance payment"/>
    <s v="Cartera"/>
    <d v="2026-01-31T00:00:00"/>
    <n v="1365.71"/>
    <n v="544.65379125000004"/>
    <x v="1"/>
    <x v="1"/>
    <x v="0"/>
  </r>
  <r>
    <d v="2024-02-20T00:00:00"/>
    <d v="2026-01-01T00:00:00"/>
    <d v="2026-01-12T00:00:00"/>
    <s v="2023/RQAF/1150/0072/SUP1"/>
    <s v="ONE EDEN SERENITY, S.L.U. - B93725497"/>
    <s v="ORES Y BRYAN SL - B29435260"/>
    <s v="Accredited Insurance (Europe) Limited"/>
    <n v="965.55999999999983"/>
    <n v="0.17499999999999999"/>
    <n v="194.31824999999998"/>
    <n v="103.67770499999995"/>
    <n v="144.83000000000001"/>
    <s v="Caución"/>
    <s v="Advance payment"/>
    <s v="Cartera"/>
    <d v="2026-01-31T00:00:00"/>
    <n v="1110.3899999999999"/>
    <n v="442.82595499999991"/>
    <x v="1"/>
    <x v="1"/>
    <x v="0"/>
  </r>
  <r>
    <d v="2024-03-12T00:00:00"/>
    <d v="2026-01-01T00:00:00"/>
    <d v="2026-01-12T00:00:00"/>
    <s v="2023/RQAF/1150/0073/SUP1"/>
    <s v="ONE EDEN SERENITY, S.L.U. - B93725497"/>
    <s v="ORES Y BRYAN SL - B29435260"/>
    <s v="Accredited Insurance (Europe) Limited"/>
    <n v="2115.94"/>
    <n v="0.17499999999999999"/>
    <n v="425.83274999999998"/>
    <n v="227.19923250000005"/>
    <n v="317.39"/>
    <s v="Caución"/>
    <s v="Advance payment"/>
    <s v="Cartera"/>
    <d v="2026-01-31T00:00:00"/>
    <n v="2433.33"/>
    <n v="970.42198250000001"/>
    <x v="1"/>
    <x v="1"/>
    <x v="0"/>
  </r>
  <r>
    <d v="2024-05-15T00:00:00"/>
    <d v="2026-01-01T00:00:00"/>
    <d v="2026-01-12T00:00:00"/>
    <s v="2023/RQAF/1150/0074/SUP1"/>
    <s v="ONE EDEN SERENITY, S.L.U. - B93725497"/>
    <s v="ORES Y BRYAN SL - B29435260"/>
    <s v="Accredited Insurance (Europe) Limited"/>
    <n v="803.05"/>
    <n v="0.17499999999999999"/>
    <n v="161.61425"/>
    <n v="86.227056249999976"/>
    <n v="120.45999999999998"/>
    <s v="Caución"/>
    <s v="Advance payment"/>
    <s v="Cartera"/>
    <d v="2026-01-31T00:00:00"/>
    <n v="923.51"/>
    <n v="368.30130624999993"/>
    <x v="1"/>
    <x v="1"/>
    <x v="0"/>
  </r>
  <r>
    <d v="2024-05-15T00:00:00"/>
    <d v="2026-01-01T00:00:00"/>
    <d v="2026-01-12T00:00:00"/>
    <s v="2023/RQAF/1150/0075/SUP1"/>
    <s v="ONE EDEN SERENITY, S.L.U. - B93725497"/>
    <s v="ORES Y BRYAN SL - B29435260"/>
    <s v="Accredited Insurance (Europe) Limited"/>
    <n v="893.47"/>
    <n v="0.17499999999999999"/>
    <n v="179.81074999999998"/>
    <n v="95.936428750000005"/>
    <n v="134.02000000000001"/>
    <s v="Caución"/>
    <s v="Advance payment"/>
    <s v="Cartera"/>
    <d v="2026-01-31T00:00:00"/>
    <n v="1027.49"/>
    <n v="409.76717874999997"/>
    <x v="1"/>
    <x v="1"/>
    <x v="0"/>
  </r>
  <r>
    <d v="2024-08-16T00:00:00"/>
    <d v="2026-01-01T00:00:00"/>
    <d v="2026-01-12T00:00:00"/>
    <s v="2023/RQAF/1150/0077/SUP1"/>
    <s v="ONE EDEN SERENITY, S.L.U. - B93725497"/>
    <s v="ORES Y BRYAN SL - B29435260"/>
    <s v="Accredited Insurance (Europe) Limited"/>
    <n v="1473.8599999999997"/>
    <n v="0.17500000000000002"/>
    <n v="296.61449999999996"/>
    <n v="158.25554249999993"/>
    <n v="221.08000000000004"/>
    <s v="Caución"/>
    <s v="Advance payment"/>
    <s v="Cartera"/>
    <d v="2026-01-31T00:00:00"/>
    <n v="1694.9399999999996"/>
    <n v="675.95004249999988"/>
    <x v="1"/>
    <x v="1"/>
    <x v="0"/>
  </r>
  <r>
    <d v="2022-12-12T00:00:00"/>
    <d v="2022-12-12T00:00:00"/>
    <d v="2026-01-16T00:00:00"/>
    <s v="2022/RQAF/1009/0043/REG1"/>
    <s v="ONE EDEN INFINITY 2020 SL. - B93725414"/>
    <s v="ORES Y BRYAN SL - B29435260"/>
    <s v="Accredited Insurance (Europe) Limited"/>
    <n v="1604.3900000000003"/>
    <n v="0.17499999999999993"/>
    <n v="322.88199999999995"/>
    <n v="157.63280500000013"/>
    <n v="240.65"/>
    <s v="Caución"/>
    <s v="Advance payment"/>
    <s v="Nueva producción"/>
    <d v="2026-01-31T00:00:00"/>
    <n v="1845.0400000000004"/>
    <n v="721.16480500000011"/>
    <x v="0"/>
    <x v="2"/>
    <x v="0"/>
  </r>
  <r>
    <d v="2022-12-12T00:00:00"/>
    <d v="2022-12-12T00:00:00"/>
    <d v="2026-01-16T00:00:00"/>
    <s v="2022/RQAF/1009/0036/REG1"/>
    <s v="ONE EDEN INFINITY 2020 SL. - B93725414"/>
    <s v="ORES Y BRYAN SL - B29435260"/>
    <s v="Accredited Insurance (Europe) Limited"/>
    <n v="519.76"/>
    <n v="0.17499999999999999"/>
    <n v="104.601"/>
    <n v="51.067119999999989"/>
    <n v="77.959999999999994"/>
    <s v="Caución"/>
    <s v="Advance payment"/>
    <s v="Nueva producción"/>
    <d v="2026-01-31T00:00:00"/>
    <n v="597.72"/>
    <n v="233.62811999999997"/>
    <x v="0"/>
    <x v="2"/>
    <x v="0"/>
  </r>
  <r>
    <d v="2022-12-12T00:00:00"/>
    <d v="2022-12-12T00:00:00"/>
    <d v="2026-01-16T00:00:00"/>
    <s v="2022/RQAF/1009/0062/REG1"/>
    <s v="ONE EDEN INFINITY 2020 SL. - B93725414"/>
    <s v="ORES Y BRYAN SL - B29435260"/>
    <s v="Accredited Insurance (Europe) Limited"/>
    <n v="774.7600000000001"/>
    <n v="0.17499999999999996"/>
    <n v="155.92149999999998"/>
    <n v="76.119120000000038"/>
    <n v="116.22000000000001"/>
    <s v="Caución"/>
    <s v="Advance payment"/>
    <s v="Nueva producción"/>
    <d v="2026-01-31T00:00:00"/>
    <n v="890.98000000000013"/>
    <n v="348.26062000000002"/>
    <x v="0"/>
    <x v="2"/>
    <x v="0"/>
  </r>
  <r>
    <d v="2022-12-12T00:00:00"/>
    <d v="2022-12-12T00:00:00"/>
    <d v="2026-01-16T00:00:00"/>
    <s v="2022/RQAF/1009/0041/REG1"/>
    <s v="ONE EDEN INFINITY 2020 SL. - B93725414"/>
    <s v="ORES Y BRYAN SL - B29435260"/>
    <s v="Accredited Insurance (Europe) Limited"/>
    <n v="857.46999999999991"/>
    <n v="0.17500000000000002"/>
    <n v="172.56575000000001"/>
    <n v="84.24651499999996"/>
    <n v="128.62"/>
    <s v="Caución"/>
    <s v="Advance payment"/>
    <s v="Nueva producción"/>
    <d v="2026-01-31T00:00:00"/>
    <n v="986.08999999999992"/>
    <n v="385.43226499999997"/>
    <x v="0"/>
    <x v="2"/>
    <x v="0"/>
  </r>
  <r>
    <d v="2022-12-12T00:00:00"/>
    <d v="2022-12-12T00:00:00"/>
    <d v="2026-01-16T00:00:00"/>
    <s v="2022/RQAF/1009/0061/REG1"/>
    <s v="ONE EDEN INFINITY 2020 SL. - B93725414"/>
    <s v="ORES Y BRYAN SL - B29435260"/>
    <s v="Accredited Insurance (Europe) Limited"/>
    <n v="778.39"/>
    <n v="0.17500000000000002"/>
    <n v="156.65125"/>
    <n v="76.476554999999991"/>
    <n v="116.76"/>
    <s v="Caución"/>
    <s v="Advance payment"/>
    <s v="Nueva producción"/>
    <d v="2026-01-31T00:00:00"/>
    <n v="895.15"/>
    <n v="349.88780500000001"/>
    <x v="0"/>
    <x v="2"/>
    <x v="0"/>
  </r>
  <r>
    <d v="2025-12-23T00:00:00"/>
    <d v="2025-12-23T00:00:00"/>
    <d v="2026-01-19T00:00:00"/>
    <s v="2019/RQLC/0505/0001/R6"/>
    <s v="ANTONIO CABALLERO ROMERA - 38782333D"/>
    <s v="DIAGONAL RISC Corredoria d’Assegurances,S.L. - B61467353"/>
    <s v="Accredited Insurance (Europe) Limited"/>
    <n v="176.08695652173901"/>
    <n v="0.13500000000000034"/>
    <n v="27.337500000000055"/>
    <n v="27.289076086956428"/>
    <n v="26.413043478260899"/>
    <s v="Caución"/>
    <s v="Performance"/>
    <s v="Cartera"/>
    <d v="2026-01-31T00:00:00"/>
    <n v="202.49999999999991"/>
    <n v="81.039619565217379"/>
    <x v="0"/>
    <x v="0"/>
    <x v="0"/>
  </r>
  <r>
    <d v="2025-12-27T00:00:00"/>
    <d v="2025-12-27T00:00:00"/>
    <d v="2026-01-27T00:00:00"/>
    <s v="2019/RQLC/0508/0001/R6"/>
    <s v="FEUJOC S.L.  - B65670671"/>
    <s v="DIAGONAL RISC Corredoria d’Assegurances,S.L. - B61467353"/>
    <s v="Accredited Insurance (Europe) Limited"/>
    <n v="215.21739130434798"/>
    <n v="0.13500000000000018"/>
    <n v="33.412500000000065"/>
    <n v="33.353315217391284"/>
    <n v="32.2826086956522"/>
    <s v="Caución"/>
    <s v="Performance"/>
    <s v="Cartera"/>
    <d v="2026-01-31T00:00:00"/>
    <n v="247.50000000000017"/>
    <n v="99.04842391304355"/>
    <x v="0"/>
    <x v="0"/>
    <x v="0"/>
  </r>
  <r>
    <d v="2025-12-27T00:00:00"/>
    <d v="2025-12-27T00:00:00"/>
    <d v="2026-01-27T00:00:00"/>
    <s v="2019/RQLC/0508/0002/R6"/>
    <s v="FEUJOC S.L.  - B65670671"/>
    <s v="DIAGONAL RISC Corredoria d’Assegurances,S.L. - B61467353"/>
    <s v="Accredited Insurance (Europe) Limited"/>
    <n v="173.91304347826099"/>
    <n v="0.13499999999999968"/>
    <n v="26.999999999999947"/>
    <n v="26.952173913043563"/>
    <n v="26.086956521739101"/>
    <s v="Caución"/>
    <s v="Performance"/>
    <s v="Cartera"/>
    <d v="2026-01-31T00:00:00"/>
    <n v="200.00000000000009"/>
    <n v="80.039130434782606"/>
    <x v="0"/>
    <x v="0"/>
    <x v="0"/>
  </r>
  <r>
    <d v="2025-12-01T00:00:00"/>
    <d v="2025-12-01T00:00:00"/>
    <d v="2026-01-15T00:00:00"/>
    <s v="2021/RQLC/0886/0001/R4"/>
    <s v="DAAR SHIPPING AND TRADING SL - B64425937"/>
    <s v="Jori Armengol y Asociados, Correduría de Seguros, S.L. - A58299124"/>
    <s v="Accredited Insurance (Europe) Limited"/>
    <n v="1260.8695652173899"/>
    <n v="0.14000000000000051"/>
    <n v="203.0000000000006"/>
    <n v="188.15326086956415"/>
    <n v="189.13043478260903"/>
    <s v="Caución"/>
    <s v="Performance"/>
    <s v="Cartera"/>
    <d v="2026-01-31T00:00:00"/>
    <n v="1449.9999999999989"/>
    <n v="580.28369565217372"/>
    <x v="0"/>
    <x v="0"/>
    <x v="0"/>
  </r>
  <r>
    <d v="2025-12-05T00:00:00"/>
    <d v="2025-12-05T00:00:00"/>
    <d v="2026-01-14T00:00:00"/>
    <s v="2024/RQLC/1272/0001/R1"/>
    <s v="BAHÍA DE PLATA HOLDCO, S.L.  - B87920757"/>
    <s v="RASHER CORREDURIA DE SEGUROS - B14571434"/>
    <s v="Accredited Insurance (Europe) Limited"/>
    <n v="20034.782608695699"/>
    <n v="0.13999999999999946"/>
    <n v="3225.5999999999949"/>
    <n v="2989.6904347826276"/>
    <n v="3005.2173913043498"/>
    <s v="Caución"/>
    <s v="Performance"/>
    <s v="Cartera"/>
    <d v="2026-01-31T00:00:00"/>
    <n v="23040.000000000051"/>
    <n v="9220.5078260869723"/>
    <x v="0"/>
    <x v="0"/>
    <x v="0"/>
  </r>
  <r>
    <d v="2025-12-05T00:00:00"/>
    <d v="2025-12-05T00:00:00"/>
    <d v="2026-01-13T00:00:00"/>
    <s v="2024/RQLC/1272/0002/R1"/>
    <s v="ABDA ENERGIA S.L. - B10559664"/>
    <s v="RASHER CORREDURIA DE SEGUROS - B14571434"/>
    <s v="Accredited Insurance (Europe) Limited"/>
    <n v="6260.8695652173892"/>
    <n v="0.14000000000000012"/>
    <n v="1008.0000000000006"/>
    <n v="934.27826086956372"/>
    <n v="939.13043478260897"/>
    <s v="Caución"/>
    <s v="Performance"/>
    <s v="Cartera"/>
    <d v="2026-01-31T00:00:00"/>
    <n v="7199.9999999999982"/>
    <n v="2881.4086956521733"/>
    <x v="0"/>
    <x v="0"/>
    <x v="0"/>
  </r>
  <r>
    <d v="2025-12-17T00:00:00"/>
    <d v="2025-12-17T00:00:00"/>
    <d v="2026-01-08T00:00:00"/>
    <s v="2024/RQLC/1278/0001/R1"/>
    <s v="ARGENIA INGENIERIA Y ARQUITECTURA SL - B91657692"/>
    <s v="HOWDEN IBERIA SA - A82473349"/>
    <s v="Accredited Insurance (Europe) Limited"/>
    <n v="545.59"/>
    <n v="0.17500050932557806"/>
    <n v="109.80024999999999"/>
    <n v="59.455407749999992"/>
    <n v="81.838173913043505"/>
    <s v="Caución"/>
    <s v="Performance"/>
    <s v="Cartera"/>
    <d v="2026-01-31T00:00:00"/>
    <n v="627.42817391304357"/>
    <n v="251.09383166304349"/>
    <x v="0"/>
    <x v="0"/>
    <x v="0"/>
  </r>
  <r>
    <d v="2025-12-10T00:00:00"/>
    <d v="2025-12-10T00:00:00"/>
    <d v="2026-01-13T00:00:00"/>
    <s v="2024/RQLC/1272/0005/R1"/>
    <s v="ABDA ENERGIA S.L. - B10559664"/>
    <s v="RASHER CORREDURIA DE SEGUROS - B14571434"/>
    <s v="Accredited Insurance (Europe) Limited"/>
    <n v="8556.5217391304304"/>
    <n v="0.14000000000000007"/>
    <n v="1377.6000000000006"/>
    <n v="1276.8469565217372"/>
    <n v="1283.47826086957"/>
    <s v="Caución"/>
    <s v="Performance"/>
    <s v="Cartera"/>
    <d v="2026-01-31T00:00:00"/>
    <n v="9840"/>
    <n v="3937.9252173913078"/>
    <x v="0"/>
    <x v="0"/>
    <x v="0"/>
  </r>
  <r>
    <d v="2025-12-10T00:00:00"/>
    <d v="2025-12-10T00:00:00"/>
    <d v="2026-01-14T00:00:00"/>
    <s v="2024/RQLC/1272/0006/R1"/>
    <s v="ABDA ENERGIA S.L. - B10559664"/>
    <s v="RASHER CORREDURIA DE SEGUROS - B14571434"/>
    <s v="Accredited Insurance (Europe) Limited"/>
    <n v="17113.043478260901"/>
    <n v="0.13999999999999985"/>
    <n v="2755.2000000000012"/>
    <n v="2553.6939130434862"/>
    <n v="2566.95652173913"/>
    <s v="Caución"/>
    <s v="Performance"/>
    <s v="Cartera"/>
    <d v="2026-01-31T00:00:00"/>
    <n v="19680.000000000029"/>
    <n v="7875.8504347826174"/>
    <x v="0"/>
    <x v="0"/>
    <x v="0"/>
  </r>
  <r>
    <d v="2025-12-18T00:00:00"/>
    <d v="2025-12-18T00:00:00"/>
    <d v="2026-01-13T00:00:00"/>
    <s v="2024/RQLC/1272/0008/R1"/>
    <s v="ABDA ENERGIA S.L. - B10559664"/>
    <s v="RASHER CORREDURIA DE SEGUROS - B14571434"/>
    <s v="Accredited Insurance (Europe) Limited"/>
    <n v="10432.695652173899"/>
    <n v="0.1400000000000006"/>
    <n v="1679.6640000000057"/>
    <n v="1556.819008695642"/>
    <n v="1564.9043478260901"/>
    <s v="Caución"/>
    <s v="Performance"/>
    <s v="Cartera"/>
    <d v="2026-01-31T00:00:00"/>
    <n v="11997.599999999989"/>
    <n v="4801.3873565217382"/>
    <x v="0"/>
    <x v="0"/>
    <x v="0"/>
  </r>
  <r>
    <d v="2025-12-18T00:00:00"/>
    <d v="2025-12-18T00:00:00"/>
    <d v="2026-01-14T00:00:00"/>
    <s v="2024/RQLC/1272/0009/R1"/>
    <s v="ABDA ENERGIA S.L. - B10559664"/>
    <s v="RASHER CORREDURIA DE SEGUROS - B14571434"/>
    <s v="Accredited Insurance (Europe) Limited"/>
    <n v="20865.391304347799"/>
    <n v="0.14000000000000007"/>
    <n v="3359.3279999999972"/>
    <n v="3113.638017391298"/>
    <n v="3129.8086956521702"/>
    <s v="Caución"/>
    <s v="Performance"/>
    <s v="Cartera"/>
    <d v="2026-01-31T00:00:00"/>
    <n v="23995.199999999968"/>
    <n v="9602.7747130434655"/>
    <x v="0"/>
    <x v="0"/>
    <x v="0"/>
  </r>
  <r>
    <d v="2025-12-18T00:00:00"/>
    <d v="2025-12-18T00:00:00"/>
    <d v="2026-01-20T00:00:00"/>
    <s v="2024/RQLC/1271/0002/R1"/>
    <s v="COPIAPO RENOVABLES S.L - B55455737"/>
    <s v="RASHER CORREDURIA DE SEGUROS - B14571434"/>
    <s v="Accredited Insurance (Europe) Limited"/>
    <n v="27130.4347826087"/>
    <n v="0.13999999999999996"/>
    <n v="4367.9999999999991"/>
    <n v="4048.5391304347841"/>
    <n v="4069.5652173912999"/>
    <s v="Caución"/>
    <s v="Performance"/>
    <s v="Cartera"/>
    <d v="2026-01-31T00:00:00"/>
    <n v="31200"/>
    <n v="12486.104347826084"/>
    <x v="0"/>
    <x v="0"/>
    <x v="0"/>
  </r>
  <r>
    <d v="2026-01-21T00:00:00"/>
    <d v="2026-01-21T00:00:00"/>
    <d v="2026-01-21T00:00:00"/>
    <s v="2025/RQAF/1386/0016"/>
    <s v="THE RESIDENCES DEVCO SL. - B72718554"/>
    <s v="HOWDEN IBERIA SA - A82473349"/>
    <s v="Accredited Insurance (Europe) Limited"/>
    <n v="32312.252556220803"/>
    <n v="0.17500000000000018"/>
    <n v="6502.8349743879662"/>
    <n v="3585.8580799780757"/>
    <n v="4846.8044402818196"/>
    <s v="Caución"/>
    <s v="Advance payment"/>
    <s v="Nueva producción"/>
    <d v="2026-01-31T00:00:00"/>
    <n v="37159.056996502622"/>
    <n v="14935.497494647861"/>
    <x v="1"/>
    <x v="1"/>
    <x v="0"/>
  </r>
  <r>
    <d v="2024-11-29T00:00:00"/>
    <d v="2026-07-01T00:00:00"/>
    <d v="2026-01-16T00:00:00"/>
    <s v="2024/RQAF/1237/0009/SUP1"/>
    <s v="DEI HOMES SL. - B93603124"/>
    <s v="Amura 21 Correduría de Seguros S.L. - B87516878"/>
    <s v="Accredited Insurance (Europe) Limited"/>
    <n v="17305.13"/>
    <n v="0.16500000000000001"/>
    <n v="3283.6452000000004"/>
    <n v="2119.4490142500003"/>
    <n v="2595.75"/>
    <s v="Caución"/>
    <s v="Advance payment"/>
    <s v="Cartera"/>
    <d v="2026-01-31T00:00:00"/>
    <n v="19900.88"/>
    <n v="7998.8442142500007"/>
    <x v="5"/>
    <x v="1"/>
    <x v="0"/>
  </r>
  <r>
    <d v="2024-11-29T00:00:00"/>
    <d v="2026-07-01T00:00:00"/>
    <d v="2026-01-16T00:00:00"/>
    <s v="2024/RQAF/1237/0008/SUP1"/>
    <s v="DEI HOMES SL. - B93603124"/>
    <s v="Amura 21 Correduría de Seguros S.L. - B87516878"/>
    <s v="Accredited Insurance (Europe) Limited"/>
    <n v="17305.13"/>
    <n v="0.16500000000000001"/>
    <n v="3283.6452000000004"/>
    <n v="2119.4490142500003"/>
    <n v="2595.75"/>
    <s v="Caución"/>
    <s v="Advance payment"/>
    <s v="Cartera"/>
    <d v="2026-01-31T00:00:00"/>
    <n v="19900.88"/>
    <n v="7998.8442142500007"/>
    <x v="5"/>
    <x v="1"/>
    <x v="0"/>
  </r>
  <r>
    <d v="2026-01-08T00:00:00"/>
    <d v="2026-01-21T00:00:00"/>
    <d v="2026-01-08T00:00:00"/>
    <s v="2024/RQAF/1260/0044"/>
    <s v="INVERCHULLERA GESTION, S.L. - B19319219"/>
    <s v="RASHER CORREDURIA DE SEGUROS - B14571434"/>
    <s v="Accredited Insurance (Europe) Limited"/>
    <n v="8601.5400000000009"/>
    <n v="0.14000000000000001"/>
    <n v="1384.8464000000001"/>
    <n v="1300.7694265000002"/>
    <n v="1290.22"/>
    <s v="Caución"/>
    <s v="Advance payment"/>
    <s v="Nueva producción"/>
    <d v="2026-01-31T00:00:00"/>
    <n v="9891.76"/>
    <n v="3975.8358265000006"/>
    <x v="1"/>
    <x v="1"/>
    <x v="0"/>
  </r>
  <r>
    <d v="2026-01-08T00:00:00"/>
    <d v="2026-01-21T00:00:00"/>
    <d v="2026-01-08T00:00:00"/>
    <s v="2024/RQAF/1260/0045"/>
    <s v="INVERCHULLERA GESTION, S.L. - B19319219"/>
    <s v="RASHER CORREDURIA DE SEGUROS - B14571434"/>
    <s v="Accredited Insurance (Europe) Limited"/>
    <n v="8119.07"/>
    <n v="0.14000000000000001"/>
    <n v="1307.1688000000001"/>
    <n v="1227.8078307500002"/>
    <n v="1217.8499999999999"/>
    <s v="Caución"/>
    <s v="Advance payment"/>
    <s v="Nueva producción"/>
    <d v="2026-01-31T00:00:00"/>
    <n v="9336.92"/>
    <n v="3752.8266307500003"/>
    <x v="1"/>
    <x v="1"/>
    <x v="0"/>
  </r>
  <r>
    <d v="2026-01-08T00:00:00"/>
    <d v="2026-01-21T00:00:00"/>
    <d v="2026-01-12T00:00:00"/>
    <s v="2022/RQLC/0978/0006"/>
    <s v="ARGENIA INGENIERIA Y ARQUITECTURA SL - B91657692"/>
    <s v="HOWDEN IBERIA SA - A82473349"/>
    <s v="Accredited Insurance (Europe) Limited"/>
    <n v="173.91"/>
    <n v="0.17499999999999999"/>
    <n v="35"/>
    <n v="19.299049750000002"/>
    <n v="26.09"/>
    <s v="Caución"/>
    <s v="Performance"/>
    <s v="Nueva producción"/>
    <d v="2026-01-31T00:00:00"/>
    <n v="200"/>
    <n v="80.389049749999998"/>
    <x v="1"/>
    <x v="1"/>
    <x v="0"/>
  </r>
  <r>
    <d v="2026-01-09T00:00:00"/>
    <d v="2026-01-21T00:00:00"/>
    <d v="2026-01-09T00:00:00"/>
    <s v="2024/RQAF/1205/0027"/>
    <s v="KAMPINAS SLU - B29132636"/>
    <s v="HOWDEN IBERIA SA - A82473349"/>
    <s v="Accredited Insurance (Europe) Limited"/>
    <n v="6113.7900000000009"/>
    <n v="0.17499999999999999"/>
    <n v="1230.3987500000001"/>
    <n v="678.47933275000037"/>
    <n v="917.06"/>
    <s v="Caución"/>
    <s v="Advance payment"/>
    <s v="Nueva producción"/>
    <d v="2026-01-31T00:00:00"/>
    <n v="7030.85"/>
    <n v="2825.9380827500004"/>
    <x v="1"/>
    <x v="1"/>
    <x v="0"/>
  </r>
  <r>
    <d v="2026-01-09T00:00:00"/>
    <d v="2026-01-21T00:00:00"/>
    <d v="2026-01-09T00:00:00"/>
    <s v="2025/RQLC/1405/0001"/>
    <s v="GLOBAL TEKTIA SOCIEDAD LIMITADA. - B39469168"/>
    <s v="ORES Y BRYAN SL - B29435260"/>
    <s v="Accredited Insurance (Europe) Limited"/>
    <n v="7872.1899999999987"/>
    <n v="0.17500000000000002"/>
    <n v="1584.27675"/>
    <n v="873.61777274999986"/>
    <n v="1180.82"/>
    <s v="Caución"/>
    <s v="Private"/>
    <s v="Nueva producción"/>
    <d v="2026-01-31T00:00:00"/>
    <n v="9053.0099999999984"/>
    <n v="3638.7145227499996"/>
    <x v="1"/>
    <x v="1"/>
    <x v="0"/>
  </r>
  <r>
    <d v="2022-05-26T00:00:00"/>
    <d v="2026-01-01T00:00:00"/>
    <d v="2026-01-27T00:00:00"/>
    <s v="2022/RQAF/0934/0001/SUP3"/>
    <s v="QIP MEDITERRANEO HOME PROJECTS SL. - B42580613"/>
    <s v="ORES Y BRYAN SL - B29435260"/>
    <s v="Accredited Insurance (Europe) Limited"/>
    <n v="978.63000000000011"/>
    <n v="0.17499999999999993"/>
    <n v="196.94674999999995"/>
    <n v="96.15293500000007"/>
    <n v="146.78"/>
    <s v="Caución"/>
    <s v="Advance payment"/>
    <s v="Cartera"/>
    <d v="2026-01-31T00:00:00"/>
    <n v="1125.4100000000001"/>
    <n v="439.87968499999999"/>
    <x v="1"/>
    <x v="1"/>
    <x v="0"/>
  </r>
  <r>
    <d v="2022-05-20T00:00:00"/>
    <d v="2026-01-01T00:00:00"/>
    <d v="2026-01-27T00:00:00"/>
    <s v="2022/RQAF/0934/0002/SUP2"/>
    <s v="QIP MEDITERRANEO HOME PROJECTS SL. - B42580613"/>
    <s v="ORES Y BRYAN SL - B29435260"/>
    <s v="Accredited Insurance (Europe) Limited"/>
    <n v="979.08"/>
    <n v="0.17499999999999999"/>
    <n v="197.0395"/>
    <n v="96.194960000000009"/>
    <n v="146.86000000000001"/>
    <s v="Caución"/>
    <s v="Advance payment"/>
    <s v="Cartera"/>
    <d v="2026-01-31T00:00:00"/>
    <n v="1125.94"/>
    <n v="440.09446000000003"/>
    <x v="1"/>
    <x v="1"/>
    <x v="0"/>
  </r>
  <r>
    <d v="2022-05-20T00:00:00"/>
    <d v="2026-01-01T00:00:00"/>
    <d v="2026-01-27T00:00:00"/>
    <s v="2022/RQAF/0934/0003/SUP3"/>
    <s v="QIP MEDITERRANEO HOME PROJECTS SL. - B42580613"/>
    <s v="ORES Y BRYAN SL - B29435260"/>
    <s v="Accredited Insurance (Europe) Limited"/>
    <n v="1250.75"/>
    <n v="0.17500000000000002"/>
    <n v="251.71125000000001"/>
    <n v="122.888375"/>
    <n v="187.6"/>
    <s v="Caución"/>
    <s v="Advance payment"/>
    <s v="Cartera"/>
    <d v="2026-01-31T00:00:00"/>
    <n v="1438.35"/>
    <n v="562.19962499999997"/>
    <x v="1"/>
    <x v="1"/>
    <x v="0"/>
  </r>
  <r>
    <d v="2022-05-20T00:00:00"/>
    <d v="2026-01-01T00:00:00"/>
    <d v="2026-01-27T00:00:00"/>
    <s v="2022/RQAF/0934/0004/SUP2"/>
    <s v="QIP MEDITERRANEO HOME PROJECTS SL. - B42580613"/>
    <s v="ORES Y BRYAN SL - B29435260"/>
    <s v="Accredited Insurance (Europe) Limited"/>
    <n v="782.3"/>
    <n v="0.17499999999999999"/>
    <n v="157.43699999999998"/>
    <n v="76.861850000000004"/>
    <n v="117.33999999999999"/>
    <s v="Caución"/>
    <s v="Advance payment"/>
    <s v="Cartera"/>
    <d v="2026-01-31T00:00:00"/>
    <n v="899.64"/>
    <n v="351.63884999999999"/>
    <x v="1"/>
    <x v="1"/>
    <x v="0"/>
  </r>
  <r>
    <d v="2022-05-20T00:00:00"/>
    <d v="2026-01-01T00:00:00"/>
    <d v="2026-01-27T00:00:00"/>
    <s v="2022/RQAF/0934/0005/SUP2"/>
    <s v="QIP MEDITERRANEO HOME PROJECTS SL. - B42580613"/>
    <s v="ORES Y BRYAN SL - B29435260"/>
    <s v="Accredited Insurance (Europe) Limited"/>
    <n v="576.02"/>
    <n v="0.17499999999999999"/>
    <n v="115.92174999999999"/>
    <n v="56.596240000000009"/>
    <n v="86.39"/>
    <s v="Caución"/>
    <s v="Advance payment"/>
    <s v="Cartera"/>
    <d v="2026-01-31T00:00:00"/>
    <n v="662.41"/>
    <n v="258.90798999999998"/>
    <x v="1"/>
    <x v="1"/>
    <x v="0"/>
  </r>
  <r>
    <d v="2022-05-20T00:00:00"/>
    <d v="2026-01-01T00:00:00"/>
    <d v="2026-01-27T00:00:00"/>
    <s v="2022/RQAF/0934/0006/SUP2"/>
    <s v="QIP MEDITERRANEO HOME PROJECTS SL. - B42580613"/>
    <s v="ORES Y BRYAN SL - B29435260"/>
    <s v="Accredited Insurance (Europe) Limited"/>
    <n v="728.7800000000002"/>
    <n v="0.17499999999999996"/>
    <n v="146.66749999999999"/>
    <n v="71.602110000000067"/>
    <n v="109.32"/>
    <s v="Caución"/>
    <s v="Advance payment"/>
    <s v="Cartera"/>
    <d v="2026-01-31T00:00:00"/>
    <n v="838.10000000000014"/>
    <n v="327.58961000000005"/>
    <x v="1"/>
    <x v="1"/>
    <x v="0"/>
  </r>
  <r>
    <d v="2022-05-20T00:00:00"/>
    <d v="2026-01-01T00:00:00"/>
    <d v="2026-01-27T00:00:00"/>
    <s v="2022/RQAF/0934/0007/SUP2"/>
    <s v="QIP MEDITERRANEO HOME PROJECTS SL. - B42580613"/>
    <s v="ORES Y BRYAN SL - B29435260"/>
    <s v="Accredited Insurance (Europe) Limited"/>
    <n v="843.76000000000022"/>
    <n v="0.17499999999999999"/>
    <n v="169.80600000000001"/>
    <n v="82.900120000000044"/>
    <n v="126.56"/>
    <s v="Caución"/>
    <s v="Advance payment"/>
    <s v="Cartera"/>
    <d v="2026-01-31T00:00:00"/>
    <n v="970.32000000000016"/>
    <n v="379.26612000000006"/>
    <x v="1"/>
    <x v="1"/>
    <x v="0"/>
  </r>
  <r>
    <d v="2022-05-20T00:00:00"/>
    <d v="2026-01-01T00:00:00"/>
    <d v="2026-01-27T00:00:00"/>
    <s v="2022/RQAF/0934/0008/SUP2"/>
    <s v="QIP MEDITERRANEO HOME PROJECTS SL. - B42580613"/>
    <s v="ORES Y BRYAN SL - B29435260"/>
    <s v="Accredited Insurance (Europe) Limited"/>
    <n v="642.10000000000014"/>
    <n v="0.17499999999999996"/>
    <n v="129.22174999999999"/>
    <n v="63.087200000000053"/>
    <n v="96.31"/>
    <s v="Caución"/>
    <s v="Advance payment"/>
    <s v="Cartera"/>
    <d v="2026-01-31T00:00:00"/>
    <n v="738.41000000000008"/>
    <n v="288.61895000000004"/>
    <x v="1"/>
    <x v="1"/>
    <x v="0"/>
  </r>
  <r>
    <d v="2022-05-20T00:00:00"/>
    <d v="2026-01-01T00:00:00"/>
    <d v="2026-01-27T00:00:00"/>
    <s v="2022/RQAF/0934/0010/SUP2"/>
    <s v="QIP MEDITERRANEO HOME PROJECTS SL. - B42580613"/>
    <s v="ORES Y BRYAN SL - B29435260"/>
    <s v="Accredited Insurance (Europe) Limited"/>
    <n v="939.2700000000001"/>
    <n v="0.17499999999999996"/>
    <n v="189.02624999999998"/>
    <n v="92.285115000000047"/>
    <n v="140.88"/>
    <s v="Caución"/>
    <s v="Advance payment"/>
    <s v="Cartera"/>
    <d v="2026-01-31T00:00:00"/>
    <n v="1080.1500000000001"/>
    <n v="422.19136500000002"/>
    <x v="1"/>
    <x v="1"/>
    <x v="0"/>
  </r>
  <r>
    <d v="2022-05-20T00:00:00"/>
    <d v="2026-01-01T00:00:00"/>
    <d v="2026-01-27T00:00:00"/>
    <s v="2022/RQAF/0934/0011/SUP2"/>
    <s v="QIP MEDITERRANEO HOME PROJECTS SL. - B42580613"/>
    <s v="ORES Y BRYAN SL - B29435260"/>
    <s v="Accredited Insurance (Europe) Limited"/>
    <n v="1708.22"/>
    <n v="0.17499999999999999"/>
    <n v="343.77875"/>
    <n v="167.83314000000001"/>
    <n v="256.23"/>
    <s v="Caución"/>
    <s v="Advance payment"/>
    <s v="Cartera"/>
    <d v="2026-01-31T00:00:00"/>
    <n v="1964.45"/>
    <n v="767.84189000000003"/>
    <x v="1"/>
    <x v="1"/>
    <x v="0"/>
  </r>
  <r>
    <d v="2022-05-20T00:00:00"/>
    <d v="2026-01-01T00:00:00"/>
    <d v="2026-01-27T00:00:00"/>
    <s v="2022/RQAF/0934/0012/SUP2"/>
    <s v="QIP MEDITERRANEO HOME PROJECTS SL. - B42580613"/>
    <s v="ORES Y BRYAN SL - B29435260"/>
    <s v="Accredited Insurance (Europe) Limited"/>
    <n v="599.09"/>
    <n v="0.17499999999999999"/>
    <n v="120.56625"/>
    <n v="58.861205000000012"/>
    <n v="89.86"/>
    <s v="Caución"/>
    <s v="Advance payment"/>
    <s v="Cartera"/>
    <d v="2026-01-31T00:00:00"/>
    <n v="688.95"/>
    <n v="269.28745500000002"/>
    <x v="1"/>
    <x v="1"/>
    <x v="0"/>
  </r>
  <r>
    <d v="2022-05-20T00:00:00"/>
    <d v="2026-01-01T00:00:00"/>
    <d v="2026-01-27T00:00:00"/>
    <s v="2022/RQAF/0934/0013/SUP2"/>
    <s v="QIP MEDITERRANEO HOME PROJECTS SL. - B42580613"/>
    <s v="ORES Y BRYAN SL - B29435260"/>
    <s v="Accredited Insurance (Europe) Limited"/>
    <n v="511.40000000000003"/>
    <n v="0.17499999999999999"/>
    <n v="102.91924999999999"/>
    <n v="50.245050000000006"/>
    <n v="76.709999999999994"/>
    <s v="Caución"/>
    <s v="Advance payment"/>
    <s v="Cartera"/>
    <d v="2026-01-31T00:00:00"/>
    <n v="588.11"/>
    <n v="229.87430000000001"/>
    <x v="1"/>
    <x v="1"/>
    <x v="0"/>
  </r>
  <r>
    <d v="2022-05-20T00:00:00"/>
    <d v="2026-01-01T00:00:00"/>
    <d v="2026-01-27T00:00:00"/>
    <s v="2022/RQAF/0934/0014/SUP2"/>
    <s v="QIP MEDITERRANEO HOME PROJECTS SL. - B42580613"/>
    <s v="ORES Y BRYAN SL - B29435260"/>
    <s v="Accredited Insurance (Europe) Limited"/>
    <n v="1210.22"/>
    <n v="0.17499999999999999"/>
    <n v="243.55624999999998"/>
    <n v="118.90464000000003"/>
    <n v="181.53"/>
    <s v="Caución"/>
    <s v="Advance payment"/>
    <s v="Cartera"/>
    <d v="2026-01-31T00:00:00"/>
    <n v="1391.75"/>
    <n v="543.99089000000004"/>
    <x v="1"/>
    <x v="1"/>
    <x v="0"/>
  </r>
  <r>
    <d v="2022-05-20T00:00:00"/>
    <d v="2026-01-01T00:00:00"/>
    <d v="2026-01-27T00:00:00"/>
    <s v="2022/RQAF/0934/0015/SUP3"/>
    <s v="QIP MEDITERRANEO HOME PROJECTS SL. - B42580613"/>
    <s v="ORES Y BRYAN SL - B29435260"/>
    <s v="Accredited Insurance (Europe) Limited"/>
    <n v="2293.94"/>
    <n v="0.17499999999999999"/>
    <n v="461.65699999999998"/>
    <n v="225.37803000000002"/>
    <n v="344.1"/>
    <s v="Caución"/>
    <s v="Advance payment"/>
    <s v="Cartera"/>
    <d v="2026-01-31T00:00:00"/>
    <n v="2638.04"/>
    <n v="1031.1350299999999"/>
    <x v="1"/>
    <x v="1"/>
    <x v="0"/>
  </r>
  <r>
    <d v="2022-05-20T00:00:00"/>
    <d v="2026-01-01T00:00:00"/>
    <d v="2026-01-27T00:00:00"/>
    <s v="2022/RQAF/0934/0016/SUP2"/>
    <s v="QIP MEDITERRANEO HOME PROJECTS SL. - B42580613"/>
    <s v="ORES Y BRYAN SL - B29435260"/>
    <s v="Accredited Insurance (Europe) Limited"/>
    <n v="588.49"/>
    <n v="0.17499999999999999"/>
    <n v="118.43299999999999"/>
    <n v="57.819755000000015"/>
    <n v="88.27"/>
    <s v="Caución"/>
    <s v="Advance payment"/>
    <s v="Cartera"/>
    <d v="2026-01-31T00:00:00"/>
    <n v="676.76"/>
    <n v="264.52275500000002"/>
    <x v="1"/>
    <x v="1"/>
    <x v="0"/>
  </r>
  <r>
    <d v="2022-05-26T00:00:00"/>
    <d v="2026-01-01T00:00:00"/>
    <d v="2026-01-27T00:00:00"/>
    <s v="2022/RQAF/0934/0017/SUP2"/>
    <s v="QIP MEDITERRANEO HOME PROJECTS SL. - B42580613"/>
    <s v="ORES Y BRYAN SL - B29435260"/>
    <s v="Accredited Insurance (Europe) Limited"/>
    <n v="1157.54"/>
    <n v="0.17499999999999999"/>
    <n v="232.95474999999999"/>
    <n v="113.72847999999999"/>
    <n v="173.63"/>
    <s v="Caución"/>
    <s v="Advance payment"/>
    <s v="Cartera"/>
    <d v="2026-01-31T00:00:00"/>
    <n v="1331.17"/>
    <n v="520.31322999999998"/>
    <x v="1"/>
    <x v="1"/>
    <x v="0"/>
  </r>
  <r>
    <d v="2022-05-26T00:00:00"/>
    <d v="2026-01-01T00:00:00"/>
    <d v="2026-01-27T00:00:00"/>
    <s v="2022/RQAF/0934/0018/SUP3"/>
    <s v="QIP MEDITERRANEO HOME PROJECTS SL. - B42580613"/>
    <s v="ORES Y BRYAN SL - B29435260"/>
    <s v="Accredited Insurance (Europe) Limited"/>
    <n v="952.53000000000009"/>
    <n v="0.17499999999999993"/>
    <n v="191.69674999999995"/>
    <n v="93.585985000000051"/>
    <n v="142.88"/>
    <s v="Caución"/>
    <s v="Advance payment"/>
    <s v="Cartera"/>
    <d v="2026-01-31T00:00:00"/>
    <n v="1095.4100000000001"/>
    <n v="428.162735"/>
    <x v="1"/>
    <x v="1"/>
    <x v="0"/>
  </r>
  <r>
    <d v="2022-05-26T00:00:00"/>
    <d v="2026-01-01T00:00:00"/>
    <d v="2026-01-27T00:00:00"/>
    <s v="2022/RQAF/0934/0019/SUP2"/>
    <s v="QIP MEDITERRANEO HOME PROJECTS SL. - B42580613"/>
    <s v="ORES Y BRYAN SL - B29435260"/>
    <s v="Accredited Insurance (Europe) Limited"/>
    <n v="467.16"/>
    <n v="0.17499999999999999"/>
    <n v="94.015249999999995"/>
    <n v="45.899170000000012"/>
    <n v="70.069999999999993"/>
    <s v="Caución"/>
    <s v="Advance payment"/>
    <s v="Cartera"/>
    <d v="2026-01-31T00:00:00"/>
    <n v="537.23"/>
    <n v="209.98442"/>
    <x v="1"/>
    <x v="1"/>
    <x v="0"/>
  </r>
  <r>
    <d v="2022-05-26T00:00:00"/>
    <d v="2026-01-01T00:00:00"/>
    <d v="2026-01-27T00:00:00"/>
    <s v="2022/RQAF/0934/0020/SUP2"/>
    <s v="QIP MEDITERRANEO HOME PROJECTS SL. - B42580613"/>
    <s v="ORES Y BRYAN SL - B29435260"/>
    <s v="Accredited Insurance (Europe) Limited"/>
    <n v="651.17999999999984"/>
    <n v="0.17500000000000002"/>
    <n v="131.0505"/>
    <n v="63.977909999999952"/>
    <n v="97.68"/>
    <s v="Caución"/>
    <s v="Advance payment"/>
    <s v="Cartera"/>
    <d v="2026-01-31T00:00:00"/>
    <n v="748.8599999999999"/>
    <n v="292.70840999999996"/>
    <x v="1"/>
    <x v="1"/>
    <x v="0"/>
  </r>
  <r>
    <d v="2022-05-26T00:00:00"/>
    <d v="2026-01-01T00:00:00"/>
    <d v="2026-01-27T00:00:00"/>
    <s v="2022/RQAF/0934/0021/SUP2"/>
    <s v="QIP MEDITERRANEO HOME PROJECTS SL. - B42580613"/>
    <s v="ORES Y BRYAN SL - B29435260"/>
    <s v="Accredited Insurance (Europe) Limited"/>
    <n v="958.62000000000012"/>
    <n v="0.17499999999999996"/>
    <n v="192.92174999999997"/>
    <n v="94.18494000000004"/>
    <n v="143.79"/>
    <s v="Caución"/>
    <s v="Advance payment"/>
    <s v="Cartera"/>
    <d v="2026-01-31T00:00:00"/>
    <n v="1102.4100000000001"/>
    <n v="430.89669000000004"/>
    <x v="1"/>
    <x v="1"/>
    <x v="0"/>
  </r>
  <r>
    <d v="2022-05-26T00:00:00"/>
    <d v="2026-01-01T00:00:00"/>
    <d v="2026-01-27T00:00:00"/>
    <s v="2022/RQAF/0934/0023/SUP2"/>
    <s v="QIP MEDITERRANEO HOME PROJECTS SL. - B42580613"/>
    <s v="ORES Y BRYAN SL - B29435260"/>
    <s v="Accredited Insurance (Europe) Limited"/>
    <n v="881.7399999999999"/>
    <n v="0.17499999999999999"/>
    <n v="177.45174999999998"/>
    <n v="86.629379999999998"/>
    <n v="132.27000000000001"/>
    <s v="Caución"/>
    <s v="Advance payment"/>
    <s v="Cartera"/>
    <d v="2026-01-31T00:00:00"/>
    <n v="1014.0099999999999"/>
    <n v="396.35113000000001"/>
    <x v="1"/>
    <x v="1"/>
    <x v="0"/>
  </r>
  <r>
    <d v="2022-07-05T00:00:00"/>
    <d v="2026-01-01T00:00:00"/>
    <d v="2026-01-27T00:00:00"/>
    <s v="2022/RQAF/0934/0024/SUP2"/>
    <s v="QIP MEDITERRANEO HOME PROJECTS SL. - B42580613"/>
    <s v="ORES Y BRYAN SL - B29435260"/>
    <s v="Accredited Insurance (Europe) Limited"/>
    <n v="626.34"/>
    <n v="0.17499999999999999"/>
    <n v="126.05075000000001"/>
    <n v="61.538079999999994"/>
    <n v="93.95"/>
    <s v="Caución"/>
    <s v="Advance payment"/>
    <s v="Cartera"/>
    <d v="2026-01-31T00:00:00"/>
    <n v="720.29000000000008"/>
    <n v="281.53883000000002"/>
    <x v="1"/>
    <x v="1"/>
    <x v="0"/>
  </r>
  <r>
    <d v="2022-07-05T00:00:00"/>
    <d v="2026-01-01T00:00:00"/>
    <d v="2026-01-27T00:00:00"/>
    <s v="2022/RQAF/0934/0026/SUP2"/>
    <s v="QIP MEDITERRANEO HOME PROJECTS SL. - B42580613"/>
    <s v="ORES Y BRYAN SL - B29435260"/>
    <s v="Accredited Insurance (Europe) Limited"/>
    <n v="1051.3699999999999"/>
    <n v="0.17500000000000004"/>
    <n v="211.58900000000003"/>
    <n v="103.29631499999991"/>
    <n v="157.71"/>
    <s v="Caución"/>
    <s v="Advance payment"/>
    <s v="Cartera"/>
    <d v="2026-01-31T00:00:00"/>
    <n v="1209.08"/>
    <n v="472.59531499999991"/>
    <x v="1"/>
    <x v="1"/>
    <x v="0"/>
  </r>
  <r>
    <d v="2022-07-05T00:00:00"/>
    <d v="2026-01-01T00:00:00"/>
    <d v="2026-01-27T00:00:00"/>
    <s v="2022/RQAF/0934/0027/SUP2"/>
    <s v="QIP MEDITERRANEO HOME PROJECTS SL. - B42580613"/>
    <s v="ORES Y BRYAN SL - B29435260"/>
    <s v="Accredited Insurance (Europe) Limited"/>
    <n v="1102.05"/>
    <n v="0.17499999999999999"/>
    <n v="221.78624999999997"/>
    <n v="108.277725"/>
    <n v="165.3"/>
    <s v="Caución"/>
    <s v="Advance payment"/>
    <s v="Cartera"/>
    <d v="2026-01-31T00:00:00"/>
    <n v="1267.3499999999999"/>
    <n v="495.36397499999998"/>
    <x v="1"/>
    <x v="1"/>
    <x v="0"/>
  </r>
  <r>
    <d v="2022-07-05T00:00:00"/>
    <d v="2026-01-01T00:00:00"/>
    <d v="2026-01-27T00:00:00"/>
    <s v="2022/RQAF/0934/0028/SUP2"/>
    <s v="QIP MEDITERRANEO HOME PROJECTS SL. - B42580613"/>
    <s v="ORES Y BRYAN SL - B29435260"/>
    <s v="Accredited Insurance (Europe) Limited"/>
    <n v="594.37"/>
    <n v="0.17499999999999999"/>
    <n v="119.61774999999999"/>
    <n v="58.396065000000007"/>
    <n v="89.16"/>
    <s v="Caución"/>
    <s v="Advance payment"/>
    <s v="Cartera"/>
    <d v="2026-01-31T00:00:00"/>
    <n v="683.53"/>
    <n v="267.17381499999999"/>
    <x v="1"/>
    <x v="1"/>
    <x v="0"/>
  </r>
  <r>
    <d v="2022-07-05T00:00:00"/>
    <d v="2026-01-01T00:00:00"/>
    <d v="2026-01-27T00:00:00"/>
    <s v="2022/RQAF/0934/0029/SUP2"/>
    <s v="QIP MEDITERRANEO HOME PROJECTS SL. - B42580613"/>
    <s v="ORES Y BRYAN SL - B29435260"/>
    <s v="Accredited Insurance (Europe) Limited"/>
    <n v="974.44000000000017"/>
    <n v="0.17499999999999993"/>
    <n v="196.10499999999996"/>
    <n v="95.739780000000053"/>
    <n v="146.16"/>
    <s v="Caución"/>
    <s v="Advance payment"/>
    <s v="Cartera"/>
    <d v="2026-01-31T00:00:00"/>
    <n v="1120.6000000000001"/>
    <n v="438.00477999999998"/>
    <x v="1"/>
    <x v="1"/>
    <x v="0"/>
  </r>
  <r>
    <d v="2022-07-05T00:00:00"/>
    <d v="2026-01-01T00:00:00"/>
    <d v="2026-01-27T00:00:00"/>
    <s v="2022/RQAF/0934/0030/SUP2"/>
    <s v="QIP MEDITERRANEO HOME PROJECTS SL. - B42580613"/>
    <s v="ORES Y BRYAN SL - B29435260"/>
    <s v="Accredited Insurance (Europe) Limited"/>
    <n v="754.19"/>
    <n v="0.17499999999999999"/>
    <n v="151.78100000000001"/>
    <n v="74.098905000000002"/>
    <n v="113.13"/>
    <s v="Caución"/>
    <s v="Advance payment"/>
    <s v="Cartera"/>
    <d v="2026-01-31T00:00:00"/>
    <n v="867.32"/>
    <n v="339.009905"/>
    <x v="1"/>
    <x v="1"/>
    <x v="0"/>
  </r>
  <r>
    <d v="2022-08-09T00:00:00"/>
    <d v="2026-01-01T00:00:00"/>
    <d v="2026-01-27T00:00:00"/>
    <s v="2022/RQAF/0934/0032/SUP3"/>
    <s v="QIP MEDITERRANEO HOME PROJECTS SL. - B42580613"/>
    <s v="ORES Y BRYAN SL - B29435260"/>
    <s v="Accredited Insurance (Europe) Limited"/>
    <n v="1568.8"/>
    <n v="0.17500000000000002"/>
    <n v="315.721"/>
    <n v="154.13459999999998"/>
    <n v="235.32000000000002"/>
    <s v="Caución"/>
    <s v="Advance payment"/>
    <s v="Cartera"/>
    <d v="2026-01-31T00:00:00"/>
    <n v="1804.12"/>
    <n v="705.17560000000003"/>
    <x v="1"/>
    <x v="1"/>
    <x v="0"/>
  </r>
  <r>
    <d v="2022-08-09T00:00:00"/>
    <d v="2026-01-01T00:00:00"/>
    <d v="2026-01-27T00:00:00"/>
    <s v="2022/RQAF/0934/0033/SUP2"/>
    <s v="QIP MEDITERRANEO HOME PROJECTS SL. - B42580613"/>
    <s v="ORES Y BRYAN SL - B29435260"/>
    <s v="Accredited Insurance (Europe) Limited"/>
    <n v="988.01"/>
    <n v="0.17499999999999999"/>
    <n v="198.83674999999999"/>
    <n v="97.072245000000009"/>
    <n v="148.19999999999999"/>
    <s v="Caución"/>
    <s v="Advance payment"/>
    <s v="Cartera"/>
    <d v="2026-01-31T00:00:00"/>
    <n v="1136.21"/>
    <n v="444.10899499999999"/>
    <x v="1"/>
    <x v="1"/>
    <x v="0"/>
  </r>
  <r>
    <d v="2022-08-09T00:00:00"/>
    <d v="2026-01-01T00:00:00"/>
    <d v="2026-01-27T00:00:00"/>
    <s v="2022/RQAF/0934/0034/SUP2"/>
    <s v="QIP MEDITERRANEO HOME PROJECTS SL. - B42580613"/>
    <s v="ORES Y BRYAN SL - B29435260"/>
    <s v="Accredited Insurance (Europe) Limited"/>
    <n v="987.01000000000022"/>
    <n v="0.17499999999999996"/>
    <n v="198.63549999999998"/>
    <n v="96.973995000000059"/>
    <n v="148.05000000000001"/>
    <s v="Caución"/>
    <s v="Advance payment"/>
    <s v="Cartera"/>
    <d v="2026-01-31T00:00:00"/>
    <n v="1135.0600000000002"/>
    <n v="443.65949500000005"/>
    <x v="1"/>
    <x v="1"/>
    <x v="0"/>
  </r>
  <r>
    <d v="2022-08-09T00:00:00"/>
    <d v="2026-01-01T00:00:00"/>
    <d v="2026-01-27T00:00:00"/>
    <s v="2022/RQAF/0934/0035/SUP2"/>
    <s v="QIP MEDITERRANEO HOME PROJECTS SL. - B42580613"/>
    <s v="ORES Y BRYAN SL - B29435260"/>
    <s v="Accredited Insurance (Europe) Limited"/>
    <n v="1146.81"/>
    <n v="0.17499999999999999"/>
    <n v="230.79699999999997"/>
    <n v="112.672595"/>
    <n v="172.03"/>
    <s v="Caución"/>
    <s v="Advance payment"/>
    <s v="Cartera"/>
    <d v="2026-01-31T00:00:00"/>
    <n v="1318.84"/>
    <n v="515.499595"/>
    <x v="1"/>
    <x v="1"/>
    <x v="0"/>
  </r>
  <r>
    <d v="2022-08-09T00:00:00"/>
    <d v="2026-01-01T00:00:00"/>
    <d v="2026-01-27T00:00:00"/>
    <s v="2022/RQAF/0934/0036/SUP2"/>
    <s v="QIP MEDITERRANEO HOME PROJECTS SL. - B42580613"/>
    <s v="ORES Y BRYAN SL - B29435260"/>
    <s v="Accredited Insurance (Europe) Limited"/>
    <n v="1182.6400000000003"/>
    <n v="0.17499999999999996"/>
    <n v="238.00524999999999"/>
    <n v="116.1954300000001"/>
    <n v="177.39"/>
    <s v="Caución"/>
    <s v="Advance payment"/>
    <s v="Cartera"/>
    <d v="2026-01-31T00:00:00"/>
    <n v="1360.0300000000002"/>
    <n v="531.59068000000002"/>
    <x v="1"/>
    <x v="1"/>
    <x v="0"/>
  </r>
  <r>
    <d v="2022-08-09T00:00:00"/>
    <d v="2026-01-01T00:00:00"/>
    <d v="2026-01-27T00:00:00"/>
    <s v="2022/RQAF/0934/0037/SUP2"/>
    <s v="QIP MEDITERRANEO HOME PROJECTS SL. - B42580613"/>
    <s v="ORES Y BRYAN SL - B29435260"/>
    <s v="Accredited Insurance (Europe) Limited"/>
    <n v="1177.1600000000001"/>
    <n v="0.17499999999999999"/>
    <n v="236.90099999999998"/>
    <n v="115.65842000000001"/>
    <n v="176.56"/>
    <s v="Caución"/>
    <s v="Advance payment"/>
    <s v="Cartera"/>
    <d v="2026-01-31T00:00:00"/>
    <n v="1353.72"/>
    <n v="529.11941999999999"/>
    <x v="1"/>
    <x v="1"/>
    <x v="0"/>
  </r>
  <r>
    <d v="2022-09-06T00:00:00"/>
    <d v="2026-01-01T00:00:00"/>
    <d v="2026-01-27T00:00:00"/>
    <s v="2022/RQAF/0934/0038/SUP2"/>
    <s v="QIP MEDITERRANEO HOME PROJECTS SL. - B42580613"/>
    <s v="ORES Y BRYAN SL - B29435260"/>
    <s v="Accredited Insurance (Europe) Limited"/>
    <n v="788.21"/>
    <n v="0.17499999999999999"/>
    <n v="158.62875"/>
    <n v="77.440145000000001"/>
    <n v="118.24"/>
    <s v="Caución"/>
    <s v="Advance payment"/>
    <s v="Cartera"/>
    <d v="2026-01-31T00:00:00"/>
    <n v="906.45"/>
    <n v="354.30889500000001"/>
    <x v="1"/>
    <x v="1"/>
    <x v="0"/>
  </r>
  <r>
    <d v="2022-10-20T00:00:00"/>
    <d v="2026-01-01T00:00:00"/>
    <d v="2026-01-27T00:00:00"/>
    <s v="2022/RQAF/0934/0039/SUP2"/>
    <s v="QIP MEDITERRANEO HOME PROJECTS SL. - B42580613"/>
    <s v="ORES Y BRYAN SL - B29435260"/>
    <s v="Accredited Insurance (Europe) Limited"/>
    <n v="1093.81"/>
    <n v="0.17499999999999999"/>
    <n v="220.12899999999996"/>
    <n v="107.46709500000003"/>
    <n v="164.07"/>
    <s v="Caución"/>
    <s v="Advance payment"/>
    <s v="Cartera"/>
    <d v="2026-01-31T00:00:00"/>
    <n v="1257.8799999999999"/>
    <n v="491.66609499999998"/>
    <x v="1"/>
    <x v="1"/>
    <x v="0"/>
  </r>
  <r>
    <d v="2022-10-20T00:00:00"/>
    <d v="2026-01-01T00:00:00"/>
    <d v="2026-01-27T00:00:00"/>
    <s v="2022/RQAF/0934/0040/SUP2"/>
    <s v="QIP MEDITERRANEO HOME PROJECTS SL. - B42580613"/>
    <s v="ORES Y BRYAN SL - B29435260"/>
    <s v="Accredited Insurance (Europe) Limited"/>
    <n v="707.19"/>
    <n v="0.17499999999999999"/>
    <n v="142.32049999999998"/>
    <n v="69.482905000000017"/>
    <n v="106.07"/>
    <s v="Caución"/>
    <s v="Advance payment"/>
    <s v="Cartera"/>
    <d v="2026-01-31T00:00:00"/>
    <n v="813.26"/>
    <n v="317.87340499999999"/>
    <x v="1"/>
    <x v="1"/>
    <x v="0"/>
  </r>
  <r>
    <d v="2022-10-20T00:00:00"/>
    <d v="2026-01-01T00:00:00"/>
    <d v="2026-01-27T00:00:00"/>
    <s v="2022/RQAF/0934/0041/SUP2"/>
    <s v="QIP MEDITERRANEO HOME PROJECTS SL. - B42580613"/>
    <s v="ORES Y BRYAN SL - B29435260"/>
    <s v="Accredited Insurance (Europe) Limited"/>
    <n v="904.79"/>
    <n v="0.17499999999999999"/>
    <n v="182.08749999999998"/>
    <n v="88.89710500000001"/>
    <n v="135.71"/>
    <s v="Caución"/>
    <s v="Advance payment"/>
    <s v="Cartera"/>
    <d v="2026-01-31T00:00:00"/>
    <n v="1040.5"/>
    <n v="406.69460500000002"/>
    <x v="1"/>
    <x v="1"/>
    <x v="0"/>
  </r>
  <r>
    <d v="2023-02-02T00:00:00"/>
    <d v="2026-01-01T00:00:00"/>
    <d v="2026-01-27T00:00:00"/>
    <s v="2022/RQAF/0934/0043/SUP2"/>
    <s v="QIP MEDITERRANEO HOME PROJECTS SL. - B42580613"/>
    <s v="ORES Y BRYAN SL - B29435260"/>
    <s v="Accredited Insurance (Europe) Limited"/>
    <n v="1079.46"/>
    <n v="0.17499999999999996"/>
    <n v="217.24149999999997"/>
    <n v="106.05677000000003"/>
    <n v="161.91999999999999"/>
    <s v="Caución"/>
    <s v="Advance payment"/>
    <s v="Cartera"/>
    <d v="2026-01-31T00:00:00"/>
    <n v="1241.3800000000001"/>
    <n v="485.21826999999996"/>
    <x v="1"/>
    <x v="1"/>
    <x v="0"/>
  </r>
  <r>
    <d v="2023-02-02T00:00:00"/>
    <d v="2026-01-01T00:00:00"/>
    <d v="2026-01-27T00:00:00"/>
    <s v="2022/RQAF/0934/0044/SUP2"/>
    <s v="QIP MEDITERRANEO HOME PROJECTS SL. - B42580613"/>
    <s v="ORES Y BRYAN SL - B29435260"/>
    <s v="Accredited Insurance (Europe) Limited"/>
    <n v="830.96999999999991"/>
    <n v="0.17500000000000002"/>
    <n v="167.23175000000001"/>
    <n v="81.643764999999973"/>
    <n v="124.64"/>
    <s v="Caución"/>
    <s v="Advance payment"/>
    <s v="Cartera"/>
    <d v="2026-01-31T00:00:00"/>
    <n v="955.6099999999999"/>
    <n v="373.51551499999999"/>
    <x v="1"/>
    <x v="1"/>
    <x v="0"/>
  </r>
  <r>
    <d v="2023-02-02T00:00:00"/>
    <d v="2026-01-01T00:00:00"/>
    <d v="2026-01-27T00:00:00"/>
    <s v="2022/RQAF/0934/0045/SUP2"/>
    <s v="QIP MEDITERRANEO HOME PROJECTS SL. - B42580613"/>
    <s v="ORES Y BRYAN SL - B29435260"/>
    <s v="Accredited Insurance (Europe) Limited"/>
    <n v="724.03000000000009"/>
    <n v="0.17499999999999999"/>
    <n v="145.71025"/>
    <n v="71.136735000000016"/>
    <n v="108.6"/>
    <s v="Caución"/>
    <s v="Advance payment"/>
    <s v="Cartera"/>
    <d v="2026-01-31T00:00:00"/>
    <n v="832.63000000000011"/>
    <n v="325.44698500000004"/>
    <x v="1"/>
    <x v="1"/>
    <x v="0"/>
  </r>
  <r>
    <d v="2023-02-06T00:00:00"/>
    <d v="2026-01-01T00:00:00"/>
    <d v="2026-01-27T00:00:00"/>
    <s v="2022/RQAF/0934/0047/SUP2"/>
    <s v="QIP MEDITERRANEO HOME PROJECTS SL. - B42580613"/>
    <s v="ORES Y BRYAN SL - B29435260"/>
    <s v="Accredited Insurance (Europe) Limited"/>
    <n v="716.73"/>
    <n v="0.17499999999999999"/>
    <n v="144.24199999999999"/>
    <n v="70.418634999999995"/>
    <n v="107.51"/>
    <s v="Caución"/>
    <s v="Advance payment"/>
    <s v="Cartera"/>
    <d v="2026-01-31T00:00:00"/>
    <n v="824.24"/>
    <n v="322.170635"/>
    <x v="1"/>
    <x v="1"/>
    <x v="0"/>
  </r>
  <r>
    <d v="2023-02-06T00:00:00"/>
    <d v="2026-01-01T00:00:00"/>
    <d v="2026-01-27T00:00:00"/>
    <s v="2022/RQAF/0934/0048/SUP2"/>
    <s v="QIP MEDITERRANEO HOME PROJECTS SL. - B42580613"/>
    <s v="ORES Y BRYAN SL - B29435260"/>
    <s v="Accredited Insurance (Europe) Limited"/>
    <n v="1571.88"/>
    <n v="0.17500000000000002"/>
    <n v="316.34050000000002"/>
    <n v="154.43756000000002"/>
    <n v="235.78"/>
    <s v="Caución"/>
    <s v="Advance payment"/>
    <s v="Cartera"/>
    <d v="2026-01-31T00:00:00"/>
    <n v="1807.66"/>
    <n v="706.55806000000007"/>
    <x v="1"/>
    <x v="1"/>
    <x v="0"/>
  </r>
  <r>
    <d v="2023-02-06T00:00:00"/>
    <d v="2026-01-01T00:00:00"/>
    <d v="2026-01-27T00:00:00"/>
    <s v="2022/RQAF/0934/0049/SUP2"/>
    <s v="QIP MEDITERRANEO HOME PROJECTS SL. - B42580613"/>
    <s v="ORES Y BRYAN SL - B29435260"/>
    <s v="Accredited Insurance (Europe) Limited"/>
    <n v="696.77"/>
    <n v="0.17500000000000002"/>
    <n v="140.22225"/>
    <n v="68.460364999999996"/>
    <n v="104.5"/>
    <s v="Caución"/>
    <s v="Advance payment"/>
    <s v="Cartera"/>
    <d v="2026-01-31T00:00:00"/>
    <n v="801.27"/>
    <n v="313.182615"/>
    <x v="1"/>
    <x v="1"/>
    <x v="0"/>
  </r>
  <r>
    <d v="2023-02-06T00:00:00"/>
    <d v="2026-01-01T00:00:00"/>
    <d v="2026-01-27T00:00:00"/>
    <s v="2022/RQAF/0934/0050/SUP2"/>
    <s v="QIP MEDITERRANEO HOME PROJECTS SL. - B42580613"/>
    <s v="ORES Y BRYAN SL - B29435260"/>
    <s v="Accredited Insurance (Europe) Limited"/>
    <n v="623.30999999999995"/>
    <n v="0.17500000000000002"/>
    <n v="125.44"/>
    <n v="61.241344999999967"/>
    <n v="93.49"/>
    <s v="Caución"/>
    <s v="Advance payment"/>
    <s v="Cartera"/>
    <d v="2026-01-31T00:00:00"/>
    <n v="716.8"/>
    <n v="280.17134499999997"/>
    <x v="1"/>
    <x v="1"/>
    <x v="0"/>
  </r>
  <r>
    <d v="2023-03-31T00:00:00"/>
    <d v="2026-01-01T00:00:00"/>
    <d v="2026-01-27T00:00:00"/>
    <s v="2022/RQAF/0934/0051/SUP2"/>
    <s v="QIP MEDITERRANEO HOME PROJECTS SL. - B42580613"/>
    <s v="ORES Y BRYAN SL - B29435260"/>
    <s v="Accredited Insurance (Europe) Limited"/>
    <n v="2032.5100000000002"/>
    <n v="0.17499999999999999"/>
    <n v="409.04149999999998"/>
    <n v="199.69524500000006"/>
    <n v="304.87"/>
    <s v="Caución"/>
    <s v="Advance payment"/>
    <s v="Cartera"/>
    <d v="2026-01-31T00:00:00"/>
    <n v="2337.38"/>
    <n v="913.60674500000005"/>
    <x v="1"/>
    <x v="1"/>
    <x v="0"/>
  </r>
  <r>
    <d v="2023-07-05T00:00:00"/>
    <d v="2025-10-31T00:00:00"/>
    <d v="2026-01-27T00:00:00"/>
    <s v="2022/RQAF/0934/0056/SUP1"/>
    <s v="QIP MEDITERRANEO HOME PROJECTS SL. - B42580613"/>
    <s v="ORES Y BRYAN SL - B29435260"/>
    <s v="Accredited Insurance (Europe) Limited"/>
    <n v="1101.06"/>
    <n v="0.17499999999999996"/>
    <n v="221.58849999999995"/>
    <n v="108.17896999999999"/>
    <n v="165.16"/>
    <s v="Caución"/>
    <s v="Advance payment"/>
    <s v="Cartera"/>
    <d v="2026-01-31T00:00:00"/>
    <n v="1266.22"/>
    <n v="494.92746999999997"/>
    <x v="3"/>
    <x v="0"/>
    <x v="0"/>
  </r>
  <r>
    <d v="2026-01-20T00:00:00"/>
    <d v="2026-01-20T00:00:00"/>
    <d v="2026-01-16T00:00:00"/>
    <s v="2025/RQLC/1406/0001"/>
    <s v="CENTRO SUPERIOR DE FORMACION EUROPA-SUR SA - A92194844"/>
    <s v="ORES Y BRYAN SL - B29435260"/>
    <s v="Accredited Insurance (Europe) Limited"/>
    <n v="11276.1"/>
    <n v="0.17499999999999999"/>
    <n v="2269.3125"/>
    <n v="1251.3678225000003"/>
    <n v="1691.4"/>
    <s v="Caución"/>
    <s v="Performance"/>
    <s v="Nueva producción"/>
    <d v="2026-01-31T00:00:00"/>
    <n v="12967.5"/>
    <n v="5212.0803225"/>
    <x v="1"/>
    <x v="1"/>
    <x v="0"/>
  </r>
  <r>
    <d v="2024-11-29T00:00:00"/>
    <d v="2026-07-01T00:00:00"/>
    <d v="2026-01-23T00:00:00"/>
    <s v="2024/RQAF/1237/0007/SUP1"/>
    <s v="DEI HOMES SL. - B93603124"/>
    <s v="Amura 21 Correduría de Seguros S.L. - B87516878"/>
    <s v="Accredited Insurance (Europe) Limited"/>
    <n v="11536.75"/>
    <n v="0.16500000000000001"/>
    <n v="2189.0962500000001"/>
    <n v="1371.4332187499999"/>
    <n v="1730.5"/>
    <s v="Caución"/>
    <s v="Advance payment"/>
    <s v="Cartera"/>
    <d v="2026-01-31T00:00:00"/>
    <n v="13267.25"/>
    <n v="5291.02946875"/>
    <x v="5"/>
    <x v="1"/>
    <x v="0"/>
  </r>
  <r>
    <d v="2024-11-29T00:00:00"/>
    <d v="2026-07-01T00:00:00"/>
    <d v="2026-01-23T00:00:00"/>
    <s v="2024/RQAF/1237/0010/SUP1"/>
    <s v="DEI HOMES SL. - B93603124"/>
    <s v="Amura 21 Correduría de Seguros S.L. - B87516878"/>
    <s v="Accredited Insurance (Europe) Limited"/>
    <n v="11536.75"/>
    <n v="0.16500000000000001"/>
    <n v="2189.0962500000001"/>
    <n v="1371.4332187499999"/>
    <n v="1730.5"/>
    <s v="Caución"/>
    <s v="Advance payment"/>
    <s v="Cartera"/>
    <d v="2026-01-31T00:00:00"/>
    <n v="13267.25"/>
    <n v="5291.02946875"/>
    <x v="5"/>
    <x v="1"/>
    <x v="0"/>
  </r>
  <r>
    <d v="2026-01-19T00:00:00"/>
    <d v="2026-01-23T00:00:00"/>
    <d v="2026-01-23T00:00:00"/>
    <s v="2025/RQLC/1364/0005"/>
    <s v="LIROLA INGENIERIA Y OBRAS SOCIEDAD LIMITADA - B04683124"/>
    <s v="ORES Y BRYAN SL - B29435260"/>
    <s v="Accredited Insurance (Europe) Limited"/>
    <n v="1677.29"/>
    <n v="0.17499999999999999"/>
    <n v="337.55399999999997"/>
    <n v="186.13787025000011"/>
    <n v="251.59"/>
    <s v="Caución"/>
    <s v="Performance"/>
    <s v="Nueva producción"/>
    <d v="2026-01-31T00:00:00"/>
    <n v="1928.8799999999999"/>
    <n v="775.28187025000011"/>
    <x v="1"/>
    <x v="1"/>
    <x v="0"/>
  </r>
  <r>
    <d v="2026-01-26T00:00:00"/>
    <d v="2026-01-30T00:00:00"/>
    <d v="2026-01-26T00:00:00"/>
    <s v="2026/RQLC/1410/0001"/>
    <s v="LUMINORA SOLAR VEINTITRES SL. - B05399910"/>
    <s v="WILLIS IBERIA SA - A28961639"/>
    <s v="Accredited Insurance (Europe) Limited"/>
    <n v="1410.58"/>
    <n v="0.14000000000000004"/>
    <n v="227.10240000000005"/>
    <n v="213.31594049999995"/>
    <n v="211.58000000000004"/>
    <s v="Caución"/>
    <s v="Performance"/>
    <s v="Nueva producción"/>
    <d v="2026-01-31T00:00:00"/>
    <n v="1622.1599999999999"/>
    <n v="651.99834050000004"/>
    <x v="1"/>
    <x v="1"/>
    <x v="0"/>
  </r>
  <r>
    <d v="2026-01-26T00:00:00"/>
    <d v="2026-01-30T00:00:00"/>
    <d v="2026-01-26T00:00:00"/>
    <s v="2026/RQLC/1411/0001"/>
    <s v="LUMINORA SOLAR VEINTICUATRO SL. - B05399928"/>
    <s v="WILLIS IBERIA SA - A28961639"/>
    <s v="Accredited Insurance (Europe) Limited"/>
    <n v="1561.78"/>
    <n v="0.14000000000000001"/>
    <n v="251.44560000000004"/>
    <n v="236.1811605"/>
    <n v="234.26"/>
    <s v="Caución"/>
    <s v="Performance"/>
    <s v="Nueva producción"/>
    <d v="2026-01-31T00:00:00"/>
    <n v="1796.04"/>
    <n v="721.88676050000004"/>
    <x v="1"/>
    <x v="1"/>
    <x v="0"/>
  </r>
  <r>
    <d v="2026-01-26T00:00:00"/>
    <d v="2026-01-30T00:00:00"/>
    <d v="2026-01-26T00:00:00"/>
    <s v="2026/RQLC/1412/0001"/>
    <s v="LUMINORA SOLAR VEINTICINCO SL. - B05399936"/>
    <s v="WILLIS IBERIA SA - A28961639"/>
    <s v="Accredited Insurance (Europe) Limited"/>
    <n v="1561.78"/>
    <n v="0.14000000000000001"/>
    <n v="251.44560000000004"/>
    <n v="236.1811605"/>
    <n v="234.26"/>
    <s v="Caución"/>
    <s v="Performance"/>
    <s v="Nueva producción"/>
    <d v="2026-01-31T00:00:00"/>
    <n v="1796.04"/>
    <n v="721.88676050000004"/>
    <x v="1"/>
    <x v="1"/>
    <x v="0"/>
  </r>
  <r>
    <d v="2026-01-14T00:00:00"/>
    <d v="2026-01-14T00:00:00"/>
    <d v="2026-01-27T00:00:00"/>
    <s v="2018/RQLC/0067/0005/R7"/>
    <s v="INDUSLAND &amp; LOGISTIC AREA SL. - B86381282"/>
    <s v="ORES Y BRYAN SL - B29435260"/>
    <s v="Accredited Insurance (Europe) Limited"/>
    <n v="105.99510000000001"/>
    <n v="0.17499999999999999"/>
    <n v="21.331513874999999"/>
    <n v="11.762806222500004"/>
    <n v="15.899264999999987"/>
    <s v="Caución"/>
    <s v="Performance"/>
    <s v="Cartera"/>
    <d v="2026-01-31T00:00:00"/>
    <n v="121.89436499999999"/>
    <n v="48.993585097499988"/>
    <x v="1"/>
    <x v="1"/>
    <x v="0"/>
  </r>
  <r>
    <d v="2026-01-17T00:00:00"/>
    <d v="2026-01-17T00:00:00"/>
    <d v="2026-01-27T00:00:00"/>
    <s v="2018/RQLC/0153/0001/R7"/>
    <s v="NOWAIN EMPRESA DE TRABAJO TEMPORAL SL - B66234881"/>
    <s v="ORES Y BRYAN SL - B29435260"/>
    <s v="Accredited Insurance (Europe) Limited"/>
    <n v="565.21739130434787"/>
    <n v="0.17499999999999999"/>
    <n v="113.74999999999999"/>
    <n v="62.725000000000037"/>
    <n v="84.782608695652129"/>
    <s v="Caución"/>
    <s v="Performance"/>
    <s v="Cartera"/>
    <d v="2026-01-31T00:00:00"/>
    <n v="650"/>
    <n v="261.25760869565215"/>
    <x v="1"/>
    <x v="1"/>
    <x v="0"/>
  </r>
  <r>
    <d v="2026-01-11T00:00:00"/>
    <d v="2026-01-11T00:00:00"/>
    <d v="2026-01-27T00:00:00"/>
    <s v="2018/RQLC/0177/0001/R7"/>
    <s v="EV CARGO GLOBAL FORWARDING S.L. - B63446116"/>
    <s v="IBERSEGUROS Correduría de Seguros S.A. - A28908754"/>
    <s v="Accredited Insurance (Europe) Limited"/>
    <n v="352.17391304347825"/>
    <n v="0.15"/>
    <n v="60.75"/>
    <n v="49.20750000000001"/>
    <n v="52.826086956521749"/>
    <s v="Caución"/>
    <s v="Performance"/>
    <s v="Cartera"/>
    <d v="2026-01-31T00:00:00"/>
    <n v="405"/>
    <n v="162.78358695652176"/>
    <x v="1"/>
    <x v="1"/>
    <x v="0"/>
  </r>
  <r>
    <d v="2026-01-08T00:00:00"/>
    <d v="2026-01-08T00:00:00"/>
    <d v="2026-01-27T00:00:00"/>
    <s v="2018/RQLC/0019/0002/R7"/>
    <s v="ACTUA, SERVICIOS Y MEDIO AMBIENTE, SL. - B73727349"/>
    <s v="ORES Y BRYAN SL - B29435260"/>
    <s v="Accredited Insurance (Europe) Limited"/>
    <n v="978.10660869565208"/>
    <n v="0.17499999999999996"/>
    <n v="196.84395499999994"/>
    <n v="108.54538090000005"/>
    <n v="146.71599130434788"/>
    <s v="Caución"/>
    <s v="Performance"/>
    <s v="Cartera"/>
    <d v="2026-01-31T00:00:00"/>
    <n v="1124.8226"/>
    <n v="452.10532720434787"/>
    <x v="1"/>
    <x v="1"/>
    <x v="0"/>
  </r>
  <r>
    <d v="2026-01-11T00:00:00"/>
    <d v="2026-01-11T00:00:00"/>
    <d v="2026-01-27T00:00:00"/>
    <s v="2019/RQLC/0191/0001/R7"/>
    <s v="ITEL INVESTMENT SL - B88244058"/>
    <s v="HOWDEN IBERIA SA - A82473349"/>
    <s v="Accredited Insurance (Europe) Limited"/>
    <n v="59130.434782608703"/>
    <n v="0.17499999999999999"/>
    <n v="11900"/>
    <n v="6562.0000000000036"/>
    <n v="8869.5652173912968"/>
    <s v="Caución"/>
    <s v="Performance"/>
    <s v="Cartera"/>
    <d v="2026-01-31T00:00:00"/>
    <n v="68000"/>
    <n v="27331.5652173913"/>
    <x v="1"/>
    <x v="1"/>
    <x v="0"/>
  </r>
  <r>
    <d v="2026-01-24T00:00:00"/>
    <d v="2026-01-24T00:00:00"/>
    <d v="2026-01-27T00:00:00"/>
    <s v="2019/RQLC/0195/0001/R7"/>
    <s v="AGIO TT GESTORES DE EMPLEO EMPRESA DE TRABAJO TEMPORAL  - A80800451"/>
    <s v="LARREA BROKER SL. - B86593530"/>
    <s v="Accredited Insurance (Europe) Limited"/>
    <n v="2826.0869565217395"/>
    <n v="0.1"/>
    <n v="325"/>
    <n v="557.37500000000023"/>
    <n v="423.91304347826053"/>
    <s v="Caución"/>
    <s v="Performance"/>
    <s v="Cartera"/>
    <d v="2026-01-31T00:00:00"/>
    <n v="3250"/>
    <n v="1306.2880434782608"/>
    <x v="1"/>
    <x v="1"/>
    <x v="0"/>
  </r>
  <r>
    <d v="2026-01-16T00:00:00"/>
    <d v="2026-01-16T00:00:00"/>
    <d v="2026-01-27T00:00:00"/>
    <s v="2019/RQLC/0510/0001/R6"/>
    <s v="TRANSISTS MARITIMS SL - B98077829"/>
    <s v="WILLIS IBERIA SA - A28961639"/>
    <s v="Accredited Insurance (Europe) Limited"/>
    <n v="1217.391304347826"/>
    <n v="0.14000000000000001"/>
    <n v="196.00000000000003"/>
    <n v="184.1"/>
    <n v="182.60869565217396"/>
    <s v="Caución"/>
    <s v="Performance"/>
    <s v="Cartera"/>
    <d v="2026-01-31T00:00:00"/>
    <n v="1400"/>
    <n v="562.70869565217401"/>
    <x v="1"/>
    <x v="1"/>
    <x v="0"/>
  </r>
  <r>
    <d v="2026-01-07T00:00:00"/>
    <d v="2026-01-07T00:00:00"/>
    <d v="2026-01-27T00:00:00"/>
    <s v="2019/RQLC/0218/0017/R6"/>
    <s v="CINAR POLIGONAL SL - B99106494"/>
    <s v="Jori Armengol y Asociados, Correduría de Seguros, S.L. - A58299124"/>
    <s v="Accredited Insurance (Europe) Limited"/>
    <n v="173.91304347826087"/>
    <n v="0.14000000000000001"/>
    <n v="28.000000000000004"/>
    <n v="26.3"/>
    <n v="26.086956521739125"/>
    <s v="Caución"/>
    <s v="Performance"/>
    <s v="Cartera"/>
    <d v="2026-01-31T00:00:00"/>
    <n v="200"/>
    <n v="80.386956521739137"/>
    <x v="1"/>
    <x v="1"/>
    <x v="0"/>
  </r>
  <r>
    <d v="2026-01-16T00:00:00"/>
    <d v="2026-01-16T00:00:00"/>
    <d v="2026-01-27T00:00:00"/>
    <s v="2018/RQLC/0095/0005/R6"/>
    <s v="LLOPIS SERVICIOS AMBIENTALES SL. - B41491739"/>
    <s v="ORES Y BRYAN SL - B29435260"/>
    <s v="Accredited Insurance (Europe) Limited"/>
    <n v="86.956521739130437"/>
    <n v="0.17499999999999999"/>
    <n v="17.5"/>
    <n v="9.6500000000000021"/>
    <n v="13.043478260869563"/>
    <s v="Caución"/>
    <s v="Performance"/>
    <s v="Cartera"/>
    <d v="2026-01-31T00:00:00"/>
    <n v="100"/>
    <n v="40.193478260869568"/>
    <x v="1"/>
    <x v="1"/>
    <x v="0"/>
  </r>
  <r>
    <d v="2026-01-01T00:00:00"/>
    <d v="2026-01-01T00:00:00"/>
    <d v="2026-01-27T00:00:00"/>
    <s v="2021/RQLC/0910/0012/R4"/>
    <s v="IGNIS DESARROLLO S.L. - B87973327"/>
    <s v="AON IBERIA CORREDURIA DE SEGUROS Y REASEGUROS SOCIEDAD ANONIMA - A28109247"/>
    <s v="Accredited Insurance (Europe) Limited"/>
    <n v="8353.3043478260879"/>
    <n v="0.15"/>
    <n v="1440.9450000000002"/>
    <n v="1167.1654500000004"/>
    <n v="1252.9956521739132"/>
    <s v="Caución"/>
    <s v="Performance"/>
    <s v="Cartera"/>
    <d v="2026-01-31T00:00:00"/>
    <n v="9606.3000000000011"/>
    <n v="3861.1061021739138"/>
    <x v="1"/>
    <x v="1"/>
    <x v="0"/>
  </r>
  <r>
    <d v="2026-01-01T00:00:00"/>
    <d v="2026-01-01T00:00:00"/>
    <d v="2026-01-27T00:00:00"/>
    <s v="2021/RQLC/0910/0011/R4"/>
    <s v="IGNIS DESARROLLO S.L. - B87973327"/>
    <s v="AON IBERIA CORREDURIA DE SEGUROS Y REASEGUROS SOCIEDAD ANONIMA - A28109247"/>
    <s v="Accredited Insurance (Europe) Limited"/>
    <n v="5011.9826086956518"/>
    <n v="0.15"/>
    <n v="864.56699999999989"/>
    <n v="700.29927000000009"/>
    <n v="751.79739130434791"/>
    <s v="Caución"/>
    <s v="Performance"/>
    <s v="Cartera"/>
    <d v="2026-01-31T00:00:00"/>
    <n v="5763.78"/>
    <n v="2316.6636613043479"/>
    <x v="1"/>
    <x v="1"/>
    <x v="0"/>
  </r>
  <r>
    <d v="2026-01-01T00:00:00"/>
    <d v="2026-01-01T00:00:00"/>
    <d v="2026-01-27T00:00:00"/>
    <s v="2021/RQLC/0910/0009/R4"/>
    <s v="IGNIS DESARROLLO S.L. - B87973327"/>
    <s v="AON IBERIA CORREDURIA DE SEGUROS Y REASEGUROS SOCIEDAD ANONIMA - A28109247"/>
    <s v="Accredited Insurance (Europe) Limited"/>
    <n v="8034.7826086956538"/>
    <n v="0.15"/>
    <n v="1386.0000000000002"/>
    <n v="1122.6600000000005"/>
    <n v="1205.217391304348"/>
    <s v="Caución"/>
    <s v="Performance"/>
    <s v="Cartera"/>
    <d v="2026-01-31T00:00:00"/>
    <n v="9240.0000000000018"/>
    <n v="3713.8773913043487"/>
    <x v="1"/>
    <x v="1"/>
    <x v="0"/>
  </r>
  <r>
    <d v="2026-01-01T00:00:00"/>
    <d v="2026-01-01T00:00:00"/>
    <d v="2026-01-27T00:00:00"/>
    <s v="2021/RQLC/0910/0008/R4"/>
    <s v="IGNIS DESARROLLO S.L. - B87973327"/>
    <s v="AON IBERIA CORREDURIA DE SEGUROS Y REASEGUROS SOCIEDAD ANONIMA - A28109247"/>
    <s v="Accredited Insurance (Europe) Limited"/>
    <n v="4820.869565217391"/>
    <n v="0.15"/>
    <n v="831.6"/>
    <n v="673.59600000000012"/>
    <n v="723.13043478260897"/>
    <s v="Caución"/>
    <s v="Performance"/>
    <s v="Cartera"/>
    <d v="2026-01-31T00:00:00"/>
    <n v="5544"/>
    <n v="2228.3264347826089"/>
    <x v="1"/>
    <x v="1"/>
    <x v="0"/>
  </r>
  <r>
    <d v="2026-01-01T00:00:00"/>
    <d v="2026-01-01T00:00:00"/>
    <d v="2026-01-27T00:00:00"/>
    <s v="2021/RQLC/0910/0006/R4"/>
    <s v="IGNIS DESARROLLO S.L. - B87973327"/>
    <s v="AON IBERIA CORREDURIA DE SEGUROS Y REASEGUROS SOCIEDAD ANONIMA - A28109247"/>
    <s v="Accredited Insurance (Europe) Limited"/>
    <n v="7891.3043478260888"/>
    <n v="0.14999999999999997"/>
    <n v="1361.25"/>
    <n v="1102.6125000000006"/>
    <n v="1183.695652173913"/>
    <s v="Caución"/>
    <s v="Performance"/>
    <s v="Cartera"/>
    <d v="2026-01-31T00:00:00"/>
    <n v="9075.0000000000018"/>
    <n v="3647.5581521739136"/>
    <x v="1"/>
    <x v="1"/>
    <x v="0"/>
  </r>
  <r>
    <d v="2026-01-01T00:00:00"/>
    <d v="2026-01-01T00:00:00"/>
    <d v="2026-01-27T00:00:00"/>
    <s v="2021/RQLC/0910/0005/R4"/>
    <s v="IGNIS DESARROLLO S.L. - B87973327"/>
    <s v="AON IBERIA CORREDURIA DE SEGUROS Y REASEGUROS SOCIEDAD ANONIMA - A28109247"/>
    <s v="Accredited Insurance (Europe) Limited"/>
    <n v="4734.782608695652"/>
    <n v="0.15"/>
    <n v="816.75"/>
    <n v="661.56750000000011"/>
    <n v="710.21739130434798"/>
    <s v="Caución"/>
    <s v="Performance"/>
    <s v="Cartera"/>
    <d v="2026-01-31T00:00:00"/>
    <n v="5445"/>
    <n v="2188.5348913043481"/>
    <x v="1"/>
    <x v="1"/>
    <x v="0"/>
  </r>
  <r>
    <d v="2026-01-01T00:00:00"/>
    <d v="2026-01-01T00:00:00"/>
    <d v="2026-01-27T00:00:00"/>
    <s v="2021/RQLC/0910/0003/R4"/>
    <s v="IGNIS DESARROLLO S.L. - B87973327"/>
    <s v="AON IBERIA CORREDURIA DE SEGUROS Y REASEGUROS SOCIEDAD ANONIMA - A28109247"/>
    <s v="Accredited Insurance (Europe) Limited"/>
    <n v="17073.913043478264"/>
    <n v="0.15"/>
    <n v="2945.2500000000005"/>
    <n v="2385.6525000000006"/>
    <n v="2561.0869565217399"/>
    <s v="Caución"/>
    <s v="Performance"/>
    <s v="Cartera"/>
    <d v="2026-01-31T00:00:00"/>
    <n v="19635.000000000004"/>
    <n v="7891.989456521741"/>
    <x v="1"/>
    <x v="1"/>
    <x v="0"/>
  </r>
  <r>
    <d v="2026-01-01T00:00:00"/>
    <d v="2026-01-01T00:00:00"/>
    <d v="2026-01-27T00:00:00"/>
    <s v="2021/RQLC/0910/0002/R4"/>
    <s v="IGNIS DESARROLLO S.L. - B87973327"/>
    <s v="AON IBERIA CORREDURIA DE SEGUROS Y REASEGUROS SOCIEDAD ANONIMA - A28109247"/>
    <s v="Accredited Insurance (Europe) Limited"/>
    <n v="10244.347826086956"/>
    <n v="0.15"/>
    <n v="1767.1499999999999"/>
    <n v="1431.3915000000004"/>
    <n v="1536.6521739130442"/>
    <s v="Caución"/>
    <s v="Performance"/>
    <s v="Cartera"/>
    <d v="2026-01-31T00:00:00"/>
    <n v="11781"/>
    <n v="4735.1936739130442"/>
    <x v="1"/>
    <x v="1"/>
    <x v="0"/>
  </r>
  <r>
    <d v="2026-01-04T00:00:00"/>
    <d v="2026-01-04T00:00:00"/>
    <d v="2026-01-27T00:00:00"/>
    <s v="2019/RQLC/0429/0002/R4"/>
    <s v="AS BUREAU ADUANAS Y SERVICIOS SL. - B66407248"/>
    <s v="Jori Armengol y Asociados, Correduría de Seguros, S.L. - A58299124"/>
    <s v="Accredited Insurance (Europe) Limited"/>
    <n v="704.3478260869565"/>
    <n v="0.14000000000000001"/>
    <n v="113.4"/>
    <n v="106.51500000000001"/>
    <n v="105.6521739130435"/>
    <s v="Caución"/>
    <s v="Performance"/>
    <s v="Cartera"/>
    <d v="2026-01-31T00:00:00"/>
    <n v="810"/>
    <n v="325.56717391304352"/>
    <x v="1"/>
    <x v="1"/>
    <x v="0"/>
  </r>
  <r>
    <d v="2026-01-14T00:00:00"/>
    <d v="2026-01-14T00:00:00"/>
    <d v="2026-01-27T00:00:00"/>
    <s v="2019/RQLC/0241/0003/R4"/>
    <s v="KURTUBA SOLAR SL. - B56110190"/>
    <s v="RASHER CORREDURIA DE SEGUROS - B14571434"/>
    <s v="Accredited Insurance (Europe) Limited"/>
    <n v="4173.913043478261"/>
    <n v="0.14000000000000001"/>
    <n v="672.00000000000011"/>
    <n v="631.20000000000016"/>
    <n v="626.08695652173901"/>
    <s v="Caución"/>
    <s v="Performance"/>
    <s v="Cartera"/>
    <d v="2026-01-31T00:00:00"/>
    <n v="4800"/>
    <n v="1929.2869565217393"/>
    <x v="1"/>
    <x v="1"/>
    <x v="0"/>
  </r>
  <r>
    <d v="2026-01-03T00:00:00"/>
    <d v="2026-01-03T00:00:00"/>
    <d v="2026-01-27T00:00:00"/>
    <s v="2022/RQLC/1013/0001/R3"/>
    <s v="GESTION DE LOGISTICA Y ADUANAS SOCIEDAD LIMITADA. - B06793079"/>
    <s v="ACT ACrediT Broker Correduría de Seguros SL - B86797198"/>
    <s v="Accredited Insurance (Europe) Limited"/>
    <n v="1260.8695652173913"/>
    <n v="0.1"/>
    <n v="145"/>
    <n v="248.67500000000001"/>
    <n v="189.13043478260875"/>
    <s v="Caución"/>
    <s v="Performance"/>
    <s v="Cartera"/>
    <d v="2026-01-31T00:00:00"/>
    <n v="1450"/>
    <n v="582.8054347826087"/>
    <x v="1"/>
    <x v="1"/>
    <x v="0"/>
  </r>
  <r>
    <d v="2026-01-10T00:00:00"/>
    <d v="2026-01-10T00:00:00"/>
    <d v="2026-01-27T00:00:00"/>
    <s v="2021/RQLC/0720/0013/R3"/>
    <s v="DAVEL FORMACIÓN Y CONSULTORÍA EN PRVENCIÓ DE RIESGOS LABORALES S.L. - B73531139"/>
    <s v="ORES Y BRYAN SL - B29435260"/>
    <s v="Accredited Insurance (Europe) Limited"/>
    <n v="212.7463130434783"/>
    <n v="0.17499999999999996"/>
    <n v="42.815195499999994"/>
    <n v="23.60952209000002"/>
    <n v="31.911946956521717"/>
    <s v="Caución"/>
    <s v="Performance"/>
    <s v="Cartera"/>
    <d v="2026-01-31T00:00:00"/>
    <n v="244.65826000000001"/>
    <n v="98.336664546521732"/>
    <x v="1"/>
    <x v="1"/>
    <x v="0"/>
  </r>
  <r>
    <d v="2026-01-18T00:00:00"/>
    <d v="2026-01-18T00:00:00"/>
    <d v="2026-01-30T00:00:00"/>
    <s v="2022/RQLC/0950/0009/R3"/>
    <s v="SOLUTIA INNOVAWORLD TECHNOLOGIES SOCIEDAD LIMITADA - B91447193"/>
    <s v="HOWDEN IBERIA SA - A82473349"/>
    <s v="Accredited Insurance (Europe) Limited"/>
    <n v="200"/>
    <n v="0.17499999999999999"/>
    <n v="40.25"/>
    <n v="22.195000000000007"/>
    <n v="30"/>
    <s v="Caución"/>
    <s v="Performance"/>
    <s v="Cartera"/>
    <d v="2026-01-31T00:00:00"/>
    <n v="230"/>
    <n v="92.445000000000007"/>
    <x v="1"/>
    <x v="1"/>
    <x v="0"/>
  </r>
  <r>
    <d v="2026-01-08T00:00:00"/>
    <d v="2026-01-08T00:00:00"/>
    <d v="2026-01-27T00:00:00"/>
    <s v="2021/RQLC/0849/0004/R2"/>
    <s v="CALA LLARGA SL - B97733299"/>
    <s v="ASEFILCO MEDIACION SL - B98302425"/>
    <s v="Accredited Insurance (Europe) Limited"/>
    <n v="348.97490434782611"/>
    <n v="0.12"/>
    <n v="48.1585368"/>
    <n v="60.800152710000013"/>
    <n v="52.346235652173903"/>
    <s v="Caución"/>
    <s v="Performance"/>
    <s v="Cartera"/>
    <d v="2026-01-31T00:00:00"/>
    <n v="401.32114000000001"/>
    <n v="161.3049251621739"/>
    <x v="1"/>
    <x v="1"/>
    <x v="0"/>
  </r>
  <r>
    <d v="2026-01-29T00:00:00"/>
    <d v="2026-01-29T00:00:00"/>
    <d v="2026-01-27T00:00:00"/>
    <s v="2024/RQLC/1159/0001/R2"/>
    <s v="BIOETANOL GALICIA SA - A36822146"/>
    <s v="HOWDEN IBERIA SA - A82473349"/>
    <s v="Accredited Insurance (Europe) Limited"/>
    <n v="697.46086956521754"/>
    <n v="0.17499999999999996"/>
    <n v="140.364"/>
    <n v="77.400720000000064"/>
    <n v="104.6191304347826"/>
    <s v="Caución"/>
    <s v="Performance"/>
    <s v="Cartera"/>
    <d v="2026-01-31T00:00:00"/>
    <n v="802.08000000000015"/>
    <n v="322.38385043478269"/>
    <x v="1"/>
    <x v="1"/>
    <x v="0"/>
  </r>
  <r>
    <d v="2026-01-02T00:00:00"/>
    <d v="2026-01-02T00:00:00"/>
    <d v="2026-01-27T00:00:00"/>
    <s v="2024/RQLC/1287/0001/R1"/>
    <s v="ONE EDEN ROYAL PALMS SL. - B93463164"/>
    <s v="ORES Y BRYAN SL - B29435260"/>
    <s v="Accredited Insurance (Europe) Limited"/>
    <n v="17895.958782608694"/>
    <n v="0.17499999999999999"/>
    <n v="3601.5617049999996"/>
    <n v="1986.0040259000002"/>
    <n v="2684.3938173913048"/>
    <s v="Caución"/>
    <s v="Performance"/>
    <s v="Cartera"/>
    <d v="2026-01-31T00:00:00"/>
    <n v="20580.352599999998"/>
    <n v="8271.9595482913046"/>
    <x v="1"/>
    <x v="1"/>
    <x v="0"/>
  </r>
  <r>
    <d v="2026-01-08T00:00:00"/>
    <d v="2026-01-08T00:00:00"/>
    <d v="2026-01-27T00:00:00"/>
    <s v="2025/RQLC/1290/0001/R1"/>
    <s v="IGNIS DATA SIGMA SL. - B16455636"/>
    <s v="AON IBERIA CORREDURIA DE SEGUROS Y REASEGUROS SOCIEDAD ANONIMA - A28109247"/>
    <s v="Accredited Insurance (Europe) Limited"/>
    <n v="40800"/>
    <n v="0.15"/>
    <n v="7038"/>
    <n v="5700.7800000000007"/>
    <n v="6120"/>
    <s v="Caución"/>
    <s v="Performance"/>
    <s v="Cartera"/>
    <d v="2026-01-31T00:00:00"/>
    <n v="46920"/>
    <n v="18858.78"/>
    <x v="1"/>
    <x v="1"/>
    <x v="0"/>
  </r>
  <r>
    <d v="2026-01-10T00:00:00"/>
    <d v="2026-01-10T00:00:00"/>
    <d v="2026-01-27T00:00:00"/>
    <s v="2025/RQLC/1291/0001/R1"/>
    <s v="INGENIO DESDE EL AIRE SOCIEDAD LIMITADA. - B99505810"/>
    <s v="ORES Y BRYAN SL - B29435260"/>
    <s v="Accredited Insurance (Europe) Limited"/>
    <n v="173.91"/>
    <n v="0.17499999999999999"/>
    <n v="35"/>
    <n v="19.299049750000002"/>
    <n v="26.09"/>
    <s v="Caución"/>
    <s v="Performance"/>
    <s v="Cartera"/>
    <d v="2026-01-31T00:00:00"/>
    <n v="200"/>
    <n v="80.389049749999998"/>
    <x v="1"/>
    <x v="1"/>
    <x v="0"/>
  </r>
  <r>
    <d v="2026-01-23T00:00:00"/>
    <d v="2026-01-23T00:00:00"/>
    <d v="2026-01-27T00:00:00"/>
    <s v="2024/RQLC/1282/0001/R1"/>
    <s v="MEDANO INGENIEROS SL - B38950929"/>
    <s v="ORES Y BRYAN SL - B29435260"/>
    <s v="Accredited Insurance (Europe) Limited"/>
    <n v="1826.0869565217392"/>
    <n v="0.17499999999999999"/>
    <n v="367.5"/>
    <n v="202.65000000000009"/>
    <n v="273.91304347826076"/>
    <s v="Caución"/>
    <s v="Performance"/>
    <s v="Cartera"/>
    <d v="2026-01-31T00:00:00"/>
    <n v="2100"/>
    <n v="844.06304347826085"/>
    <x v="1"/>
    <x v="1"/>
    <x v="0"/>
  </r>
  <r>
    <d v="2026-01-26T00:00:00"/>
    <d v="2026-01-26T00:00:00"/>
    <d v="2026-01-26T00:00:00"/>
    <s v="2024/RQAF/1260/0046"/>
    <s v="INVERCHULLERA GESTION, S.L. - B19319219"/>
    <s v="RASHER CORREDURIA DE SEGUROS - B14571434"/>
    <s v="Accredited Insurance (Europe) Limited"/>
    <n v="8506.76"/>
    <n v="0.14000000000000001"/>
    <n v="1369.5878000000002"/>
    <n v="1286.4353409999999"/>
    <n v="1276.01"/>
    <s v="Caución"/>
    <s v="Advance payment"/>
    <s v="Nueva producción"/>
    <d v="2026-01-31T00:00:00"/>
    <n v="9782.77"/>
    <n v="3932.0331409999999"/>
    <x v="1"/>
    <x v="1"/>
    <x v="0"/>
  </r>
  <r>
    <d v="2026-01-26T00:00:00"/>
    <d v="2026-01-26T00:00:00"/>
    <d v="2026-01-26T00:00:00"/>
    <s v="2024/RQAF/1260/0047"/>
    <s v="INVERCHULLERA GESTION, S.L. - B19319219"/>
    <s v="RASHER CORREDURIA DE SEGUROS - B14571434"/>
    <s v="Accredited Insurance (Europe) Limited"/>
    <n v="6108.7200000000012"/>
    <n v="0.14000000000000001"/>
    <n v="983.50280000000021"/>
    <n v="923.79230200000029"/>
    <n v="916.3"/>
    <s v="Caución"/>
    <s v="Advance payment"/>
    <s v="Nueva producción"/>
    <d v="2026-01-31T00:00:00"/>
    <n v="7025.0200000000013"/>
    <n v="2823.5951020000002"/>
    <x v="1"/>
    <x v="1"/>
    <x v="0"/>
  </r>
  <r>
    <d v="2026-01-26T00:00:00"/>
    <d v="2026-01-26T00:00:00"/>
    <d v="2026-01-26T00:00:00"/>
    <s v="2024/RQAF/1260/0048"/>
    <s v="INVERCHULLERA GESTION, S.L. - B19319219"/>
    <s v="RASHER CORREDURIA DE SEGUROS - B14571434"/>
    <s v="Accredited Insurance (Europe) Limited"/>
    <n v="8111.07"/>
    <n v="0.14000000000000001"/>
    <n v="1305.8808000000001"/>
    <n v="1226.5980307500001"/>
    <n v="1216.6500000000001"/>
    <s v="Caución"/>
    <s v="Advance payment"/>
    <s v="Nueva producción"/>
    <d v="2026-01-31T00:00:00"/>
    <n v="9327.7199999999993"/>
    <n v="3749.1288307500004"/>
    <x v="1"/>
    <x v="1"/>
    <x v="0"/>
  </r>
  <r>
    <d v="2026-01-27T00:00:00"/>
    <d v="2026-01-28T00:00:00"/>
    <d v="2026-01-28T00:00:00"/>
    <s v="2025/RQLC/1317/0002"/>
    <s v="CONSTRUCCIONES Y PROMOCIONES PABEGOM S.L. - B73402075"/>
    <s v="ORES Y BRYAN SL - B29435260"/>
    <s v="Accredited Insurance (Europe) Limited"/>
    <n v="173.91"/>
    <n v="0.17499999999999999"/>
    <n v="35"/>
    <n v="19.299049750000002"/>
    <n v="26.09"/>
    <s v="Caución"/>
    <s v="Performance"/>
    <s v="Nueva producción"/>
    <d v="2026-01-31T00:00:00"/>
    <n v="200"/>
    <n v="80.389049749999998"/>
    <x v="1"/>
    <x v="1"/>
    <x v="0"/>
  </r>
  <r>
    <d v="2026-01-27T00:00:00"/>
    <d v="2026-01-29T00:00:00"/>
    <d v="2026-01-29T00:00:00"/>
    <s v="2025/RQLC/1384/0001"/>
    <s v="BCM GESTION DE SERVICIOS SL - B29831112"/>
    <s v="ORES Y BRYAN SL - B29435260"/>
    <s v="Accredited Insurance (Europe) Limited"/>
    <n v="1849.41"/>
    <n v="0.17499999999999999"/>
    <n v="372.19350000000003"/>
    <n v="205.23853725000009"/>
    <n v="277.41000000000003"/>
    <s v="Caución"/>
    <s v="Performance"/>
    <s v="Nueva producción"/>
    <d v="2026-01-31T00:00:00"/>
    <n v="2126.8200000000002"/>
    <n v="854.8420372500002"/>
    <x v="1"/>
    <x v="1"/>
    <x v="0"/>
  </r>
  <r>
    <m/>
    <d v="2026-01-21T00:00:00"/>
    <m/>
    <s v="2018/RQLC/0048/0015/R7"/>
    <s v="PROYECTOS Y MONTAJES INGEMONT SA-A91614263"/>
    <s v="ORES"/>
    <s v="Accredited Insurance (Europe) Limited"/>
    <n v="86.96"/>
    <n v="0.17499999999999999"/>
    <n v="17.5"/>
    <n v="9.6510859999999994"/>
    <n v="13.04"/>
    <s v="Caución"/>
    <s v="Performance"/>
    <s v="Cartera"/>
    <d v="2026-01-31T00:00:00"/>
    <n v="100"/>
    <n v="40.191085999999999"/>
    <x v="1"/>
    <x v="1"/>
    <x v="1"/>
  </r>
  <r>
    <m/>
    <d v="2026-01-18T00:00:00"/>
    <m/>
    <s v="2022/RQLC/0989/0014/R2"/>
    <s v="GRANATA GREEN FV I, S.L.-B67824078"/>
    <s v="WILLIS"/>
    <s v="Accredited Insurance (Europe) Limited"/>
    <n v="2272.6999999999998"/>
    <n v="0.14000000000000001"/>
    <n v="365.904"/>
    <n v="343.68975750000004"/>
    <n v="340.9"/>
    <s v="Caución"/>
    <s v="Performance"/>
    <s v="Cartera"/>
    <d v="2026-01-31T00:00:00"/>
    <n v="2613.6"/>
    <n v="1050.4937574999999"/>
    <x v="1"/>
    <x v="1"/>
    <x v="1"/>
  </r>
  <r>
    <m/>
    <d v="2026-01-21T00:00:00"/>
    <m/>
    <s v="2018/RQLC/0048/0016/R7"/>
    <s v="PROYECTOS Y MONTAJES INGEMONT SA-A91614263"/>
    <s v="ORES"/>
    <s v="Accredited Insurance (Europe) Limited"/>
    <n v="86.96"/>
    <n v="0.17499999999999999"/>
    <n v="17.5"/>
    <n v="9.6510859999999994"/>
    <n v="13.04"/>
    <s v="Caución"/>
    <s v="Performance"/>
    <s v="Cartera"/>
    <d v="2026-01-31T00:00:00"/>
    <n v="100"/>
    <n v="40.191085999999999"/>
    <x v="1"/>
    <x v="1"/>
    <x v="1"/>
  </r>
  <r>
    <m/>
    <d v="2026-01-01T00:00:00"/>
    <m/>
    <s v="2021/RQLC/0892/0003/R4"/>
    <s v="HAZAPIERNA EL CASTILLAR-B88472600"/>
    <s v="RASHER"/>
    <s v="Accredited Insurance (Europe) Limited"/>
    <n v="26086.959999999999"/>
    <n v="0.14000000000000001"/>
    <n v="4200"/>
    <n v="3945.0010860000002"/>
    <n v="3913.04"/>
    <s v="Caución"/>
    <s v="Performance"/>
    <s v="Cartera"/>
    <d v="2026-01-31T00:00:00"/>
    <n v="30000"/>
    <n v="12058.041086000001"/>
    <x v="1"/>
    <x v="1"/>
    <x v="1"/>
  </r>
  <r>
    <m/>
    <d v="2026-01-20T00:00:00"/>
    <m/>
    <s v="2019/RQLC/0280/0006/R6"/>
    <s v="GCL CASTILLA FOTOVOLTAICA ENERGÍA SL-B88288170"/>
    <s v="ORES"/>
    <s v="Accredited Insurance (Europe) Limited"/>
    <n v="40000"/>
    <n v="0.17499999999999999"/>
    <n v="8049.9999999999991"/>
    <n v="4439.0000000000027"/>
    <n v="6000"/>
    <s v="Caución"/>
    <s v="Performance"/>
    <s v="Cartera"/>
    <d v="2026-01-31T00:00:00"/>
    <n v="46000"/>
    <n v="18489"/>
    <x v="1"/>
    <x v="1"/>
    <x v="1"/>
  </r>
  <r>
    <m/>
    <d v="2026-01-29T00:00:00"/>
    <m/>
    <s v="2019/RQLC/0458/0054/R2"/>
    <s v="ATHISA MEDIO AMBIENTE, S.A.U.-A18485516"/>
    <s v="ORES"/>
    <s v="Accredited Insurance (Europe) Limited"/>
    <n v="222.7"/>
    <n v="0.17499999999999999"/>
    <n v="44.817499999999988"/>
    <n v="24.71500750000002"/>
    <n v="33.4"/>
    <s v="Caución"/>
    <s v="Performance"/>
    <s v="Cartera"/>
    <d v="2026-01-31T00:00:00"/>
    <n v="256.09999999999997"/>
    <n v="102.93250750000001"/>
    <x v="1"/>
    <x v="1"/>
    <x v="1"/>
  </r>
  <r>
    <m/>
    <d v="2026-01-01T00:00:00"/>
    <m/>
    <s v="2021/RQLC/0901/0003/R4"/>
    <s v="LA ENCANTADA LA RAMBLA-B01635606"/>
    <s v="RASHER"/>
    <s v="Accredited Insurance (Europe) Limited"/>
    <n v="23478.26"/>
    <n v="0.14000000000000001"/>
    <n v="3780.0000000000005"/>
    <n v="3550.4997284999995"/>
    <n v="3521.74"/>
    <s v="Caución"/>
    <s v="Performance"/>
    <s v="Cartera"/>
    <d v="2026-01-31T00:00:00"/>
    <n v="27000"/>
    <n v="10852.239728500001"/>
    <x v="1"/>
    <x v="1"/>
    <x v="1"/>
  </r>
  <r>
    <m/>
    <d v="2026-01-02T00:00:00"/>
    <m/>
    <s v="2022/RQLC/1008/0010/R1"/>
    <s v="WESTOVER CORPORATE GROUP SL.-B05334966"/>
    <s v="AON"/>
    <s v="Accredited Insurance (Europe) Limited"/>
    <n v="15217.41"/>
    <n v="0.15"/>
    <n v="2625.0014999999999"/>
    <n v="2126.2543372500008"/>
    <n v="2282.6"/>
    <s v="Caución"/>
    <s v="Performance"/>
    <s v="Cartera"/>
    <d v="2026-01-31T00:00:00"/>
    <n v="17500.009999999998"/>
    <n v="7033.8558372500011"/>
    <x v="1"/>
    <x v="1"/>
    <x v="1"/>
  </r>
  <r>
    <m/>
    <d v="2026-01-03T00:00:00"/>
    <m/>
    <s v="2018/RQLC/0175/0001/R7"/>
    <s v="VIDEOJUEGOS SL-B59091108"/>
    <s v="DIAGONAL"/>
    <s v="Accredited Insurance (Europe) Limited"/>
    <n v="391.3"/>
    <n v="0.13500000000000001"/>
    <n v="60.750000000000007"/>
    <n v="61.423642500000007"/>
    <n v="58.7"/>
    <s v="Caución"/>
    <s v="Performance"/>
    <s v="Cartera"/>
    <d v="2026-01-31T00:00:00"/>
    <n v="450"/>
    <n v="180.87364250000002"/>
    <x v="1"/>
    <x v="1"/>
    <x v="1"/>
  </r>
  <r>
    <m/>
    <d v="2026-01-17T00:00:00"/>
    <m/>
    <s v="2019/RQLC/0458/0053/R2"/>
    <s v="ATHISA MEDIO AMBIENTE, S.A.U.-A18485516"/>
    <s v="ORES"/>
    <s v="Accredited Insurance (Europe) Limited"/>
    <n v="173.91"/>
    <n v="0.17499999999999999"/>
    <n v="35"/>
    <n v="19.299049750000002"/>
    <n v="26.09"/>
    <s v="Caución"/>
    <s v="Performance"/>
    <s v="Cartera"/>
    <d v="2026-01-31T00:00:00"/>
    <n v="200"/>
    <n v="80.389049749999998"/>
    <x v="1"/>
    <x v="1"/>
    <x v="1"/>
  </r>
  <r>
    <m/>
    <d v="2026-01-01T00:00:00"/>
    <m/>
    <s v="2021/RQLC/0892/0002/R4"/>
    <s v="HAZAPIERNA EL CASTILLAR-B88472600"/>
    <s v="RASHER"/>
    <s v="Accredited Insurance (Europe) Limited"/>
    <n v="15652.17"/>
    <n v="0.14000000000000001"/>
    <n v="2520.0000000000005"/>
    <n v="2366.9987782499998"/>
    <n v="2347.83"/>
    <s v="Caución"/>
    <s v="Performance"/>
    <s v="Cartera"/>
    <d v="2026-01-31T00:00:00"/>
    <n v="18000"/>
    <n v="7234.8287782500001"/>
    <x v="1"/>
    <x v="1"/>
    <x v="1"/>
  </r>
  <r>
    <m/>
    <d v="2026-01-01T00:00:00"/>
    <m/>
    <s v="2021/RQLC/0900/0002/R4"/>
    <s v="LEO PEREGILES-B01623198"/>
    <s v="RASHER"/>
    <s v="Accredited Insurance (Europe) Limited"/>
    <n v="14086.96"/>
    <n v="0.14000000000000001"/>
    <n v="2268"/>
    <n v="2130.3010860000004"/>
    <n v="2113.04"/>
    <s v="Caución"/>
    <s v="Performance"/>
    <s v="Cartera"/>
    <d v="2026-01-31T00:00:00"/>
    <n v="16200"/>
    <n v="6511.3410860000004"/>
    <x v="1"/>
    <x v="1"/>
    <x v="1"/>
  </r>
  <r>
    <m/>
    <d v="2026-01-15T00:00:00"/>
    <m/>
    <s v="2019/RQLC/0458/0052/R2"/>
    <s v="ATHISA MEDIO AMBIENTE, S.A.U.-A18485516"/>
    <s v="ORES"/>
    <s v="Accredited Insurance (Europe) Limited"/>
    <n v="173.91"/>
    <n v="0.17499999999999999"/>
    <n v="35"/>
    <n v="19.299049750000002"/>
    <n v="26.09"/>
    <s v="Caución"/>
    <s v="Performance"/>
    <s v="Cartera"/>
    <d v="2026-01-31T00:00:00"/>
    <n v="200"/>
    <n v="80.389049749999998"/>
    <x v="1"/>
    <x v="1"/>
    <x v="1"/>
  </r>
  <r>
    <m/>
    <d v="2026-01-30T00:00:00"/>
    <m/>
    <s v="2025/RQLC/1292/0001/R1"/>
    <s v="CONSTRUCCIONES APLIBUR SL.-B09588740"/>
    <s v="ORES"/>
    <s v="Accredited Insurance (Europe) Limited"/>
    <n v="173.91"/>
    <n v="0.17499999999999999"/>
    <n v="35"/>
    <n v="19.299049750000002"/>
    <n v="26.09"/>
    <s v="Caución"/>
    <s v="Performance"/>
    <s v="Cartera"/>
    <d v="2026-01-31T00:00:00"/>
    <n v="200"/>
    <n v="80.389049749999998"/>
    <x v="1"/>
    <x v="1"/>
    <x v="1"/>
  </r>
  <r>
    <m/>
    <d v="2026-01-01T00:00:00"/>
    <m/>
    <s v="2021/RQLC/0901/0004/R4"/>
    <s v="LA ENCANTADA LA RAMBLA-B01635606"/>
    <s v="RASHER"/>
    <s v="Accredited Insurance (Europe) Limited"/>
    <n v="4173.91"/>
    <n v="0.14000000000000001"/>
    <n v="672.00000000000011"/>
    <n v="631.19904974999997"/>
    <n v="626.09"/>
    <s v="Caución"/>
    <s v="Performance"/>
    <s v="Cartera"/>
    <d v="2026-01-31T00:00:00"/>
    <n v="4800"/>
    <n v="1929.2890497500002"/>
    <x v="1"/>
    <x v="1"/>
    <x v="1"/>
  </r>
  <r>
    <m/>
    <d v="2026-01-01T00:00:00"/>
    <m/>
    <s v="2021/RQLC/0901/0002/R4"/>
    <s v="LA ENCANTADA LA RAMBLA-B01635606"/>
    <s v="RASHER"/>
    <s v="Accredited Insurance (Europe) Limited"/>
    <n v="14086.96"/>
    <n v="0.14000000000000001"/>
    <n v="2268"/>
    <n v="2130.3010860000004"/>
    <n v="2113.04"/>
    <s v="Caución"/>
    <s v="Performance"/>
    <s v="Cartera"/>
    <d v="2026-01-31T00:00:00"/>
    <n v="16200"/>
    <n v="6511.3410860000004"/>
    <x v="1"/>
    <x v="1"/>
    <x v="1"/>
  </r>
  <r>
    <m/>
    <d v="2026-01-01T00:00:00"/>
    <m/>
    <s v="2021/RQLC/0894/0003/R4"/>
    <s v="LAUSIA MAREAS I-B01584143"/>
    <s v="RASHER"/>
    <s v="Accredited Insurance (Europe) Limited"/>
    <n v="23478.26"/>
    <n v="0.14000000000000001"/>
    <n v="3780.0000000000005"/>
    <n v="3550.4997284999995"/>
    <n v="3521.74"/>
    <s v="Caución"/>
    <s v="Performance"/>
    <s v="Cartera"/>
    <d v="2026-01-31T00:00:00"/>
    <n v="27000"/>
    <n v="10852.239728500001"/>
    <x v="1"/>
    <x v="1"/>
    <x v="1"/>
  </r>
  <r>
    <m/>
    <d v="2026-01-01T00:00:00"/>
    <m/>
    <s v="2021/RQLC/0898/0003/R4"/>
    <s v="CASSIOPEA LANTUENO-B88645056"/>
    <s v="RASHER"/>
    <s v="Accredited Insurance (Europe) Limited"/>
    <n v="23478.26"/>
    <n v="0.14000000000000001"/>
    <n v="3780.0000000000005"/>
    <n v="3550.4997284999995"/>
    <n v="3521.74"/>
    <s v="Caución"/>
    <s v="Performance"/>
    <s v="Cartera"/>
    <d v="2026-01-31T00:00:00"/>
    <n v="27000"/>
    <n v="10852.239728500001"/>
    <x v="1"/>
    <x v="1"/>
    <x v="1"/>
  </r>
  <r>
    <m/>
    <d v="2026-01-01T00:00:00"/>
    <m/>
    <s v="2021/RQLC/0891/0002/R4"/>
    <s v="LA RASA ENERGY SLU-B74451436"/>
    <s v="RASHER"/>
    <s v="Accredited Insurance (Europe) Limited"/>
    <n v="15652.17"/>
    <n v="0.14000000000000001"/>
    <n v="2520.0000000000005"/>
    <n v="2366.9987782499998"/>
    <n v="2347.83"/>
    <s v="Caución"/>
    <s v="Performance"/>
    <s v="Cartera"/>
    <d v="2026-01-31T00:00:00"/>
    <n v="18000"/>
    <n v="7234.8287782500001"/>
    <x v="1"/>
    <x v="1"/>
    <x v="1"/>
  </r>
  <r>
    <m/>
    <d v="2026-01-30T00:00:00"/>
    <m/>
    <s v="2024/RQLC/1170/0010/R1"/>
    <s v="MODUS SOLAR SPAIN SL.-B87781449"/>
    <s v="WILLIS"/>
    <s v="Accredited Insurance (Europe) Limited"/>
    <n v="5019.83"/>
    <n v="0.14000000000000001"/>
    <n v="808.19200000000012"/>
    <n v="759.1244217499999"/>
    <n v="752.97"/>
    <s v="Caución"/>
    <s v="Performance"/>
    <s v="Cartera"/>
    <d v="2026-01-31T00:00:00"/>
    <n v="5772.8"/>
    <n v="2320.28642175"/>
    <x v="1"/>
    <x v="1"/>
    <x v="1"/>
  </r>
  <r>
    <m/>
    <d v="2026-01-01T00:00:00"/>
    <m/>
    <s v="2021/RQLC/0897/0002/R4"/>
    <s v="BRAÑADESELLA PRADERAS ALTAS-B88632302"/>
    <s v="RASHER"/>
    <s v="Accredited Insurance (Europe) Limited"/>
    <n v="14086.96"/>
    <n v="0.14000000000000001"/>
    <n v="2268"/>
    <n v="2130.3010860000004"/>
    <n v="2113.04"/>
    <s v="Caución"/>
    <s v="Performance"/>
    <s v="Cartera"/>
    <d v="2026-01-31T00:00:00"/>
    <n v="16200"/>
    <n v="6511.3410860000004"/>
    <x v="1"/>
    <x v="1"/>
    <x v="1"/>
  </r>
  <r>
    <m/>
    <d v="2026-01-01T00:00:00"/>
    <m/>
    <s v="2021/RQLC/0893/0003/R4"/>
    <s v="TURKANA PEDRECHA-B88504741"/>
    <s v="RASHER"/>
    <s v="Accredited Insurance (Europe) Limited"/>
    <n v="23478.26"/>
    <n v="0.14000000000000001"/>
    <n v="3780.0000000000005"/>
    <n v="3550.4997284999995"/>
    <n v="3521.74"/>
    <s v="Caución"/>
    <s v="Performance"/>
    <s v="Cartera"/>
    <d v="2026-01-31T00:00:00"/>
    <n v="27000"/>
    <n v="10852.239728500001"/>
    <x v="1"/>
    <x v="1"/>
    <x v="1"/>
  </r>
  <r>
    <m/>
    <d v="2026-01-01T00:00:00"/>
    <m/>
    <s v="2021/RQLC/0893/0002/R4"/>
    <s v="TURKANA PEDRECHA-B88504741"/>
    <s v="RASHER"/>
    <s v="Accredited Insurance (Europe) Limited"/>
    <n v="14086.96"/>
    <n v="0.14000000000000001"/>
    <n v="2268"/>
    <n v="2130.3010860000004"/>
    <n v="2113.04"/>
    <s v="Caución"/>
    <s v="Performance"/>
    <s v="Cartera"/>
    <d v="2026-01-31T00:00:00"/>
    <n v="16200"/>
    <n v="6511.3410860000004"/>
    <x v="1"/>
    <x v="1"/>
    <x v="1"/>
  </r>
  <r>
    <m/>
    <d v="2026-01-01T00:00:00"/>
    <m/>
    <s v="2021/RQLC/0899/0003/R4"/>
    <s v="PICO LIEBRES CABEZUELAS-B01623206"/>
    <s v="RASHER"/>
    <s v="Accredited Insurance (Europe) Limited"/>
    <n v="23478.26"/>
    <n v="0.14000000000000001"/>
    <n v="3780.0000000000005"/>
    <n v="3550.4997284999995"/>
    <n v="3521.74"/>
    <s v="Caución"/>
    <s v="Performance"/>
    <s v="Cartera"/>
    <d v="2026-01-31T00:00:00"/>
    <n v="27000"/>
    <n v="10852.239728500001"/>
    <x v="1"/>
    <x v="1"/>
    <x v="1"/>
  </r>
  <r>
    <m/>
    <d v="2026-01-01T00:00:00"/>
    <m/>
    <s v="2021/RQLC/0894/0002/R4"/>
    <s v="LAUSIA MAREAS I-B01584143"/>
    <s v="RASHER"/>
    <s v="Accredited Insurance (Europe) Limited"/>
    <n v="14086.96"/>
    <n v="0.14000000000000001"/>
    <n v="2268"/>
    <n v="2130.3010860000004"/>
    <n v="2113.04"/>
    <s v="Caución"/>
    <s v="Performance"/>
    <s v="Cartera"/>
    <d v="2026-01-31T00:00:00"/>
    <n v="16200"/>
    <n v="6511.3410860000004"/>
    <x v="1"/>
    <x v="1"/>
    <x v="1"/>
  </r>
  <r>
    <m/>
    <d v="2026-01-25T00:00:00"/>
    <m/>
    <s v="2019/RQLC/0209/0001/R7"/>
    <s v="HERYSAN 2007 SL-B92861152"/>
    <s v="ORES"/>
    <s v="Accredited Insurance (Europe) Limited"/>
    <n v="86.96"/>
    <n v="0.17499999999999999"/>
    <n v="17.5"/>
    <n v="9.6510859999999994"/>
    <n v="13.04"/>
    <s v="Caución"/>
    <s v="Performance"/>
    <s v="Cartera"/>
    <d v="2026-01-31T00:00:00"/>
    <n v="100"/>
    <n v="40.191085999999999"/>
    <x v="1"/>
    <x v="1"/>
    <x v="1"/>
  </r>
  <r>
    <m/>
    <d v="2026-01-15T00:00:00"/>
    <m/>
    <s v="2018/RQLC/0146/0001/R7"/>
    <s v="FEDERMAN GLOBAL WORK ETT-A64778061"/>
    <s v="ORES"/>
    <s v="Accredited Insurance (Europe) Limited"/>
    <n v="1490.87"/>
    <n v="0.17499999999999999"/>
    <n v="300.03749999999997"/>
    <n v="165.44938575000003"/>
    <n v="223.63"/>
    <s v="Caución"/>
    <s v="Performance"/>
    <s v="Cartera"/>
    <d v="2026-01-31T00:00:00"/>
    <n v="1714.5"/>
    <n v="689.11688574999994"/>
    <x v="1"/>
    <x v="1"/>
    <x v="1"/>
  </r>
  <r>
    <m/>
    <d v="2026-01-01T00:00:00"/>
    <m/>
    <s v="2021/RQLC/0899/0002/R4"/>
    <s v="PICO LIEBRES CABEZUELAS-B01623206"/>
    <s v="RASHER"/>
    <s v="Accredited Insurance (Europe) Limited"/>
    <n v="14086.96"/>
    <n v="0.14000000000000001"/>
    <n v="2268"/>
    <n v="2130.3010860000004"/>
    <n v="2113.04"/>
    <s v="Caución"/>
    <s v="Performance"/>
    <s v="Cartera"/>
    <d v="2026-01-31T00:00:00"/>
    <n v="16200"/>
    <n v="6511.3410860000004"/>
    <x v="1"/>
    <x v="1"/>
    <x v="1"/>
  </r>
  <r>
    <m/>
    <d v="2026-01-07T00:00:00"/>
    <m/>
    <s v="2020/RQLC/0514/0001/R6"/>
    <s v="ACCEDA SERVICIOS Y SOLUCIONES INTEGRALES SL.-B90226671"/>
    <s v="ii-BROKER"/>
    <s v="Accredited Insurance (Europe) Limited"/>
    <n v="173.91"/>
    <n v="0.15"/>
    <n v="30"/>
    <n v="24.299049750000002"/>
    <n v="26.09"/>
    <s v="Caución"/>
    <s v="Performance"/>
    <s v="Cartera"/>
    <d v="2026-01-31T00:00:00"/>
    <n v="200"/>
    <n v="80.389049749999998"/>
    <x v="1"/>
    <x v="1"/>
    <x v="1"/>
  </r>
  <r>
    <m/>
    <d v="2026-01-01T00:00:00"/>
    <m/>
    <s v="2021/RQLC/0891/0003/R4"/>
    <s v="LA RASA ENERGY SLU-B74451436"/>
    <s v="RASHER"/>
    <s v="Accredited Insurance (Europe) Limited"/>
    <n v="26086.959999999999"/>
    <n v="0.14000000000000001"/>
    <n v="4200"/>
    <n v="3945.0010860000002"/>
    <n v="3913.04"/>
    <s v="Caución"/>
    <s v="Performance"/>
    <s v="Cartera"/>
    <d v="2026-01-31T00:00:00"/>
    <n v="30000"/>
    <n v="12058.041086000001"/>
    <x v="1"/>
    <x v="1"/>
    <x v="1"/>
  </r>
  <r>
    <m/>
    <d v="2026-01-29T00:00:00"/>
    <m/>
    <s v="2018/RQLC/0051/0002/R7"/>
    <s v="MERSANT VIGILANCIA SOCIEDAD LIMITADA.-B90229790"/>
    <s v="ORES"/>
    <s v="Accredited Insurance (Europe) Limited"/>
    <n v="419.95"/>
    <n v="0.17499999999999999"/>
    <n v="84.514499999999998"/>
    <n v="46.604388749999998"/>
    <n v="62.99"/>
    <s v="Caución"/>
    <s v="Performance"/>
    <s v="Cartera"/>
    <d v="2026-01-31T00:00:00"/>
    <n v="482.94"/>
    <n v="194.10888875000001"/>
    <x v="1"/>
    <x v="1"/>
    <x v="1"/>
  </r>
  <r>
    <m/>
    <d v="2026-01-02T00:00:00"/>
    <m/>
    <s v="2022/RQLC/1008/0011/R1"/>
    <s v="WESTOVER CORPORATE GROUP SL.-B05334966"/>
    <s v="AON"/>
    <s v="Accredited Insurance (Europe) Limited"/>
    <n v="7608.7"/>
    <n v="0.15"/>
    <n v="1312.5"/>
    <n v="1063.1263575000003"/>
    <n v="1141.3"/>
    <s v="Caución"/>
    <s v="Performance"/>
    <s v="Cartera"/>
    <d v="2026-01-31T00:00:00"/>
    <n v="8750"/>
    <n v="3516.9263575000004"/>
    <x v="1"/>
    <x v="1"/>
    <x v="1"/>
  </r>
  <r>
    <m/>
    <d v="2026-01-01T00:00:00"/>
    <m/>
    <s v="2021/RQLC/0900/0003/R4"/>
    <s v="LEO PEREGILES-B01623198"/>
    <s v="RASHER"/>
    <s v="Accredited Insurance (Europe) Limited"/>
    <n v="23478.26"/>
    <n v="0.14000000000000001"/>
    <n v="3780.0000000000005"/>
    <n v="3550.4997284999995"/>
    <n v="3521.74"/>
    <s v="Caución"/>
    <s v="Performance"/>
    <s v="Cartera"/>
    <d v="2026-01-31T00:00:00"/>
    <n v="27000"/>
    <n v="10852.239728500001"/>
    <x v="1"/>
    <x v="1"/>
    <x v="1"/>
  </r>
  <r>
    <m/>
    <d v="2026-01-01T00:00:00"/>
    <m/>
    <s v="2021/RQLC/0891/0005/R4"/>
    <s v="LA RASA ENERGY SLU-B74451436"/>
    <s v="RASHER"/>
    <s v="Accredited Insurance (Europe) Limited"/>
    <n v="15652.17"/>
    <n v="0.14000000000000001"/>
    <n v="2520.0000000000005"/>
    <n v="2366.9987782499998"/>
    <n v="2347.83"/>
    <s v="Caución"/>
    <s v="Performance"/>
    <s v="Cartera"/>
    <d v="2026-01-31T00:00:00"/>
    <n v="18000"/>
    <n v="7234.8287782500001"/>
    <x v="1"/>
    <x v="1"/>
    <x v="1"/>
  </r>
  <r>
    <m/>
    <d v="2026-01-01T00:00:00"/>
    <m/>
    <s v="2021/RQLC/0895/0002/R4"/>
    <s v="LA HERRADA MAREAS II-B88624754"/>
    <s v="RASHER"/>
    <s v="Accredited Insurance (Europe) Limited"/>
    <n v="14086.96"/>
    <n v="0.14000000000000001"/>
    <n v="2268"/>
    <n v="2130.3010860000004"/>
    <n v="2113.04"/>
    <s v="Caución"/>
    <s v="Performance"/>
    <s v="Cartera"/>
    <d v="2026-01-31T00:00:00"/>
    <n v="16200"/>
    <n v="6511.3410860000004"/>
    <x v="1"/>
    <x v="1"/>
    <x v="1"/>
  </r>
  <r>
    <m/>
    <d v="2026-01-01T00:00:00"/>
    <m/>
    <s v="2021/RQLC/0895/0003/R4"/>
    <s v="LA HERRADA MAREAS II-B88624754"/>
    <s v="RASHER"/>
    <s v="Accredited Insurance (Europe) Limited"/>
    <n v="23478.26"/>
    <n v="0.14000000000000001"/>
    <n v="3780.0000000000005"/>
    <n v="3550.4997284999995"/>
    <n v="3521.74"/>
    <s v="Caución"/>
    <s v="Performance"/>
    <s v="Cartera"/>
    <d v="2026-01-31T00:00:00"/>
    <n v="27000"/>
    <n v="10852.239728500001"/>
    <x v="1"/>
    <x v="1"/>
    <x v="1"/>
  </r>
  <r>
    <m/>
    <d v="2026-01-01T00:00:00"/>
    <m/>
    <s v="2021/RQLC/0896/0003/R4"/>
    <s v="PINAREJO I SAN CRISTÓBAL-B88627658"/>
    <s v="RASHER"/>
    <s v="Accredited Insurance (Europe) Limited"/>
    <n v="23478.26"/>
    <n v="0.14000000000000001"/>
    <n v="3780.0000000000005"/>
    <n v="3550.4997284999995"/>
    <n v="3521.74"/>
    <s v="Caución"/>
    <s v="Performance"/>
    <s v="Cartera"/>
    <d v="2026-01-31T00:00:00"/>
    <n v="27000"/>
    <n v="10852.239728500001"/>
    <x v="1"/>
    <x v="1"/>
    <x v="1"/>
  </r>
  <r>
    <m/>
    <d v="2026-01-01T00:00:00"/>
    <m/>
    <s v="2021/RQLC/0891/0006/R4"/>
    <s v="LA RASA ENERGY SLU-B74451436"/>
    <s v="RASHER"/>
    <s v="Accredited Insurance (Europe) Limited"/>
    <n v="26086.959999999999"/>
    <n v="0.14000000000000001"/>
    <n v="4200"/>
    <n v="3945.0010860000002"/>
    <n v="3913.04"/>
    <s v="Caución"/>
    <s v="Performance"/>
    <s v="Cartera"/>
    <d v="2026-01-31T00:00:00"/>
    <n v="30000"/>
    <n v="12058.041086000001"/>
    <x v="1"/>
    <x v="1"/>
    <x v="1"/>
  </r>
  <r>
    <m/>
    <d v="2026-01-01T00:00:00"/>
    <m/>
    <s v="2021/RQLC/0897/0003/R4"/>
    <s v="BRAÑADESELLA PRADERAS ALTAS-B88632302"/>
    <s v="RASHER"/>
    <s v="Accredited Insurance (Europe) Limited"/>
    <n v="23478.26"/>
    <n v="0.14000000000000001"/>
    <n v="3780.0000000000005"/>
    <n v="3550.4997284999995"/>
    <n v="3521.74"/>
    <s v="Caución"/>
    <s v="Performance"/>
    <s v="Cartera"/>
    <d v="2026-01-31T00:00:00"/>
    <n v="27000"/>
    <n v="10852.239728500001"/>
    <x v="1"/>
    <x v="1"/>
    <x v="1"/>
  </r>
  <r>
    <m/>
    <d v="2026-01-01T00:00:00"/>
    <m/>
    <s v="2021/RQLC/0899/0004/R4"/>
    <s v="PICO LIEBRES CABEZUELAS-B01623206"/>
    <s v="RASHER"/>
    <s v="Accredited Insurance (Europe) Limited"/>
    <n v="4173.91"/>
    <n v="0.14000000000000001"/>
    <n v="672.00000000000011"/>
    <n v="631.19904974999997"/>
    <n v="626.09"/>
    <s v="Caución"/>
    <s v="Performance"/>
    <s v="Cartera"/>
    <d v="2026-01-31T00:00:00"/>
    <n v="4800"/>
    <n v="1929.2890497500002"/>
    <x v="1"/>
    <x v="1"/>
    <x v="1"/>
  </r>
  <r>
    <m/>
    <d v="2026-01-01T00:00:00"/>
    <m/>
    <s v="2021/RQLC/0896/0002/R4"/>
    <s v="PINAREJO I SAN CRISTÓBAL-B88627658"/>
    <s v="RASHER"/>
    <s v="Accredited Insurance (Europe) Limited"/>
    <n v="14086.96"/>
    <n v="0.14000000000000001"/>
    <n v="2268"/>
    <n v="2130.3010860000004"/>
    <n v="2113.04"/>
    <s v="Caución"/>
    <s v="Performance"/>
    <s v="Cartera"/>
    <d v="2026-01-31T00:00:00"/>
    <n v="16200"/>
    <n v="6511.3410860000004"/>
    <x v="1"/>
    <x v="1"/>
    <x v="1"/>
  </r>
  <r>
    <m/>
    <d v="2026-01-01T00:00:00"/>
    <m/>
    <s v="2021/RQLC/0898/0002/R4"/>
    <s v="CASSIOPEA LANTUENO-B88645056"/>
    <s v="RASHER"/>
    <s v="Accredited Insurance (Europe) Limited"/>
    <n v="14086.96"/>
    <n v="0.14000000000000001"/>
    <n v="2268"/>
    <n v="2130.3010860000004"/>
    <n v="2113.04"/>
    <s v="Caución"/>
    <s v="Performance"/>
    <s v="Cartera"/>
    <d v="2026-01-31T00:00:00"/>
    <n v="16200"/>
    <n v="6511.3410860000004"/>
    <x v="1"/>
    <x v="1"/>
    <x v="1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  <r>
    <m/>
    <m/>
    <m/>
    <m/>
    <m/>
    <m/>
    <m/>
    <m/>
    <m/>
    <m/>
    <m/>
    <m/>
    <m/>
    <m/>
    <m/>
    <m/>
    <m/>
    <m/>
    <x v="6"/>
    <x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0">
  <r>
    <d v="2026-01-31T00:00:00"/>
    <d v="2025-12-08T00:00:00"/>
    <d v="2026-01-31T00:00:00"/>
    <s v="FU/D90/0000078"/>
    <s v="ARETÉ MACENAS RESIDENCIAL, S.L.-B67775882"/>
    <s v="RASHER ASESORAMIENTO, S.L.-B14571434"/>
    <s v="Helvetia Compañía de Seguros, S.A.S.R."/>
    <n v="910"/>
    <n v="0.15"/>
    <n v="156.97499999999999"/>
    <n v="127.39999999999999"/>
    <n v="116.02499999999999"/>
    <x v="0"/>
    <s v="ENTRADA EN VIGOR"/>
    <s v="Nueva producción"/>
    <d v="2026-01-31T00:00:00"/>
    <n v="1026.0250000000001"/>
    <n v="400.4"/>
    <x v="0"/>
    <x v="0"/>
  </r>
  <r>
    <d v="2026-01-31T00:00:00"/>
    <d v="2025-12-08T00:00:00"/>
    <d v="2026-01-31T00:00:00"/>
    <s v="FU/D90/0000083"/>
    <s v="ARETÉ MACENAS RESIDENCIAL, S.L.-B67775882"/>
    <s v="RASHER ASESORAMIENTO, S.L.-B14571434"/>
    <s v="Helvetia Compañía de Seguros, S.A.S.R."/>
    <n v="910"/>
    <n v="0.15"/>
    <n v="156.97499999999999"/>
    <n v="127.39999999999999"/>
    <n v="116.02499999999999"/>
    <x v="0"/>
    <s v="ENTRADA EN VIGOR"/>
    <s v="Nueva producción"/>
    <d v="2026-01-31T00:00:00"/>
    <n v="1026.0250000000001"/>
    <n v="400.4"/>
    <x v="0"/>
    <x v="0"/>
  </r>
  <r>
    <d v="2026-01-31T00:00:00"/>
    <d v="2026-01-08T00:00:00"/>
    <d v="2026-01-31T00:00:00"/>
    <s v="FU/D90/0000120"/>
    <s v="ARETÉ MACENAS RESIDENCIAL, S.L.-B67775882"/>
    <s v="RASHER ASESORAMIENTO, S.L.-B14571434"/>
    <s v="Helvetia Compañía de Seguros, S.A.S.R."/>
    <n v="910"/>
    <n v="0.15"/>
    <n v="156.97499999999999"/>
    <n v="127.39999999999999"/>
    <n v="116.02499999999999"/>
    <x v="0"/>
    <s v="ENTRADA EN VIGOR"/>
    <s v="Nueva producción"/>
    <d v="2026-01-31T00:00:00"/>
    <n v="1026.0250000000001"/>
    <n v="400.4"/>
    <x v="1"/>
    <x v="1"/>
  </r>
  <r>
    <d v="2026-01-31T00:00:00"/>
    <d v="2025-12-08T00:00:00"/>
    <d v="2026-01-31T00:00:00"/>
    <s v="FU/D90/0000121"/>
    <s v="ARETÉ MACENAS RESIDENCIAL, S.L.-B67775882"/>
    <s v="RASHER ASESORAMIENTO, S.L.-B14571434"/>
    <s v="Helvetia Compañía de Seguros, S.A.S.R."/>
    <n v="910"/>
    <n v="0.15"/>
    <n v="156.97499999999999"/>
    <n v="127.39999999999999"/>
    <n v="116.02499999999999"/>
    <x v="0"/>
    <s v="ENTRADA EN VIGOR"/>
    <s v="Nueva producción"/>
    <d v="2026-01-31T00:00:00"/>
    <n v="1026.0250000000001"/>
    <n v="400.4"/>
    <x v="0"/>
    <x v="0"/>
  </r>
  <r>
    <d v="2026-01-31T00:00:00"/>
    <d v="2026-01-07T00:00:00"/>
    <d v="2026-01-31T00:00:00"/>
    <s v="FU/D90/0000160"/>
    <s v="PJMD REAL ESTATE, S.L.-B19850346"/>
    <s v="ORES Y BRYAN CORREDURÍA DE SEGUROS, S.L.-B29435260"/>
    <s v="Helvetia Compañía de Seguros, S.A.S.R."/>
    <n v="390"/>
    <n v="0.23"/>
    <n v="103.16"/>
    <n v="23.399999999999988"/>
    <n v="45.045000000000002"/>
    <x v="0"/>
    <s v="PREPOLIZA"/>
    <s v="Nueva producción"/>
    <d v="2026-01-31T00:00:00"/>
    <n v="435.04500000000002"/>
    <n v="171.60499999999999"/>
    <x v="1"/>
    <x v="1"/>
  </r>
  <r>
    <d v="2025-01-01T00:00:00"/>
    <d v="2025-01-01T00:00:00"/>
    <d v="2026-01-26T00:00:00"/>
    <s v="2021/RQLC/0901/0004/R3"/>
    <s v="LA ENCANTADA LA RAMBLA - B01635606"/>
    <s v="RASHER CORREDURIA DE SEGUROS - B14571434"/>
    <s v="Accredited Insurance (Europe) Limited"/>
    <n v="4173.9130434782601"/>
    <n v="0.14000000000000012"/>
    <n v="672.00000000000045"/>
    <n v="622.85217391304263"/>
    <n v="626.08695652173901"/>
    <x v="1"/>
    <s v="Performance"/>
    <s v="Cartera"/>
    <d v="2026-01-31T00:00:00"/>
    <n v="4799.9999999999991"/>
    <n v="1920.9391304347821"/>
    <x v="1"/>
    <x v="0"/>
  </r>
  <r>
    <d v="2025-06-21T00:00:00"/>
    <d v="2025-06-21T00:00:00"/>
    <d v="2026-01-13T00:00:00"/>
    <s v="2021/RQLC/0773/0001/R4"/>
    <s v="AMBER SOLAR POWER CUARENTA Y UNO SL. - B05399969"/>
    <s v="WILLIS IBERIA SA - A28961639"/>
    <s v="Accredited Insurance (Europe) Limited"/>
    <n v="12521.7391304348"/>
    <n v="0.14000000000000029"/>
    <n v="2016.0000000000068"/>
    <n v="1868.5565217391286"/>
    <n v="1878.2608695652198"/>
    <x v="1"/>
    <s v="Performance"/>
    <s v="Cartera"/>
    <d v="2026-01-31T00:00:00"/>
    <n v="14400.00000000002"/>
    <n v="5762.8173913043556"/>
    <x v="2"/>
    <x v="0"/>
  </r>
  <r>
    <d v="2025-06-21T00:00:00"/>
    <d v="2025-06-21T00:00:00"/>
    <d v="2026-01-13T00:00:00"/>
    <s v="2021/RQLC/0779/0001/R4"/>
    <s v="AMBER SOLAR POWER TREINTA Y SIETE SL. - B88594098"/>
    <s v="WILLIS IBERIA SA - A28961639"/>
    <s v="Accredited Insurance (Europe) Limited"/>
    <n v="15636.521739130398"/>
    <n v="0.14000000000000032"/>
    <n v="2517.4800000000009"/>
    <n v="2333.359956521726"/>
    <n v="2345.47826086957"/>
    <x v="1"/>
    <s v="Performance"/>
    <s v="Cartera"/>
    <d v="2026-01-31T00:00:00"/>
    <n v="17981.999999999967"/>
    <n v="7196.3182173912974"/>
    <x v="2"/>
    <x v="0"/>
  </r>
  <r>
    <d v="2025-06-21T00:00:00"/>
    <d v="2025-06-21T00:00:00"/>
    <d v="2026-01-13T00:00:00"/>
    <s v="2021/RQLC/0800/0001/R4"/>
    <s v="AMBER SOLAR POWER VEINTICUATRO SL. - B88422308"/>
    <s v="WILLIS IBERIA SA - A28961639"/>
    <s v="Accredited Insurance (Europe) Limited"/>
    <n v="15652.173913043502"/>
    <n v="0.14000000000000012"/>
    <n v="2520.0000000000055"/>
    <n v="2335.6956521739148"/>
    <n v="2347.8260869565202"/>
    <x v="1"/>
    <s v="Performance"/>
    <s v="Cartera"/>
    <d v="2026-01-31T00:00:00"/>
    <n v="18000.000000000022"/>
    <n v="7203.5217391304404"/>
    <x v="2"/>
    <x v="0"/>
  </r>
  <r>
    <d v="2025-06-21T00:00:00"/>
    <d v="2025-06-21T00:00:00"/>
    <d v="2026-01-13T00:00:00"/>
    <s v="2021/RQLC/0801/0001/R4"/>
    <s v="AMBER SOLAR POWER CUARENTA Y TRES SL. - B05399977"/>
    <s v="WILLIS IBERIA SA - A28961639"/>
    <s v="Accredited Insurance (Europe) Limited"/>
    <n v="10956.5217391304"/>
    <n v="0.1400000000000004"/>
    <n v="1764.0000000000007"/>
    <n v="1634.9869565217271"/>
    <n v="1643.4782608695702"/>
    <x v="1"/>
    <s v="Performance"/>
    <s v="Cartera"/>
    <d v="2026-01-31T00:00:00"/>
    <n v="12599.999999999969"/>
    <n v="5042.4652173912982"/>
    <x v="2"/>
    <x v="0"/>
  </r>
  <r>
    <d v="2025-06-21T00:00:00"/>
    <d v="2025-06-21T00:00:00"/>
    <d v="2026-01-13T00:00:00"/>
    <s v="2021/RQLC/0797/0001/R4"/>
    <s v="AMBER SOLAR POWER TREINTA Y CUATRO SL. - B88594064"/>
    <s v="WILLIS IBERIA SA - A28961639"/>
    <s v="Accredited Insurance (Europe) Limited"/>
    <n v="1533.9130434782601"/>
    <n v="0.14000000000000029"/>
    <n v="246.96000000000038"/>
    <n v="228.8981739130428"/>
    <n v="230.08695652173901"/>
    <x v="1"/>
    <s v="Performance"/>
    <s v="Cartera"/>
    <d v="2026-01-31T00:00:00"/>
    <n v="1763.9999999999991"/>
    <n v="705.94513043478219"/>
    <x v="2"/>
    <x v="0"/>
  </r>
  <r>
    <d v="2025-06-21T00:00:00"/>
    <d v="2025-06-21T00:00:00"/>
    <d v="2026-01-13T00:00:00"/>
    <s v="2021/RQLC/0793/0001/R4"/>
    <s v="AMBER SOLAR POWER CUARENTA Y SEIS SL. - B05400007"/>
    <s v="WILLIS IBERIA SA - A28961639"/>
    <s v="Accredited Insurance (Europe) Limited"/>
    <n v="15636.521739130398"/>
    <n v="0.14000000000000032"/>
    <n v="2517.4800000000009"/>
    <n v="2333.359956521726"/>
    <n v="2345.47826086957"/>
    <x v="1"/>
    <s v="Performance"/>
    <s v="Cartera"/>
    <d v="2026-01-31T00:00:00"/>
    <n v="17981.999999999967"/>
    <n v="7196.3182173912974"/>
    <x v="2"/>
    <x v="0"/>
  </r>
  <r>
    <d v="2025-06-21T00:00:00"/>
    <d v="2025-06-21T00:00:00"/>
    <d v="2026-01-13T00:00:00"/>
    <s v="2021/RQLC/0798/0001/R4"/>
    <s v="LUMINORA SOLAR OCHO SL. - B88532585"/>
    <s v="WILLIS IBERIA SA - A28961639"/>
    <s v="Accredited Insurance (Europe) Limited"/>
    <n v="15652.173913043502"/>
    <n v="0.14000000000000012"/>
    <n v="2520.0000000000055"/>
    <n v="2335.6956521739148"/>
    <n v="2347.8260869565202"/>
    <x v="1"/>
    <s v="Performance"/>
    <s v="Cartera"/>
    <d v="2026-01-31T00:00:00"/>
    <n v="18000.000000000022"/>
    <n v="7203.5217391304404"/>
    <x v="2"/>
    <x v="0"/>
  </r>
  <r>
    <d v="2025-06-21T00:00:00"/>
    <d v="2025-06-21T00:00:00"/>
    <d v="2026-01-13T00:00:00"/>
    <s v="2021/RQLC/0792/0001/R4"/>
    <s v="AMBER SOLAR POWER TREINTA Y OCHO SL. - B88594106"/>
    <s v="WILLIS IBERIA SA - A28961639"/>
    <s v="Accredited Insurance (Europe) Limited"/>
    <n v="9391.3043478260897"/>
    <n v="0.13999999999999949"/>
    <n v="1511.9999999999945"/>
    <n v="1401.4173913043537"/>
    <n v="1408.69565217391"/>
    <x v="1"/>
    <s v="Performance"/>
    <s v="Cartera"/>
    <d v="2026-01-31T00:00:00"/>
    <n v="10800"/>
    <n v="4322.1130434782581"/>
    <x v="2"/>
    <x v="0"/>
  </r>
  <r>
    <d v="2025-06-21T00:00:00"/>
    <d v="2025-06-21T00:00:00"/>
    <d v="2026-01-13T00:00:00"/>
    <s v="2021/RQLC/0802/0001/R4"/>
    <s v="AMBER SOLAR POWER CUARENTA Y CUATRO SL. - B05399985"/>
    <s v="WILLIS IBERIA SA - A28961639"/>
    <s v="Accredited Insurance (Europe) Limited"/>
    <n v="10956.5217391304"/>
    <n v="0.1400000000000004"/>
    <n v="1764.0000000000007"/>
    <n v="1634.9869565217271"/>
    <n v="1643.4782608695702"/>
    <x v="1"/>
    <s v="Performance"/>
    <s v="Cartera"/>
    <d v="2026-01-31T00:00:00"/>
    <n v="12599.999999999969"/>
    <n v="5042.4652173912982"/>
    <x v="2"/>
    <x v="0"/>
  </r>
  <r>
    <d v="2025-06-21T00:00:00"/>
    <d v="2025-06-21T00:00:00"/>
    <d v="2026-01-13T00:00:00"/>
    <s v="2021/RQLC/0796/0001/R4"/>
    <s v="LUMINORA SOLAR VEINTICINCO SL. - B05399936"/>
    <s v="WILLIS IBERIA SA - A28961639"/>
    <s v="Accredited Insurance (Europe) Limited"/>
    <n v="2084.8695652173901"/>
    <n v="0.14000000000000037"/>
    <n v="335.66400000000061"/>
    <n v="311.11466086956415"/>
    <n v="312.73043478260797"/>
    <x v="1"/>
    <s v="Performance"/>
    <s v="Cartera"/>
    <d v="2026-01-31T00:00:00"/>
    <n v="2397.5999999999981"/>
    <n v="959.50909565217273"/>
    <x v="2"/>
    <x v="0"/>
  </r>
  <r>
    <d v="2025-06-21T00:00:00"/>
    <d v="2025-06-21T00:00:00"/>
    <d v="2026-01-13T00:00:00"/>
    <s v="2021/RQLC/0795/0001/R4"/>
    <s v="LUMINORA SOLAR VEINTICUATRO SL. - B05399928"/>
    <s v="WILLIS IBERIA SA - A28961639"/>
    <s v="Accredited Insurance (Europe) Limited"/>
    <n v="2084.8695652173901"/>
    <n v="0.14000000000000037"/>
    <n v="335.66400000000061"/>
    <n v="311.11466086956415"/>
    <n v="312.73043478260797"/>
    <x v="1"/>
    <s v="Performance"/>
    <s v="Cartera"/>
    <d v="2026-01-31T00:00:00"/>
    <n v="2397.5999999999981"/>
    <n v="959.50909565217273"/>
    <x v="2"/>
    <x v="0"/>
  </r>
  <r>
    <d v="2025-06-21T00:00:00"/>
    <d v="2025-06-21T00:00:00"/>
    <d v="2026-01-13T00:00:00"/>
    <s v="2021/RQLC/0794/0001/R4"/>
    <s v="LUMINORA SOLAR VEINTITRES SL. - B05399910"/>
    <s v="WILLIS IBERIA SA - A28961639"/>
    <s v="Accredited Insurance (Europe) Limited"/>
    <n v="2084.8695652173901"/>
    <n v="0.14000000000000037"/>
    <n v="335.66400000000061"/>
    <n v="311.11466086956415"/>
    <n v="312.73043478260797"/>
    <x v="1"/>
    <s v="Performance"/>
    <s v="Cartera"/>
    <d v="2026-01-31T00:00:00"/>
    <n v="2397.5999999999981"/>
    <n v="959.50909565217273"/>
    <x v="2"/>
    <x v="0"/>
  </r>
  <r>
    <d v="2025-06-23T00:00:00"/>
    <d v="2025-06-23T00:00:00"/>
    <d v="2026-01-13T00:00:00"/>
    <s v="2021/RQLC/0808/0001/R4"/>
    <s v="AMBER SOLAR POWER VEINTICUATRO SL. - B88422308"/>
    <s v="WILLIS IBERIA SA - A28961639"/>
    <s v="Accredited Insurance (Europe) Limited"/>
    <n v="15652.173913043502"/>
    <n v="0.14000000000000012"/>
    <n v="2520.0000000000055"/>
    <n v="2335.6956521739148"/>
    <n v="2347.8260869565202"/>
    <x v="1"/>
    <s v="Performance"/>
    <s v="Cartera"/>
    <d v="2026-01-31T00:00:00"/>
    <n v="18000.000000000022"/>
    <n v="7203.5217391304404"/>
    <x v="2"/>
    <x v="0"/>
  </r>
  <r>
    <d v="2022-12-12T00:00:00"/>
    <d v="2022-12-12T00:00:00"/>
    <d v="2026-01-16T00:00:00"/>
    <s v="2022/RQAF/1009/0044/REG1"/>
    <s v="ONE EDEN INFINITY 2020 SL. - B93725414"/>
    <s v="ORES Y BRYAN SL - B29435260"/>
    <s v="Accredited Insurance (Europe) Limited"/>
    <n v="754.05"/>
    <n v="0.17499999999999999"/>
    <n v="151.75299999999999"/>
    <n v="74.084974999999986"/>
    <n v="113.11"/>
    <x v="1"/>
    <s v="Advance payment"/>
    <s v="Nueva producción"/>
    <d v="2026-01-31T00:00:00"/>
    <n v="867.16"/>
    <n v="338.94797499999999"/>
    <x v="0"/>
    <x v="2"/>
  </r>
  <r>
    <d v="2025-10-26T00:00:00"/>
    <d v="2025-10-26T00:00:00"/>
    <d v="2026-01-12T00:00:00"/>
    <s v="2019/RQLC/0458/0046/R2"/>
    <s v="ATHISA MEDIO AMBIENTE, S.A.U. - A18485516"/>
    <s v="ORES Y BRYAN SL - B29435260"/>
    <s v="Accredited Insurance (Europe) Limited"/>
    <n v="173.91"/>
    <n v="0.17499999999999999"/>
    <n v="35"/>
    <n v="18.951229749999996"/>
    <n v="26.09"/>
    <x v="1"/>
    <s v="Performance"/>
    <s v="Cartera"/>
    <d v="2026-01-31T00:00:00"/>
    <n v="200"/>
    <n v="80.041229749999999"/>
    <x v="3"/>
    <x v="0"/>
  </r>
  <r>
    <d v="2025-11-13T00:00:00"/>
    <d v="2025-11-13T00:00:00"/>
    <d v="2026-01-20T00:00:00"/>
    <s v="2020/RQLC/0696/0001/R5"/>
    <s v="COLMENA SUN DARRO SL. - B88010459"/>
    <s v="HOWDEN IBERIA SA - A82473349"/>
    <s v="Accredited Insurance (Europe) Limited"/>
    <n v="2921.7391304347798"/>
    <n v="0.17500000000000002"/>
    <n v="587.99999999999955"/>
    <n v="318.39652173912998"/>
    <n v="438.26086956521698"/>
    <x v="1"/>
    <s v="Performance"/>
    <s v="Cartera"/>
    <d v="2026-01-31T00:00:00"/>
    <n v="3359.9999999999968"/>
    <n v="1344.6573913043464"/>
    <x v="4"/>
    <x v="0"/>
  </r>
  <r>
    <d v="2025-11-22T00:00:00"/>
    <d v="2025-11-22T00:00:00"/>
    <d v="2026-01-26T00:00:00"/>
    <s v="2021/RQLC/0902/0002/R4"/>
    <s v="INGENIERIA ATECSUR SL - B18612242"/>
    <s v="ORES Y BRYAN SL - B29435260"/>
    <s v="Accredited Insurance (Europe) Limited"/>
    <n v="365.70944347826099"/>
    <n v="0.17499999999999977"/>
    <n v="73.599025499999925"/>
    <n v="39.853186603043582"/>
    <n v="54.856416521739099"/>
    <x v="1"/>
    <s v="Performance"/>
    <s v="Cartera"/>
    <d v="2026-01-31T00:00:00"/>
    <n v="420.5658600000001"/>
    <n v="168.30862862478261"/>
    <x v="4"/>
    <x v="0"/>
  </r>
  <r>
    <d v="2025-11-16T00:00:00"/>
    <d v="2025-11-16T00:00:00"/>
    <d v="2026-01-26T00:00:00"/>
    <s v="2022/RQLC/0950/0008/R3"/>
    <s v="SOLUTIA INNOVAWORLD TECHNOLOGIES SOCIEDAD LIMITADA - B91447193"/>
    <s v="HOWDEN IBERIA SA - A82473349"/>
    <s v="Accredited Insurance (Europe) Limited"/>
    <n v="359.61049999999994"/>
    <n v="0.17500000000000002"/>
    <n v="72.371613124999996"/>
    <n v="39.188554237499972"/>
    <n v="53.941575"/>
    <x v="1"/>
    <s v="Performance"/>
    <s v="Cartera"/>
    <d v="2026-01-31T00:00:00"/>
    <n v="413.55207499999995"/>
    <n v="165.50174236249995"/>
    <x v="4"/>
    <x v="0"/>
  </r>
  <r>
    <d v="2025-11-07T00:00:00"/>
    <d v="2025-11-07T00:00:00"/>
    <d v="2026-01-26T00:00:00"/>
    <s v="2019/RQLC/0458/0047/R2"/>
    <s v="ATHISA MEDIO AMBIENTE, S.A.U. - A18485516"/>
    <s v="ORES Y BRYAN SL - B29435260"/>
    <s v="Accredited Insurance (Europe) Limited"/>
    <n v="264.17791304347799"/>
    <n v="0.17500000000000002"/>
    <n v="53.165804999999956"/>
    <n v="28.78878807391299"/>
    <n v="39.626686956521702"/>
    <x v="1"/>
    <s v="Performance"/>
    <s v="Cartera"/>
    <d v="2026-01-31T00:00:00"/>
    <n v="303.80459999999971"/>
    <n v="121.58128003043464"/>
    <x v="4"/>
    <x v="0"/>
  </r>
  <r>
    <d v="2025-11-14T00:00:00"/>
    <d v="2025-11-14T00:00:00"/>
    <d v="2026-01-26T00:00:00"/>
    <s v="2019/RQLC/0458/0048/R2"/>
    <s v="ATHISA MEDIO AMBIENTE, S.A.U. - A18485516"/>
    <s v="ORES Y BRYAN SL - B29435260"/>
    <s v="Accredited Insurance (Europe) Limited"/>
    <n v="623.32045217391305"/>
    <n v="0.17500000000000002"/>
    <n v="125.44324100000001"/>
    <n v="67.926346275652136"/>
    <n v="93.498067826086995"/>
    <x v="1"/>
    <s v="Performance"/>
    <s v="Cartera"/>
    <d v="2026-01-31T00:00:00"/>
    <n v="716.81852000000003"/>
    <n v="286.86765510173916"/>
    <x v="4"/>
    <x v="0"/>
  </r>
  <r>
    <d v="2025-11-27T00:00:00"/>
    <d v="2025-11-27T00:00:00"/>
    <d v="2026-01-26T00:00:00"/>
    <s v="2019/RQLC/0458/0049/R2"/>
    <s v="ATHISA MEDIO AMBIENTE, S.A.U. - A18485516"/>
    <s v="ORES Y BRYAN SL - B29435260"/>
    <s v="Accredited Insurance (Europe) Limited"/>
    <n v="173.91"/>
    <n v="0.17499999999999999"/>
    <n v="35"/>
    <n v="18.951229749999996"/>
    <n v="26.09"/>
    <x v="1"/>
    <s v="Performance"/>
    <s v="Cartera"/>
    <d v="2026-01-31T00:00:00"/>
    <n v="200"/>
    <n v="80.041229749999999"/>
    <x v="4"/>
    <x v="0"/>
  </r>
  <r>
    <d v="2025-11-30T00:00:00"/>
    <d v="2025-11-30T00:00:00"/>
    <d v="2026-01-26T00:00:00"/>
    <s v="2019/RQLC/0458/0050/R2"/>
    <s v="ATHISA MEDIO AMBIENTE, S.A.U. - A18485516"/>
    <s v="ORES Y BRYAN SL - B29435260"/>
    <s v="Accredited Insurance (Europe) Limited"/>
    <n v="173.91"/>
    <n v="0.17499999999999999"/>
    <n v="35"/>
    <n v="18.951229749999996"/>
    <n v="26.09"/>
    <x v="1"/>
    <s v="Performance"/>
    <s v="Cartera"/>
    <d v="2026-01-31T00:00:00"/>
    <n v="200"/>
    <n v="80.041229749999999"/>
    <x v="4"/>
    <x v="0"/>
  </r>
  <r>
    <d v="2025-11-28T00:00:00"/>
    <d v="2025-11-28T00:00:00"/>
    <d v="2026-01-26T00:00:00"/>
    <s v="2023/RQLC/1147/0001/R2"/>
    <s v="SOLUTIA INNOVAWORLD TECHNOLOGIES SOCIEDAD LIMITADA - B91447193"/>
    <s v="HOWDEN IBERIA SA - A82473349"/>
    <s v="Accredited Insurance (Europe) Limited"/>
    <n v="354.0453"/>
    <n v="0.17500000000000002"/>
    <n v="71.251616624999997"/>
    <n v="38.582086567499999"/>
    <n v="53.106794999999998"/>
    <x v="1"/>
    <s v="Performance"/>
    <s v="Cartera"/>
    <d v="2026-01-31T00:00:00"/>
    <n v="407.15209499999997"/>
    <n v="162.9404981925"/>
    <x v="4"/>
    <x v="0"/>
  </r>
  <r>
    <d v="2025-11-07T00:00:00"/>
    <d v="2025-11-07T00:00:00"/>
    <d v="2026-01-15T00:00:00"/>
    <s v="2021/RQLC/0761/0015/R1"/>
    <s v="MARSIC SOLAR, S.L. - B88197090"/>
    <s v="HOWDEN IBERIA SA - A82473349"/>
    <s v="Accredited Insurance (Europe) Limited"/>
    <n v="18991.304347826099"/>
    <n v="0.17499999999999963"/>
    <n v="3821.9999999999932"/>
    <n v="2069.5773913043581"/>
    <n v="2848.6956521739098"/>
    <x v="1"/>
    <s v="Performance"/>
    <s v="Cartera"/>
    <d v="2026-01-31T00:00:00"/>
    <n v="21840.000000000007"/>
    <n v="8740.2730434782607"/>
    <x v="4"/>
    <x v="0"/>
  </r>
  <r>
    <d v="2025-11-06T00:00:00"/>
    <d v="2025-11-06T00:00:00"/>
    <d v="2026-01-15T00:00:00"/>
    <s v="2021/RQLC/0761/0011/R1"/>
    <s v="WASSAT SOLAR, S.L. - B88211107"/>
    <s v="HOWDEN IBERIA SA - A82473349"/>
    <s v="Accredited Insurance (Europe) Limited"/>
    <n v="9970.4347826086996"/>
    <n v="0.17499999999999979"/>
    <n v="2006.5499999999977"/>
    <n v="1086.5281304347857"/>
    <n v="1495.5652173912997"/>
    <x v="1"/>
    <s v="Performance"/>
    <s v="Cartera"/>
    <d v="2026-01-31T00:00:00"/>
    <n v="11466"/>
    <n v="4588.6433478260833"/>
    <x v="4"/>
    <x v="0"/>
  </r>
  <r>
    <d v="2025-11-06T00:00:00"/>
    <d v="2025-11-06T00:00:00"/>
    <d v="2026-01-15T00:00:00"/>
    <s v="2021/RQLC/0761/0009/R1"/>
    <s v="MIRAM SOLAR,S.L - B88198858"/>
    <s v="HOWDEN IBERIA SA - A82473349"/>
    <s v="Accredited Insurance (Europe) Limited"/>
    <n v="18801.391304347799"/>
    <n v="0.17500000000000007"/>
    <n v="3783.7799999999961"/>
    <n v="2048.8816173912992"/>
    <n v="2820.2086956521698"/>
    <x v="1"/>
    <s v="Performance"/>
    <s v="Cartera"/>
    <d v="2026-01-31T00:00:00"/>
    <n v="21621.599999999969"/>
    <n v="8652.870313043466"/>
    <x v="4"/>
    <x v="0"/>
  </r>
  <r>
    <d v="2025-11-25T00:00:00"/>
    <d v="2025-11-25T00:00:00"/>
    <d v="2026-01-20T00:00:00"/>
    <s v="2024/RQLC/1271/0001/R1"/>
    <s v="DESARROLLOS ECOINDUSTRIALES TERUEL, S.L. - B16447856"/>
    <s v="RASHER CORREDURIA DE SEGUROS - B14571434"/>
    <s v="Accredited Insurance (Europe) Limited"/>
    <n v="3270.52"/>
    <n v="0.14000000000000001"/>
    <n v="526.5526000000001"/>
    <n v="488.04446699999983"/>
    <n v="490.57"/>
    <x v="1"/>
    <s v="Performance"/>
    <s v="Cartera"/>
    <d v="2026-01-31T00:00:00"/>
    <n v="3761.09"/>
    <n v="1505.1670669999999"/>
    <x v="4"/>
    <x v="0"/>
  </r>
  <r>
    <d v="2026-01-09T00:00:00"/>
    <d v="2026-01-09T00:00:00"/>
    <d v="2026-01-09T00:00:00"/>
    <s v="2023/RQLC/1155/0002"/>
    <s v="NOVATION IT SYSTEMS SL - B87149605"/>
    <s v="ORES Y BRYAN SL - B29435260"/>
    <s v="Accredited Insurance (Europe) Limited"/>
    <n v="665.69"/>
    <n v="0.17499999999999996"/>
    <n v="133.96949999999998"/>
    <n v="73.875560250000063"/>
    <n v="99.85"/>
    <x v="1"/>
    <s v="Performance"/>
    <s v="Nueva producción"/>
    <d v="2026-01-31T00:00:00"/>
    <n v="765.54000000000008"/>
    <n v="307.69506025000004"/>
    <x v="1"/>
    <x v="1"/>
  </r>
  <r>
    <d v="2022-12-12T00:00:00"/>
    <d v="2022-12-12T00:00:00"/>
    <d v="2026-01-16T00:00:00"/>
    <s v="2022/RQAF/1009/0015/REG1"/>
    <s v="ONE EDEN INFINITY 2020 SL. - B93725414"/>
    <s v="ORES Y BRYAN SL - B29435260"/>
    <s v="Accredited Insurance (Europe) Limited"/>
    <n v="784.84000000000015"/>
    <n v="0.17499999999999996"/>
    <n v="157.94800000000001"/>
    <n v="77.111580000000032"/>
    <n v="117.72000000000001"/>
    <x v="1"/>
    <s v="Advance payment"/>
    <s v="Nueva producción"/>
    <d v="2026-01-31T00:00:00"/>
    <n v="902.56000000000017"/>
    <n v="352.77958000000007"/>
    <x v="0"/>
    <x v="2"/>
  </r>
  <r>
    <d v="2022-12-12T00:00:00"/>
    <d v="2022-12-12T00:00:00"/>
    <d v="2026-01-16T00:00:00"/>
    <s v="2022/RQAF/1009/0057/REG1"/>
    <s v="ONE EDEN INFINITY 2020 SL. - B93725414"/>
    <s v="ORES Y BRYAN SL - B29435260"/>
    <s v="Accredited Insurance (Europe) Limited"/>
    <n v="408.16000000000008"/>
    <n v="0.17499999999999996"/>
    <n v="82.143249999999995"/>
    <n v="40.100670000000022"/>
    <n v="61.22999999999999"/>
    <x v="1"/>
    <s v="Advance payment"/>
    <s v="Nueva producción"/>
    <d v="2026-01-31T00:00:00"/>
    <n v="469.3900000000001"/>
    <n v="183.47392000000002"/>
    <x v="0"/>
    <x v="2"/>
  </r>
  <r>
    <d v="2024-06-17T00:00:00"/>
    <d v="2025-12-12T00:00:00"/>
    <d v="2026-01-09T00:00:00"/>
    <s v="2024/RQAF/1205/0001/SUP1"/>
    <s v="KAMPINAS SLU - B29132636"/>
    <s v="HOWDEN IBERIA SA - A82473349"/>
    <s v="Accredited Insurance (Europe) Limited"/>
    <n v="83.2"/>
    <n v="0.17499999999999996"/>
    <n v="16.743999999999996"/>
    <n v="8.933600000000002"/>
    <n v="12.479999999999999"/>
    <x v="1"/>
    <s v="Advance payment"/>
    <s v="Cartera"/>
    <d v="2026-01-31T00:00:00"/>
    <n v="95.68"/>
    <n v="38.157599999999995"/>
    <x v="0"/>
    <x v="0"/>
  </r>
  <r>
    <d v="2024-06-17T00:00:00"/>
    <d v="2025-12-12T00:00:00"/>
    <d v="2026-01-09T00:00:00"/>
    <s v="2024/RQAF/1205/0002/SUP1"/>
    <s v="KAMPINAS SLU - B29132636"/>
    <s v="HOWDEN IBERIA SA - A82473349"/>
    <s v="Accredited Insurance (Europe) Limited"/>
    <n v="311.44999999999993"/>
    <n v="0.17499999999999999"/>
    <n v="62.679749999999991"/>
    <n v="33.441506249999982"/>
    <n v="46.72"/>
    <x v="1"/>
    <s v="Advance payment"/>
    <s v="Cartera"/>
    <d v="2026-01-31T00:00:00"/>
    <n v="358.16999999999996"/>
    <n v="142.84125624999996"/>
    <x v="0"/>
    <x v="0"/>
  </r>
  <r>
    <d v="2024-06-19T00:00:00"/>
    <d v="2025-12-12T00:00:00"/>
    <d v="2026-01-09T00:00:00"/>
    <s v="2024/RQAF/1205/0004/SUP1"/>
    <s v="KAMPINAS SLU - B29132636"/>
    <s v="HOWDEN IBERIA SA - A82473349"/>
    <s v="Accredited Insurance (Europe) Limited"/>
    <n v="157.19999999999999"/>
    <n v="0.17500000000000002"/>
    <n v="31.636499999999998"/>
    <n v="16.879349999999995"/>
    <n v="23.58"/>
    <x v="1"/>
    <s v="Advance payment"/>
    <s v="Cartera"/>
    <d v="2026-01-31T00:00:00"/>
    <n v="180.77999999999997"/>
    <n v="72.095849999999984"/>
    <x v="0"/>
    <x v="0"/>
  </r>
  <r>
    <d v="2024-06-28T00:00:00"/>
    <d v="2025-12-12T00:00:00"/>
    <d v="2026-01-09T00:00:00"/>
    <s v="2024/RQAF/1205/0006/SUP1"/>
    <s v="KAMPINAS SLU - B29132636"/>
    <s v="HOWDEN IBERIA SA - A82473349"/>
    <s v="Accredited Insurance (Europe) Limited"/>
    <n v="119.87999999999998"/>
    <n v="0.17499999999999999"/>
    <n v="24.125499999999995"/>
    <n v="12.872464999999998"/>
    <n v="17.98"/>
    <x v="1"/>
    <s v="Advance payment"/>
    <s v="Cartera"/>
    <d v="2026-01-31T00:00:00"/>
    <n v="137.85999999999999"/>
    <n v="54.977964999999998"/>
    <x v="0"/>
    <x v="0"/>
  </r>
  <r>
    <d v="2024-07-02T00:00:00"/>
    <d v="2025-12-12T00:00:00"/>
    <d v="2026-01-09T00:00:00"/>
    <s v="2024/RQAF/1205/0009/SUP1"/>
    <s v="KAMPINAS SLU - B29132636"/>
    <s v="HOWDEN IBERIA SA - A82473349"/>
    <s v="Accredited Insurance (Europe) Limited"/>
    <n v="909.78"/>
    <n v="0.17499999999999999"/>
    <n v="183.09375"/>
    <n v="97.68710249999998"/>
    <n v="136.47"/>
    <x v="1"/>
    <s v="Advance payment"/>
    <s v="Cartera"/>
    <d v="2026-01-31T00:00:00"/>
    <n v="1046.25"/>
    <n v="417.25085249999995"/>
    <x v="0"/>
    <x v="0"/>
  </r>
  <r>
    <d v="2024-07-02T00:00:00"/>
    <d v="2025-12-12T00:00:00"/>
    <d v="2026-01-09T00:00:00"/>
    <s v="2024/RQAF/1205/0010/SUP1"/>
    <s v="KAMPINAS SLU - B29132636"/>
    <s v="HOWDEN IBERIA SA - A82473349"/>
    <s v="Accredited Insurance (Europe) Limited"/>
    <n v="141.13"/>
    <n v="0.17499999999999996"/>
    <n v="28.402499999999996"/>
    <n v="15.153746249999998"/>
    <n v="21.17"/>
    <x v="1"/>
    <s v="Advance payment"/>
    <s v="Cartera"/>
    <d v="2026-01-31T00:00:00"/>
    <n v="162.30000000000001"/>
    <n v="64.726246250000003"/>
    <x v="0"/>
    <x v="0"/>
  </r>
  <r>
    <d v="2024-07-12T00:00:00"/>
    <d v="2025-12-12T00:00:00"/>
    <d v="2026-01-09T00:00:00"/>
    <s v="2024/RQAF/1205/0011/SUP1"/>
    <s v="KAMPINAS SLU - B29132636"/>
    <s v="HOWDEN IBERIA SA - A82473349"/>
    <s v="Accredited Insurance (Europe) Limited"/>
    <n v="1007.8999999999999"/>
    <n v="0.17499999999999999"/>
    <n v="202.83899999999997"/>
    <n v="108.22413749999996"/>
    <n v="151.18"/>
    <x v="1"/>
    <s v="Advance payment"/>
    <s v="Cartera"/>
    <d v="2026-01-31T00:00:00"/>
    <n v="1159.08"/>
    <n v="462.24313749999993"/>
    <x v="0"/>
    <x v="0"/>
  </r>
  <r>
    <d v="2024-07-15T00:00:00"/>
    <d v="2025-12-12T00:00:00"/>
    <d v="2026-01-09T00:00:00"/>
    <s v="2024/RQAF/1205/0012/SUP1"/>
    <s v="KAMPINAS SLU - B29132636"/>
    <s v="HOWDEN IBERIA SA - A82473349"/>
    <s v="Accredited Insurance (Europe) Limited"/>
    <n v="612.96"/>
    <n v="0.17499999999999999"/>
    <n v="123.3575"/>
    <n v="65.817279999999997"/>
    <n v="91.94"/>
    <x v="1"/>
    <s v="Advance payment"/>
    <s v="Cartera"/>
    <d v="2026-01-31T00:00:00"/>
    <n v="704.90000000000009"/>
    <n v="281.11478"/>
    <x v="0"/>
    <x v="0"/>
  </r>
  <r>
    <d v="2024-08-01T00:00:00"/>
    <d v="2025-12-12T00:00:00"/>
    <d v="2026-01-09T00:00:00"/>
    <s v="2024/RQAF/1205/0015/SUP1"/>
    <s v="KAMPINAS SLU - B29132636"/>
    <s v="HOWDEN IBERIA SA - A82473349"/>
    <s v="Accredited Insurance (Europe) Limited"/>
    <n v="277.17"/>
    <n v="0.17499999999999999"/>
    <n v="55.779499999999999"/>
    <n v="29.762091249999997"/>
    <n v="41.57"/>
    <x v="1"/>
    <s v="Advance payment"/>
    <s v="Cartera"/>
    <d v="2026-01-31T00:00:00"/>
    <n v="318.74"/>
    <n v="127.11159125"/>
    <x v="0"/>
    <x v="0"/>
  </r>
  <r>
    <d v="2024-08-27T00:00:00"/>
    <d v="2025-12-12T00:00:00"/>
    <d v="2026-01-09T00:00:00"/>
    <s v="2024/RQAF/1205/0017/SUP1"/>
    <s v="KAMPINAS SLU - B29132636"/>
    <s v="HOWDEN IBERIA SA - A82473349"/>
    <s v="Accredited Insurance (Europe) Limited"/>
    <n v="201.5"/>
    <n v="0.17499999999999999"/>
    <n v="40.550999999999995"/>
    <n v="21.636937500000002"/>
    <n v="30.22"/>
    <x v="1"/>
    <s v="Advance payment"/>
    <s v="Cartera"/>
    <d v="2026-01-31T00:00:00"/>
    <n v="231.72"/>
    <n v="92.407937500000003"/>
    <x v="0"/>
    <x v="0"/>
  </r>
  <r>
    <d v="2025-02-03T00:00:00"/>
    <d v="2025-12-12T00:00:00"/>
    <d v="2026-01-09T00:00:00"/>
    <s v="2024/RQAF/1205/0024/SUP1"/>
    <s v="KAMPINAS SLU - B29132636"/>
    <s v="HOWDEN IBERIA SA - A82473349"/>
    <s v="Accredited Insurance (Europe) Limited"/>
    <n v="817.31"/>
    <n v="0.17499999999999999"/>
    <n v="164.48249999999999"/>
    <n v="89.06749474999998"/>
    <n v="122.58999999999999"/>
    <x v="1"/>
    <s v="Advance payment"/>
    <s v="Cartera"/>
    <d v="2026-01-31T00:00:00"/>
    <n v="939.9"/>
    <n v="376.13999474999997"/>
    <x v="0"/>
    <x v="0"/>
  </r>
  <r>
    <d v="2025-02-11T00:00:00"/>
    <d v="2025-12-12T00:00:00"/>
    <d v="2026-01-09T00:00:00"/>
    <s v="2024/RQAF/1205/0025/SUP1"/>
    <s v="KAMPINAS SLU - B29132636"/>
    <s v="HOWDEN IBERIA SA - A82473349"/>
    <s v="Accredited Insurance (Europe) Limited"/>
    <n v="177.58000000000004"/>
    <n v="0.17499999999999996"/>
    <n v="35.738499999999995"/>
    <n v="19.351255500000015"/>
    <n v="26.64"/>
    <x v="1"/>
    <s v="Advance payment"/>
    <s v="Cartera"/>
    <d v="2026-01-31T00:00:00"/>
    <n v="204.22000000000003"/>
    <n v="81.72975550000001"/>
    <x v="0"/>
    <x v="0"/>
  </r>
  <r>
    <d v="2026-01-21T00:00:00"/>
    <d v="2026-01-21T00:00:00"/>
    <d v="2026-01-21T00:00:00"/>
    <s v="2025/RQAF/1386/0001"/>
    <s v="THE RESIDENCES DEVCO SL. - B72718554"/>
    <s v="HOWDEN IBERIA SA - A82473349"/>
    <s v="Accredited Insurance (Europe) Limited"/>
    <n v="38721.25"/>
    <n v="0.17499999999999999"/>
    <n v="7792.6449999999995"/>
    <n v="4297.0972812500013"/>
    <n v="5808.15"/>
    <x v="1"/>
    <s v="Advance payment"/>
    <s v="Nueva producción"/>
    <d v="2026-01-31T00:00:00"/>
    <n v="44529.4"/>
    <n v="17897.892281250002"/>
    <x v="1"/>
    <x v="1"/>
  </r>
  <r>
    <d v="2026-01-21T00:00:00"/>
    <d v="2026-01-21T00:00:00"/>
    <d v="2026-01-21T00:00:00"/>
    <s v="2025/RQAF/1386/0002"/>
    <s v="THE RESIDENCES DEVCO SL. - B72718554"/>
    <s v="HOWDEN IBERIA SA - A82473349"/>
    <s v="Accredited Insurance (Europe) Limited"/>
    <n v="35837.47"/>
    <n v="0.17499999999999996"/>
    <n v="7212.2837499999987"/>
    <n v="3977.0703207500028"/>
    <n v="5375.58"/>
    <x v="1"/>
    <s v="Advance payment"/>
    <s v="Nueva producción"/>
    <d v="2026-01-31T00:00:00"/>
    <n v="41213.050000000003"/>
    <n v="16564.934070750001"/>
    <x v="1"/>
    <x v="1"/>
  </r>
  <r>
    <d v="2026-01-21T00:00:00"/>
    <d v="2026-01-21T00:00:00"/>
    <d v="2026-01-21T00:00:00"/>
    <s v="2025/RQAF/1386/0003"/>
    <s v="THE RESIDENCES DEVCO SL. - B72718554"/>
    <s v="HOWDEN IBERIA SA - A82473349"/>
    <s v="Accredited Insurance (Europe) Limited"/>
    <n v="45834.09"/>
    <n v="0.17499999999999999"/>
    <n v="9224.1029999999992"/>
    <n v="5086.4457502500009"/>
    <n v="6875.07"/>
    <x v="1"/>
    <s v="Advance payment"/>
    <s v="Nueva producción"/>
    <d v="2026-01-31T00:00:00"/>
    <n v="52709.159999999996"/>
    <n v="21185.61875025"/>
    <x v="1"/>
    <x v="1"/>
  </r>
  <r>
    <d v="2026-01-21T00:00:00"/>
    <d v="2026-01-21T00:00:00"/>
    <d v="2026-01-21T00:00:00"/>
    <s v="2025/RQAF/1386/0004"/>
    <s v="THE RESIDENCES DEVCO SL. - B72718554"/>
    <s v="HOWDEN IBERIA SA - A82473349"/>
    <s v="Accredited Insurance (Europe) Limited"/>
    <n v="37478.490000000005"/>
    <n v="0.17499999999999999"/>
    <n v="7542.5384999999997"/>
    <n v="4159.1830402500027"/>
    <n v="5621.73"/>
    <x v="1"/>
    <s v="Advance payment"/>
    <s v="Nueva producción"/>
    <d v="2026-01-31T00:00:00"/>
    <n v="43100.22"/>
    <n v="17323.451540250004"/>
    <x v="1"/>
    <x v="1"/>
  </r>
  <r>
    <d v="2026-01-21T00:00:00"/>
    <d v="2026-01-21T00:00:00"/>
    <d v="2026-01-21T00:00:00"/>
    <s v="2025/RQAF/1386/0005"/>
    <s v="THE RESIDENCES DEVCO SL. - B72718554"/>
    <s v="HOWDEN IBERIA SA - A82473349"/>
    <s v="Accredited Insurance (Europe) Limited"/>
    <n v="37807.480000000003"/>
    <n v="0.17499999999999996"/>
    <n v="7608.7479999999987"/>
    <n v="4195.6924430000026"/>
    <n v="5671.08"/>
    <x v="1"/>
    <s v="Advance payment"/>
    <s v="Nueva producción"/>
    <d v="2026-01-31T00:00:00"/>
    <n v="43478.560000000005"/>
    <n v="17475.520443000001"/>
    <x v="1"/>
    <x v="1"/>
  </r>
  <r>
    <d v="2026-01-21T00:00:00"/>
    <d v="2026-01-21T00:00:00"/>
    <d v="2026-01-21T00:00:00"/>
    <s v="2025/RQAF/1386/0006"/>
    <s v="THE RESIDENCES DEVCO SL. - B72718554"/>
    <s v="HOWDEN IBERIA SA - A82473349"/>
    <s v="Accredited Insurance (Europe) Limited"/>
    <n v="36200.21"/>
    <n v="0.17499999999999999"/>
    <n v="7285.2849999999989"/>
    <n v="4017.3255672500027"/>
    <n v="5429.99"/>
    <x v="1"/>
    <s v="Advance payment"/>
    <s v="Nueva producción"/>
    <d v="2026-01-31T00:00:00"/>
    <n v="41630.199999999997"/>
    <n v="16732.600567250003"/>
    <x v="1"/>
    <x v="1"/>
  </r>
  <r>
    <d v="2026-01-21T00:00:00"/>
    <d v="2026-01-21T00:00:00"/>
    <d v="2026-01-21T00:00:00"/>
    <s v="2025/RQAF/1386/0007"/>
    <s v="THE RESIDENCES DEVCO SL. - B72718554"/>
    <s v="HOWDEN IBERIA SA - A82473349"/>
    <s v="Accredited Insurance (Europe) Limited"/>
    <n v="69703.02"/>
    <n v="0.17499999999999996"/>
    <n v="14027.719999999998"/>
    <n v="7735.3054195000041"/>
    <n v="10455.379999999999"/>
    <x v="1"/>
    <s v="Advance payment"/>
    <s v="Nueva producción"/>
    <d v="2026-01-31T00:00:00"/>
    <n v="80158.400000000009"/>
    <n v="32218.405419499999"/>
    <x v="1"/>
    <x v="1"/>
  </r>
  <r>
    <d v="2026-01-21T00:00:00"/>
    <d v="2026-01-21T00:00:00"/>
    <d v="2026-01-21T00:00:00"/>
    <s v="2025/RQAF/1386/0008"/>
    <s v="THE RESIDENCES DEVCO SL. - B72718554"/>
    <s v="HOWDEN IBERIA SA - A82473349"/>
    <s v="Accredited Insurance (Europe) Limited"/>
    <n v="46431.96"/>
    <n v="0.17500000000000002"/>
    <n v="9344.42425"/>
    <n v="5152.7944610000013"/>
    <n v="6964.75"/>
    <x v="1"/>
    <s v="Advance payment"/>
    <s v="Nueva producción"/>
    <d v="2026-01-31T00:00:00"/>
    <n v="53396.71"/>
    <n v="21461.968711000001"/>
    <x v="1"/>
    <x v="1"/>
  </r>
  <r>
    <d v="2026-01-21T00:00:00"/>
    <d v="2026-01-21T00:00:00"/>
    <d v="2026-01-21T00:00:00"/>
    <s v="2025/RQAF/1386/0009"/>
    <s v="THE RESIDENCES DEVCO SL. - B72718554"/>
    <s v="HOWDEN IBERIA SA - A82473349"/>
    <s v="Accredited Insurance (Europe) Limited"/>
    <n v="29712.78"/>
    <n v="0.17499999999999999"/>
    <n v="5979.6922499999991"/>
    <n v="3297.3804855000008"/>
    <n v="4456.8900000000003"/>
    <x v="1"/>
    <s v="Advance payment"/>
    <s v="Nueva producción"/>
    <d v="2026-01-31T00:00:00"/>
    <n v="34169.67"/>
    <n v="13733.962735500001"/>
    <x v="1"/>
    <x v="1"/>
  </r>
  <r>
    <d v="2026-01-21T00:00:00"/>
    <d v="2026-01-21T00:00:00"/>
    <d v="2026-01-21T00:00:00"/>
    <s v="2025/RQAF/1386/0010"/>
    <s v="THE RESIDENCES DEVCO SL. - B72718554"/>
    <s v="HOWDEN IBERIA SA - A82473349"/>
    <s v="Accredited Insurance (Europe) Limited"/>
    <n v="34087.919999999998"/>
    <n v="0.17499999999999999"/>
    <n v="6860.1872499999999"/>
    <n v="3782.9135720000004"/>
    <n v="5113.1499999999996"/>
    <x v="1"/>
    <s v="Advance payment"/>
    <s v="Nueva producción"/>
    <d v="2026-01-31T00:00:00"/>
    <n v="39201.07"/>
    <n v="15756.250822"/>
    <x v="1"/>
    <x v="1"/>
  </r>
  <r>
    <d v="2026-01-21T00:00:00"/>
    <d v="2026-01-21T00:00:00"/>
    <d v="2026-01-21T00:00:00"/>
    <s v="2025/RQAF/1386/0012"/>
    <s v="THE RESIDENCES DEVCO SL. - B72718554"/>
    <s v="HOWDEN IBERIA SA - A82473349"/>
    <s v="Accredited Insurance (Europe) Limited"/>
    <n v="35623.709999999992"/>
    <n v="0.17499999999999999"/>
    <n v="7169.2652499999986"/>
    <n v="3953.3476047500008"/>
    <n v="5343.52"/>
    <x v="1"/>
    <s v="Advance payment"/>
    <s v="Nueva producción"/>
    <d v="2026-01-31T00:00:00"/>
    <n v="40967.229999999996"/>
    <n v="16466.132854750002"/>
    <x v="1"/>
    <x v="1"/>
  </r>
  <r>
    <d v="2026-01-21T00:00:00"/>
    <d v="2026-01-21T00:00:00"/>
    <d v="2026-01-21T00:00:00"/>
    <s v="2025/RQAF/1386/0013"/>
    <s v="THE RESIDENCES DEVCO SL. - B72718554"/>
    <s v="HOWDEN IBERIA SA - A82473349"/>
    <s v="Accredited Insurance (Europe) Limited"/>
    <n v="38144.23000000001"/>
    <n v="0.17499999999999996"/>
    <n v="7676.5184999999992"/>
    <n v="4233.0637117500055"/>
    <n v="5721.59"/>
    <x v="1"/>
    <s v="Advance payment"/>
    <s v="Nueva producción"/>
    <d v="2026-01-31T00:00:00"/>
    <n v="43865.820000000007"/>
    <n v="17631.172211750003"/>
    <x v="1"/>
    <x v="1"/>
  </r>
  <r>
    <d v="2026-01-21T00:00:00"/>
    <d v="2026-01-21T00:00:00"/>
    <d v="2026-01-21T00:00:00"/>
    <s v="2025/RQAF/1386/0014"/>
    <s v="THE RESIDENCES DEVCO SL. - B72718554"/>
    <s v="HOWDEN IBERIA SA - A82473349"/>
    <s v="Accredited Insurance (Europe) Limited"/>
    <n v="37453.35"/>
    <n v="0.17499999999999999"/>
    <n v="7537.4792499999994"/>
    <n v="4156.3929537500017"/>
    <n v="5617.96"/>
    <x v="1"/>
    <s v="Advance payment"/>
    <s v="Nueva producción"/>
    <d v="2026-01-31T00:00:00"/>
    <n v="43071.31"/>
    <n v="17311.83220375"/>
    <x v="1"/>
    <x v="1"/>
  </r>
  <r>
    <d v="2024-01-08T00:00:00"/>
    <d v="2026-01-01T00:00:00"/>
    <d v="2026-01-12T00:00:00"/>
    <s v="2023/RQAF/1150/0001/SUP1"/>
    <s v="ONE EDEN SERENITY, S.L.U. - B93725497"/>
    <s v="ORES Y BRYAN SL - B29435260"/>
    <s v="Accredited Insurance (Europe) Limited"/>
    <n v="912.74000000000012"/>
    <n v="0.17499999999999999"/>
    <n v="183.68875"/>
    <n v="98.005632500000019"/>
    <n v="136.91"/>
    <x v="1"/>
    <s v="Advance payment"/>
    <s v="Cartera"/>
    <d v="2026-01-31T00:00:00"/>
    <n v="1049.6500000000001"/>
    <n v="418.60438250000004"/>
    <x v="1"/>
    <x v="1"/>
  </r>
  <r>
    <d v="2024-01-08T00:00:00"/>
    <d v="2026-01-01T00:00:00"/>
    <d v="2026-01-12T00:00:00"/>
    <s v="2023/RQAF/1150/0002/SUP1"/>
    <s v="ONE EDEN SERENITY, S.L.U. - B93725497"/>
    <s v="ORES Y BRYAN SL - B29435260"/>
    <s v="Accredited Insurance (Europe) Limited"/>
    <n v="605.98"/>
    <n v="0.17499999999999999"/>
    <n v="121.95399999999999"/>
    <n v="65.066577500000008"/>
    <n v="90.9"/>
    <x v="1"/>
    <s v="Advance payment"/>
    <s v="Cartera"/>
    <d v="2026-01-31T00:00:00"/>
    <n v="696.88"/>
    <n v="277.92057750000004"/>
    <x v="1"/>
    <x v="1"/>
  </r>
  <r>
    <d v="2024-01-08T00:00:00"/>
    <d v="2026-01-01T00:00:00"/>
    <d v="2026-01-12T00:00:00"/>
    <s v="2023/RQAF/1150/0003/SUP1"/>
    <s v="ONE EDEN SERENITY, S.L.U. - B93725497"/>
    <s v="ORES Y BRYAN SL - B29435260"/>
    <s v="Accredited Insurance (Europe) Limited"/>
    <n v="520.92999999999995"/>
    <n v="0.17500000000000002"/>
    <n v="104.83725"/>
    <n v="55.934771249999969"/>
    <n v="78.14"/>
    <x v="1"/>
    <s v="Advance payment"/>
    <s v="Cartera"/>
    <d v="2026-01-31T00:00:00"/>
    <n v="599.06999999999994"/>
    <n v="238.91202124999995"/>
    <x v="1"/>
    <x v="1"/>
  </r>
  <r>
    <d v="2024-02-20T00:00:00"/>
    <d v="2026-01-01T00:00:00"/>
    <d v="2026-01-12T00:00:00"/>
    <s v="2023/RQAF/1150/0004/SUP1"/>
    <s v="ONE EDEN SERENITY, S.L.U. - B93725497"/>
    <s v="ORES Y BRYAN SL - B29435260"/>
    <s v="Accredited Insurance (Europe) Limited"/>
    <n v="973.53"/>
    <n v="0.17499999999999999"/>
    <n v="195.92299999999997"/>
    <n v="104.53269624999999"/>
    <n v="146.03"/>
    <x v="1"/>
    <s v="Advance payment"/>
    <s v="Cartera"/>
    <d v="2026-01-31T00:00:00"/>
    <n v="1119.56"/>
    <n v="446.48569624999993"/>
    <x v="1"/>
    <x v="1"/>
  </r>
  <r>
    <d v="2024-01-08T00:00:00"/>
    <d v="2026-01-01T00:00:00"/>
    <d v="2026-01-12T00:00:00"/>
    <s v="2023/RQAF/1150/0005/SUP1"/>
    <s v="ONE EDEN SERENITY, S.L.U. - B93725497"/>
    <s v="ORES Y BRYAN SL - B29435260"/>
    <s v="Accredited Insurance (Europe) Limited"/>
    <n v="934.98"/>
    <n v="0.17499999999999999"/>
    <n v="188.16524999999999"/>
    <n v="100.39295250000001"/>
    <n v="140.25"/>
    <x v="1"/>
    <s v="Advance payment"/>
    <s v="Cartera"/>
    <d v="2026-01-31T00:00:00"/>
    <n v="1075.23"/>
    <n v="428.80820249999999"/>
    <x v="1"/>
    <x v="1"/>
  </r>
  <r>
    <d v="2024-01-08T00:00:00"/>
    <d v="2026-01-01T00:00:00"/>
    <d v="2026-01-12T00:00:00"/>
    <s v="2023/RQAF/1150/0006/SUP1"/>
    <s v="ONE EDEN SERENITY, S.L.U. - B93725497"/>
    <s v="ORES Y BRYAN SL - B29435260"/>
    <s v="Accredited Insurance (Europe) Limited"/>
    <n v="1913.0499999999995"/>
    <n v="0.17500000000000004"/>
    <n v="385"/>
    <n v="205.41505624999979"/>
    <n v="286.95"/>
    <x v="1"/>
    <s v="Advance payment"/>
    <s v="Cartera"/>
    <d v="2026-01-31T00:00:00"/>
    <n v="2199.9999999999995"/>
    <n v="877.36505624999972"/>
    <x v="1"/>
    <x v="1"/>
  </r>
  <r>
    <d v="2024-02-20T00:00:00"/>
    <d v="2026-01-01T00:00:00"/>
    <d v="2026-01-12T00:00:00"/>
    <s v="2023/RQAF/1150/0007/SUP1"/>
    <s v="ONE EDEN SERENITY, S.L.U. - B93725497"/>
    <s v="ORES Y BRYAN SL - B29435260"/>
    <s v="Accredited Insurance (Europe) Limited"/>
    <n v="990.82"/>
    <n v="0.17499999999999999"/>
    <n v="199.40199999999999"/>
    <n v="106.38982250000004"/>
    <n v="148.62"/>
    <x v="1"/>
    <s v="Advance payment"/>
    <s v="Cartera"/>
    <d v="2026-01-31T00:00:00"/>
    <n v="1139.44"/>
    <n v="454.41182250000003"/>
    <x v="1"/>
    <x v="1"/>
  </r>
  <r>
    <d v="2024-03-12T00:00:00"/>
    <d v="2026-01-01T00:00:00"/>
    <d v="2026-01-12T00:00:00"/>
    <s v="2023/RQAF/1150/0008/SUP1"/>
    <s v="ONE EDEN SERENITY, S.L.U. - B93725497"/>
    <s v="ORES Y BRYAN SL - B29435260"/>
    <s v="Accredited Insurance (Europe) Limited"/>
    <n v="886.53000000000009"/>
    <n v="0.17499999999999996"/>
    <n v="178.41249999999999"/>
    <n v="95.192821250000037"/>
    <n v="132.97"/>
    <x v="1"/>
    <s v="Advance payment"/>
    <s v="Cartera"/>
    <d v="2026-01-31T00:00:00"/>
    <n v="1019.5000000000001"/>
    <n v="406.57532125"/>
    <x v="1"/>
    <x v="1"/>
  </r>
  <r>
    <d v="2024-03-12T00:00:00"/>
    <d v="2026-01-01T00:00:00"/>
    <d v="2026-01-12T00:00:00"/>
    <s v="2023/RQAF/1150/0009/SUP1"/>
    <s v="ONE EDEN SERENITY, S.L.U. - B93725497"/>
    <s v="ORES Y BRYAN SL - B29435260"/>
    <s v="Accredited Insurance (Europe) Limited"/>
    <n v="1121.8399999999999"/>
    <n v="0.17499999999999999"/>
    <n v="225.77099999999996"/>
    <n v="120.45686999999998"/>
    <n v="168.28"/>
    <x v="1"/>
    <s v="Advance payment"/>
    <s v="Cartera"/>
    <d v="2026-01-31T00:00:00"/>
    <n v="1290.1199999999999"/>
    <n v="514.50786999999991"/>
    <x v="1"/>
    <x v="1"/>
  </r>
  <r>
    <d v="2024-05-15T00:00:00"/>
    <d v="2026-01-01T00:00:00"/>
    <d v="2026-01-12T00:00:00"/>
    <s v="2023/RQAF/1150/0010/SUP1"/>
    <s v="ONE EDEN SERENITY, S.L.U. - B93725497"/>
    <s v="ORES Y BRYAN SL - B29435260"/>
    <s v="Accredited Insurance (Europe) Limited"/>
    <n v="821.2199999999998"/>
    <n v="0.17500000000000002"/>
    <n v="165.26999999999998"/>
    <n v="88.179022499999945"/>
    <n v="123.18"/>
    <x v="1"/>
    <s v="Advance payment"/>
    <s v="Cartera"/>
    <d v="2026-01-31T00:00:00"/>
    <n v="944.39999999999986"/>
    <n v="376.62902249999991"/>
    <x v="1"/>
    <x v="1"/>
  </r>
  <r>
    <d v="2024-05-15T00:00:00"/>
    <d v="2026-01-01T00:00:00"/>
    <d v="2026-01-12T00:00:00"/>
    <s v="2023/RQAF/1150/0011/SUP1"/>
    <s v="ONE EDEN SERENITY, S.L.U. - B93725497"/>
    <s v="ORES Y BRYAN SL - B29435260"/>
    <s v="Accredited Insurance (Europe) Limited"/>
    <n v="1231.7"/>
    <n v="0.17499999999999999"/>
    <n v="247.88049999999998"/>
    <n v="132.25291250000004"/>
    <n v="184.76"/>
    <x v="1"/>
    <s v="Advance payment"/>
    <s v="Cartera"/>
    <d v="2026-01-31T00:00:00"/>
    <n v="1416.46"/>
    <n v="564.89341250000007"/>
    <x v="1"/>
    <x v="1"/>
  </r>
  <r>
    <d v="2024-05-15T00:00:00"/>
    <d v="2026-01-01T00:00:00"/>
    <d v="2026-01-12T00:00:00"/>
    <s v="2023/RQAF/1150/0012/SUP1"/>
    <s v="ONE EDEN SERENITY, S.L.U. - B93725497"/>
    <s v="ORES Y BRYAN SL - B29435260"/>
    <s v="Accredited Insurance (Europe) Limited"/>
    <n v="959.67999999999984"/>
    <n v="0.17499999999999999"/>
    <n v="193.13699999999997"/>
    <n v="103.04423999999997"/>
    <n v="143.96"/>
    <x v="1"/>
    <s v="Advance payment"/>
    <s v="Cartera"/>
    <d v="2026-01-31T00:00:00"/>
    <n v="1103.6399999999999"/>
    <n v="440.14123999999993"/>
    <x v="1"/>
    <x v="1"/>
  </r>
  <r>
    <d v="2024-01-08T00:00:00"/>
    <d v="2026-01-01T00:00:00"/>
    <d v="2026-01-12T00:00:00"/>
    <s v="2023/RQAF/1150/0018/SUP1"/>
    <s v="ONE EDEN SERENITY, S.L.U. - B93725497"/>
    <s v="ORES Y BRYAN SL - B29435260"/>
    <s v="Accredited Insurance (Europe) Limited"/>
    <n v="1043.4100000000001"/>
    <n v="0.17499999999999999"/>
    <n v="209.98599999999999"/>
    <n v="112.03641125000001"/>
    <n v="156.51"/>
    <x v="1"/>
    <s v="Advance payment"/>
    <s v="Cartera"/>
    <d v="2026-01-31T00:00:00"/>
    <n v="1199.92"/>
    <n v="478.53241125"/>
    <x v="1"/>
    <x v="1"/>
  </r>
  <r>
    <d v="2024-01-08T00:00:00"/>
    <d v="2026-01-01T00:00:00"/>
    <d v="2026-01-12T00:00:00"/>
    <s v="2023/RQAF/1150/0019/SUP1"/>
    <s v="ONE EDEN SERENITY, S.L.U. - B93725497"/>
    <s v="ORES Y BRYAN SL - B29435260"/>
    <s v="Accredited Insurance (Europe) Limited"/>
    <n v="833.34"/>
    <n v="0.17499999999999999"/>
    <n v="167.70949999999999"/>
    <n v="89.480057499999987"/>
    <n v="125"/>
    <x v="1"/>
    <s v="Advance payment"/>
    <s v="Cartera"/>
    <d v="2026-01-31T00:00:00"/>
    <n v="958.34"/>
    <n v="382.18955749999998"/>
    <x v="1"/>
    <x v="1"/>
  </r>
  <r>
    <d v="2024-03-12T00:00:00"/>
    <d v="2026-01-01T00:00:00"/>
    <d v="2026-01-12T00:00:00"/>
    <s v="2023/RQAF/1150/0020/SUP1"/>
    <s v="ONE EDEN SERENITY, S.L.U. - B93725497"/>
    <s v="ORES Y BRYAN SL - B29435260"/>
    <s v="Accredited Insurance (Europe) Limited"/>
    <n v="878.32000000000016"/>
    <n v="0.17499999999999993"/>
    <n v="176.76224999999997"/>
    <n v="94.30926000000008"/>
    <n v="131.75"/>
    <x v="1"/>
    <s v="Advance payment"/>
    <s v="Cartera"/>
    <d v="2026-01-31T00:00:00"/>
    <n v="1010.0700000000002"/>
    <n v="402.82151000000005"/>
    <x v="1"/>
    <x v="1"/>
  </r>
  <r>
    <d v="2024-01-08T00:00:00"/>
    <d v="2026-01-01T00:00:00"/>
    <d v="2026-01-12T00:00:00"/>
    <s v="2023/RQAF/1150/0021/SUP1"/>
    <s v="ONE EDEN SERENITY, S.L.U. - B93725497"/>
    <s v="ORES Y BRYAN SL - B29435260"/>
    <s v="Accredited Insurance (Europe) Limited"/>
    <n v="1498.56"/>
    <n v="0.17499999999999999"/>
    <n v="301.58624999999995"/>
    <n v="160.90683000000001"/>
    <n v="224.79"/>
    <x v="1"/>
    <s v="Advance payment"/>
    <s v="Cartera"/>
    <d v="2026-01-31T00:00:00"/>
    <n v="1723.35"/>
    <n v="687.28307999999993"/>
    <x v="1"/>
    <x v="1"/>
  </r>
  <r>
    <d v="2024-01-08T00:00:00"/>
    <d v="2026-01-01T00:00:00"/>
    <d v="2026-01-12T00:00:00"/>
    <s v="2023/RQAF/1150/0022/SUP1"/>
    <s v="ONE EDEN SERENITY, S.L.U. - B93725497"/>
    <s v="ORES Y BRYAN SL - B29435260"/>
    <s v="Accredited Insurance (Europe) Limited"/>
    <n v="812.60000000000014"/>
    <n v="0.17499999999999996"/>
    <n v="163.53574999999998"/>
    <n v="87.252925000000062"/>
    <n v="121.89"/>
    <x v="1"/>
    <s v="Advance payment"/>
    <s v="Cartera"/>
    <d v="2026-01-31T00:00:00"/>
    <n v="934.49000000000012"/>
    <n v="372.67867500000006"/>
    <x v="1"/>
    <x v="1"/>
  </r>
  <r>
    <d v="2024-01-08T00:00:00"/>
    <d v="2026-01-01T00:00:00"/>
    <d v="2026-01-12T00:00:00"/>
    <s v="2023/RQAF/1150/0023/SUP1"/>
    <s v="ONE EDEN SERENITY, S.L.U. - B93725497"/>
    <s v="ORES Y BRYAN SL - B29435260"/>
    <s v="Accredited Insurance (Europe) Limited"/>
    <n v="812.60000000000014"/>
    <n v="0.17499999999999996"/>
    <n v="163.53574999999998"/>
    <n v="87.252925000000062"/>
    <n v="121.89"/>
    <x v="1"/>
    <s v="Advance payment"/>
    <s v="Cartera"/>
    <d v="2026-01-31T00:00:00"/>
    <n v="934.49000000000012"/>
    <n v="372.67867500000006"/>
    <x v="1"/>
    <x v="1"/>
  </r>
  <r>
    <d v="2024-01-08T00:00:00"/>
    <d v="2026-01-01T00:00:00"/>
    <d v="2026-01-12T00:00:00"/>
    <s v="2023/RQAF/1150/0024/SUP1"/>
    <s v="ONE EDEN SERENITY, S.L.U. - B93725497"/>
    <s v="ORES Y BRYAN SL - B29435260"/>
    <s v="Accredited Insurance (Europe) Limited"/>
    <n v="795.92"/>
    <n v="0.17499999999999999"/>
    <n v="160.17924999999997"/>
    <n v="85.46156000000002"/>
    <n v="119.39"/>
    <x v="1"/>
    <s v="Advance payment"/>
    <s v="Cartera"/>
    <d v="2026-01-31T00:00:00"/>
    <n v="915.31"/>
    <n v="365.03080999999997"/>
    <x v="1"/>
    <x v="1"/>
  </r>
  <r>
    <d v="2024-01-08T00:00:00"/>
    <d v="2026-01-01T00:00:00"/>
    <d v="2026-01-12T00:00:00"/>
    <s v="2023/RQAF/1150/0025/SUP1"/>
    <s v="ONE EDEN SERENITY, S.L.U. - B93725497"/>
    <s v="ORES Y BRYAN SL - B29435260"/>
    <s v="Accredited Insurance (Europe) Limited"/>
    <n v="1198.76"/>
    <n v="0.17500000000000002"/>
    <n v="241.25150000000002"/>
    <n v="128.71580499999993"/>
    <n v="179.82"/>
    <x v="1"/>
    <s v="Advance payment"/>
    <s v="Cartera"/>
    <d v="2026-01-31T00:00:00"/>
    <n v="1378.58"/>
    <n v="549.78730499999995"/>
    <x v="1"/>
    <x v="1"/>
  </r>
  <r>
    <d v="2024-01-08T00:00:00"/>
    <d v="2026-01-01T00:00:00"/>
    <d v="2026-01-12T00:00:00"/>
    <s v="2023/RQAF/1150/0026/SUP1"/>
    <s v="ONE EDEN SERENITY, S.L.U. - B93725497"/>
    <s v="ORES Y BRYAN SL - B29435260"/>
    <s v="Accredited Insurance (Europe) Limited"/>
    <n v="815.5"/>
    <n v="0.17499999999999996"/>
    <n v="164.12024999999997"/>
    <n v="87.56343750000002"/>
    <n v="122.33"/>
    <x v="1"/>
    <s v="Advance payment"/>
    <s v="Cartera"/>
    <d v="2026-01-31T00:00:00"/>
    <n v="937.83"/>
    <n v="374.0136875"/>
    <x v="1"/>
    <x v="1"/>
  </r>
  <r>
    <d v="2024-01-09T00:00:00"/>
    <d v="2026-01-01T00:00:00"/>
    <d v="2026-01-12T00:00:00"/>
    <s v="2023/RQAF/1150/0027/SUP1"/>
    <s v="ONE EDEN SERENITY, S.L.U. - B93725497"/>
    <s v="ORES Y BRYAN SL - B29435260"/>
    <s v="Accredited Insurance (Europe) Limited"/>
    <n v="1075.23"/>
    <n v="0.17499999999999999"/>
    <n v="216.38924999999998"/>
    <n v="115.45360875000003"/>
    <n v="161.28"/>
    <x v="1"/>
    <s v="Advance payment"/>
    <s v="Cartera"/>
    <d v="2026-01-31T00:00:00"/>
    <n v="1236.51"/>
    <n v="493.12285874999998"/>
    <x v="1"/>
    <x v="1"/>
  </r>
  <r>
    <d v="2024-01-08T00:00:00"/>
    <d v="2026-01-01T00:00:00"/>
    <d v="2026-01-12T00:00:00"/>
    <s v="2023/RQAF/1150/0028/SUP1"/>
    <s v="ONE EDEN SERENITY, S.L.U. - B93725497"/>
    <s v="ORES Y BRYAN SL - B29435260"/>
    <s v="Accredited Insurance (Europe) Limited"/>
    <n v="905.08999999999992"/>
    <n v="0.17500000000000002"/>
    <n v="182.14875000000001"/>
    <n v="97.184651249999945"/>
    <n v="135.76"/>
    <x v="1"/>
    <s v="Advance payment"/>
    <s v="Cartera"/>
    <d v="2026-01-31T00:00:00"/>
    <n v="1040.8499999999999"/>
    <n v="415.09340124999994"/>
    <x v="1"/>
    <x v="1"/>
  </r>
  <r>
    <d v="2024-01-08T00:00:00"/>
    <d v="2026-01-01T00:00:00"/>
    <d v="2026-01-12T00:00:00"/>
    <s v="2023/RQAF/1150/0029/SUP1"/>
    <s v="ONE EDEN SERENITY, S.L.U. - B93725497"/>
    <s v="ORES Y BRYAN SL - B29435260"/>
    <s v="Accredited Insurance (Europe) Limited"/>
    <n v="767.06"/>
    <n v="0.17499999999999999"/>
    <n v="154.37099999999998"/>
    <n v="82.362892499999987"/>
    <n v="115.06"/>
    <x v="1"/>
    <s v="Advance payment"/>
    <s v="Cartera"/>
    <d v="2026-01-31T00:00:00"/>
    <n v="882.11999999999989"/>
    <n v="351.79389249999997"/>
    <x v="1"/>
    <x v="1"/>
  </r>
  <r>
    <d v="2024-01-08T00:00:00"/>
    <d v="2026-01-01T00:00:00"/>
    <d v="2026-01-12T00:00:00"/>
    <s v="2023/RQAF/1150/0030/SUP1"/>
    <s v="ONE EDEN SERENITY, S.L.U. - B93725497"/>
    <s v="ORES Y BRYAN SL - B29435260"/>
    <s v="Accredited Insurance (Europe) Limited"/>
    <n v="767.06"/>
    <n v="0.17499999999999999"/>
    <n v="154.37099999999998"/>
    <n v="82.362892499999987"/>
    <n v="115.06"/>
    <x v="1"/>
    <s v="Advance payment"/>
    <s v="Cartera"/>
    <d v="2026-01-31T00:00:00"/>
    <n v="882.11999999999989"/>
    <n v="351.79389249999997"/>
    <x v="1"/>
    <x v="1"/>
  </r>
  <r>
    <d v="2024-01-08T00:00:00"/>
    <d v="2026-01-01T00:00:00"/>
    <d v="2026-01-12T00:00:00"/>
    <s v="2023/RQAF/1150/0031/SUP1"/>
    <s v="ONE EDEN SERENITY, S.L.U. - B93725497"/>
    <s v="ORES Y BRYAN SL - B29435260"/>
    <s v="Accredited Insurance (Europe) Limited"/>
    <n v="933.16999999999985"/>
    <n v="0.17499999999999999"/>
    <n v="187.79949999999997"/>
    <n v="100.20009124999996"/>
    <n v="139.97"/>
    <x v="1"/>
    <s v="Advance payment"/>
    <s v="Cartera"/>
    <d v="2026-01-31T00:00:00"/>
    <n v="1073.1399999999999"/>
    <n v="427.96959124999989"/>
    <x v="1"/>
    <x v="1"/>
  </r>
  <r>
    <d v="2024-01-08T00:00:00"/>
    <d v="2026-01-01T00:00:00"/>
    <d v="2026-01-12T00:00:00"/>
    <s v="2023/RQAF/1150/0032/SUP1"/>
    <s v="ONE EDEN SERENITY, S.L.U. - B93725497"/>
    <s v="ORES Y BRYAN SL - B29435260"/>
    <s v="Accredited Insurance (Europe) Limited"/>
    <n v="939.35000000000025"/>
    <n v="0.17499999999999996"/>
    <n v="189.04374999999999"/>
    <n v="100.86314375000006"/>
    <n v="140.9"/>
    <x v="1"/>
    <s v="Advance payment"/>
    <s v="Cartera"/>
    <d v="2026-01-31T00:00:00"/>
    <n v="1080.2500000000002"/>
    <n v="430.80689375000009"/>
    <x v="1"/>
    <x v="1"/>
  </r>
  <r>
    <d v="2024-02-20T00:00:00"/>
    <d v="2026-01-01T00:00:00"/>
    <d v="2026-01-12T00:00:00"/>
    <s v="2023/RQAF/1150/0033/SUP1"/>
    <s v="ONE EDEN SERENITY, S.L.U. - B93725497"/>
    <s v="ORES Y BRYAN SL - B29435260"/>
    <s v="Accredited Insurance (Europe) Limited"/>
    <n v="1495.4800000000002"/>
    <n v="0.17499999999999996"/>
    <n v="300.96499999999997"/>
    <n v="160.57751500000006"/>
    <n v="224.32"/>
    <x v="1"/>
    <s v="Advance payment"/>
    <s v="Cartera"/>
    <d v="2026-01-31T00:00:00"/>
    <n v="1719.8000000000002"/>
    <n v="685.86251500000003"/>
    <x v="1"/>
    <x v="1"/>
  </r>
  <r>
    <d v="2024-02-20T00:00:00"/>
    <d v="2026-01-01T00:00:00"/>
    <d v="2026-01-12T00:00:00"/>
    <s v="2023/RQAF/1150/0034/SUP1"/>
    <s v="ONE EDEN SERENITY, S.L.U. - B93725497"/>
    <s v="ORES Y BRYAN SL - B29435260"/>
    <s v="Accredited Insurance (Europe) Limited"/>
    <n v="732.22"/>
    <n v="0.17499999999999996"/>
    <n v="147.35874999999999"/>
    <n v="78.622647499999999"/>
    <n v="109.83"/>
    <x v="1"/>
    <s v="Advance payment"/>
    <s v="Cartera"/>
    <d v="2026-01-31T00:00:00"/>
    <n v="842.05000000000007"/>
    <n v="335.8113975"/>
    <x v="1"/>
    <x v="1"/>
  </r>
  <r>
    <d v="2024-08-13T00:00:00"/>
    <d v="2026-01-01T00:00:00"/>
    <d v="2026-01-12T00:00:00"/>
    <s v="2023/RQAF/1150/0035/SUP1"/>
    <s v="ONE EDEN SERENITY, S.L.U. - B93725497"/>
    <s v="ORES Y BRYAN SL - B29435260"/>
    <s v="Accredited Insurance (Europe) Limited"/>
    <n v="1201.8900000000001"/>
    <n v="0.17499999999999999"/>
    <n v="241.87975"/>
    <n v="129.05355125"/>
    <n v="180.28"/>
    <x v="1"/>
    <s v="Advance payment"/>
    <s v="Cartera"/>
    <d v="2026-01-31T00:00:00"/>
    <n v="1382.17"/>
    <n v="551.21330124999997"/>
    <x v="1"/>
    <x v="1"/>
  </r>
  <r>
    <d v="2024-08-16T00:00:00"/>
    <d v="2026-01-01T00:00:00"/>
    <d v="2026-01-12T00:00:00"/>
    <s v="2023/RQAF/1150/0036/SUP1"/>
    <s v="ONE EDEN SERENITY, S.L.U. - B93725497"/>
    <s v="ORES Y BRYAN SL - B29435260"/>
    <s v="Accredited Insurance (Europe) Limited"/>
    <n v="2110.6999999999998"/>
    <n v="0.17500000000000004"/>
    <n v="424.77750000000003"/>
    <n v="226.63728749999984"/>
    <n v="316.60000000000002"/>
    <x v="1"/>
    <s v="Advance payment"/>
    <s v="Cartera"/>
    <d v="2026-01-31T00:00:00"/>
    <n v="2427.2999999999997"/>
    <n v="968.0147874999999"/>
    <x v="1"/>
    <x v="1"/>
  </r>
  <r>
    <d v="2024-01-08T00:00:00"/>
    <d v="2026-01-01T00:00:00"/>
    <d v="2026-01-12T00:00:00"/>
    <s v="2023/RQAF/1150/0038/SUP1"/>
    <s v="ONE EDEN SERENITY, S.L.U. - B93725497"/>
    <s v="ORES Y BRYAN SL - B29435260"/>
    <s v="Accredited Insurance (Europe) Limited"/>
    <n v="795.98"/>
    <n v="0.17499999999999999"/>
    <n v="160.19149999999999"/>
    <n v="85.467827499999999"/>
    <n v="119.4"/>
    <x v="1"/>
    <s v="Advance payment"/>
    <s v="Cartera"/>
    <d v="2026-01-31T00:00:00"/>
    <n v="915.38"/>
    <n v="365.05932749999999"/>
    <x v="1"/>
    <x v="1"/>
  </r>
  <r>
    <d v="2024-01-08T00:00:00"/>
    <d v="2026-01-01T00:00:00"/>
    <d v="2026-01-12T00:00:00"/>
    <s v="2023/RQAF/1150/0039/SUP1"/>
    <s v="ONE EDEN SERENITY, S.L.U. - B93725497"/>
    <s v="ORES Y BRYAN SL - B29435260"/>
    <s v="Accredited Insurance (Europe) Limited"/>
    <n v="924.47000000000014"/>
    <n v="0.17499999999999996"/>
    <n v="186.04949999999997"/>
    <n v="99.26505375000005"/>
    <n v="138.66999999999999"/>
    <x v="1"/>
    <s v="Advance payment"/>
    <s v="Cartera"/>
    <d v="2026-01-31T00:00:00"/>
    <n v="1063.1400000000001"/>
    <n v="423.98455375000003"/>
    <x v="1"/>
    <x v="1"/>
  </r>
  <r>
    <d v="2024-01-08T00:00:00"/>
    <d v="2026-01-01T00:00:00"/>
    <d v="2026-01-12T00:00:00"/>
    <s v="2023/RQAF/1150/0040/SUP1"/>
    <s v="ONE EDEN SERENITY, S.L.U. - B93725497"/>
    <s v="ORES Y BRYAN SL - B29435260"/>
    <s v="Accredited Insurance (Europe) Limited"/>
    <n v="1564.87"/>
    <n v="0.17500000000000002"/>
    <n v="314.93"/>
    <n v="168.02800374999993"/>
    <n v="234.73"/>
    <x v="1"/>
    <s v="Advance payment"/>
    <s v="Cartera"/>
    <d v="2026-01-31T00:00:00"/>
    <n v="1799.6"/>
    <n v="717.68800374999989"/>
    <x v="1"/>
    <x v="1"/>
  </r>
  <r>
    <d v="2024-01-08T00:00:00"/>
    <d v="2026-01-01T00:00:00"/>
    <d v="2026-01-12T00:00:00"/>
    <s v="2023/RQAF/1150/0041/SUP1"/>
    <s v="ONE EDEN SERENITY, S.L.U. - B93725497"/>
    <s v="ORES Y BRYAN SL - B29435260"/>
    <s v="Accredited Insurance (Europe) Limited"/>
    <n v="985.99000000000012"/>
    <n v="0.17499999999999996"/>
    <n v="198.42899999999997"/>
    <n v="105.87216375000003"/>
    <n v="147.88999999999999"/>
    <x v="1"/>
    <s v="Advance payment"/>
    <s v="Cartera"/>
    <d v="2026-01-31T00:00:00"/>
    <n v="1133.8800000000001"/>
    <n v="452.19116374999999"/>
    <x v="1"/>
    <x v="1"/>
  </r>
  <r>
    <d v="2024-01-08T00:00:00"/>
    <d v="2026-01-01T00:00:00"/>
    <d v="2026-01-12T00:00:00"/>
    <s v="2023/RQAF/1150/0042/SUP1"/>
    <s v="ONE EDEN SERENITY, S.L.U. - B93725497"/>
    <s v="ORES Y BRYAN SL - B29435260"/>
    <s v="Accredited Insurance (Europe) Limited"/>
    <n v="1612.44"/>
    <n v="0.17499999999999999"/>
    <n v="324.50424999999996"/>
    <n v="173.13504500000005"/>
    <n v="241.87"/>
    <x v="1"/>
    <s v="Advance payment"/>
    <s v="Cartera"/>
    <d v="2026-01-31T00:00:00"/>
    <n v="1854.31"/>
    <n v="739.50929500000007"/>
    <x v="1"/>
    <x v="1"/>
  </r>
  <r>
    <d v="2024-01-08T00:00:00"/>
    <d v="2026-01-01T00:00:00"/>
    <d v="2026-01-12T00:00:00"/>
    <s v="2023/RQAF/1150/0043/SUP1"/>
    <s v="ONE EDEN SERENITY, S.L.U. - B93725497"/>
    <s v="ORES Y BRYAN SL - B29435260"/>
    <s v="Accredited Insurance (Europe) Limited"/>
    <n v="1186.18"/>
    <n v="0.17499999999999999"/>
    <n v="238.7175"/>
    <n v="127.36730250000002"/>
    <n v="177.92"/>
    <x v="1"/>
    <s v="Advance payment"/>
    <s v="Cartera"/>
    <d v="2026-01-31T00:00:00"/>
    <n v="1364.1000000000001"/>
    <n v="544.00480249999998"/>
    <x v="1"/>
    <x v="1"/>
  </r>
  <r>
    <d v="2024-01-08T00:00:00"/>
    <d v="2026-01-01T00:00:00"/>
    <d v="2026-01-12T00:00:00"/>
    <s v="2023/RQAF/1150/0044/SUP1"/>
    <s v="ONE EDEN SERENITY, S.L.U. - B93725497"/>
    <s v="ORES Y BRYAN SL - B29435260"/>
    <s v="Accredited Insurance (Europe) Limited"/>
    <n v="1695.7999999999997"/>
    <n v="0.17500000000000002"/>
    <n v="341.27974999999998"/>
    <n v="182.08652499999988"/>
    <n v="254.37"/>
    <x v="1"/>
    <s v="Advance payment"/>
    <s v="Cartera"/>
    <d v="2026-01-31T00:00:00"/>
    <n v="1950.1699999999996"/>
    <n v="777.73627499999986"/>
    <x v="1"/>
    <x v="1"/>
  </r>
  <r>
    <d v="2024-01-08T00:00:00"/>
    <d v="2026-01-01T00:00:00"/>
    <d v="2026-01-12T00:00:00"/>
    <s v="2023/RQAF/1150/0045/SUP1"/>
    <s v="ONE EDEN SERENITY, S.L.U. - B93725497"/>
    <s v="ORES Y BRYAN SL - B29435260"/>
    <s v="Accredited Insurance (Europe) Limited"/>
    <n v="757.66"/>
    <n v="0.17500000000000002"/>
    <n v="152.47925000000001"/>
    <n v="81.353567499999969"/>
    <n v="113.65"/>
    <x v="1"/>
    <s v="Advance payment"/>
    <s v="Cartera"/>
    <d v="2026-01-31T00:00:00"/>
    <n v="871.31"/>
    <n v="347.48281750000001"/>
    <x v="1"/>
    <x v="1"/>
  </r>
  <r>
    <d v="2024-01-08T00:00:00"/>
    <d v="2026-01-01T00:00:00"/>
    <d v="2026-01-12T00:00:00"/>
    <s v="2023/RQAF/1150/0046/SUP1"/>
    <s v="ONE EDEN SERENITY, S.L.U. - B93725497"/>
    <s v="ORES Y BRYAN SL - B29435260"/>
    <s v="Accredited Insurance (Europe) Limited"/>
    <n v="757.66"/>
    <n v="0.17500000000000002"/>
    <n v="152.47925000000001"/>
    <n v="81.353567499999969"/>
    <n v="113.65"/>
    <x v="1"/>
    <s v="Advance payment"/>
    <s v="Cartera"/>
    <d v="2026-01-31T00:00:00"/>
    <n v="871.31"/>
    <n v="347.48281750000001"/>
    <x v="1"/>
    <x v="1"/>
  </r>
  <r>
    <d v="2024-01-08T00:00:00"/>
    <d v="2026-01-01T00:00:00"/>
    <d v="2026-01-12T00:00:00"/>
    <s v="2023/RQAF/1150/0047/SUP1"/>
    <s v="ONE EDEN SERENITY, S.L.U. - B93725497"/>
    <s v="ORES Y BRYAN SL - B29435260"/>
    <s v="Accredited Insurance (Europe) Limited"/>
    <n v="687.21"/>
    <n v="0.17499999999999996"/>
    <n v="138.30074999999999"/>
    <n v="73.789436249999994"/>
    <n v="103.08"/>
    <x v="1"/>
    <s v="Advance payment"/>
    <s v="Cartera"/>
    <d v="2026-01-31T00:00:00"/>
    <n v="790.29000000000008"/>
    <n v="315.17018624999997"/>
    <x v="1"/>
    <x v="1"/>
  </r>
  <r>
    <d v="2024-01-08T00:00:00"/>
    <d v="2026-01-01T00:00:00"/>
    <d v="2026-01-12T00:00:00"/>
    <s v="2023/RQAF/1150/0048/SUP1"/>
    <s v="ONE EDEN SERENITY, S.L.U. - B93725497"/>
    <s v="ORES Y BRYAN SL - B29435260"/>
    <s v="Accredited Insurance (Europe) Limited"/>
    <n v="1200.94"/>
    <n v="0.17500000000000002"/>
    <n v="241.68900000000002"/>
    <n v="128.95110749999998"/>
    <n v="180.14"/>
    <x v="1"/>
    <s v="Advance payment"/>
    <s v="Cartera"/>
    <d v="2026-01-31T00:00:00"/>
    <n v="1381.08"/>
    <n v="550.78010749999999"/>
    <x v="1"/>
    <x v="1"/>
  </r>
  <r>
    <d v="2024-01-08T00:00:00"/>
    <d v="2026-01-01T00:00:00"/>
    <d v="2026-01-12T00:00:00"/>
    <s v="2023/RQAF/1150/0049/SUP1"/>
    <s v="ONE EDEN SERENITY, S.L.U. - B93725497"/>
    <s v="ORES Y BRYAN SL - B29435260"/>
    <s v="Accredited Insurance (Europe) Limited"/>
    <n v="805.48"/>
    <n v="0.17499999999999999"/>
    <n v="162.10249999999999"/>
    <n v="86.488765000000001"/>
    <n v="120.82"/>
    <x v="1"/>
    <s v="Advance payment"/>
    <s v="Cartera"/>
    <d v="2026-01-31T00:00:00"/>
    <n v="926.3"/>
    <n v="369.41126499999996"/>
    <x v="1"/>
    <x v="1"/>
  </r>
  <r>
    <d v="2024-02-08T00:00:00"/>
    <d v="2026-01-01T00:00:00"/>
    <d v="2026-01-12T00:00:00"/>
    <s v="2023/RQAF/1150/0050/SUP1"/>
    <s v="ONE EDEN SERENITY, S.L.U. - B93725497"/>
    <s v="ORES Y BRYAN SL - B29435260"/>
    <s v="Accredited Insurance (Europe) Limited"/>
    <n v="889.91"/>
    <n v="0.17499999999999996"/>
    <n v="179.09499999999997"/>
    <n v="95.553473750000023"/>
    <n v="133.49"/>
    <x v="1"/>
    <s v="Advance payment"/>
    <s v="Cartera"/>
    <d v="2026-01-31T00:00:00"/>
    <n v="1023.4"/>
    <n v="408.13847375"/>
    <x v="1"/>
    <x v="1"/>
  </r>
  <r>
    <d v="2024-01-08T00:00:00"/>
    <d v="2026-01-01T00:00:00"/>
    <d v="2026-01-12T00:00:00"/>
    <s v="2023/RQAF/1150/0051/SUP1"/>
    <s v="ONE EDEN SERENITY, S.L.U. - B93725497"/>
    <s v="ORES Y BRYAN SL - B29435260"/>
    <s v="Accredited Insurance (Europe) Limited"/>
    <n v="796.19"/>
    <n v="0.17499999999999996"/>
    <n v="160.23349999999999"/>
    <n v="85.490638750000016"/>
    <n v="119.43"/>
    <x v="1"/>
    <s v="Advance payment"/>
    <s v="Cartera"/>
    <d v="2026-01-31T00:00:00"/>
    <n v="915.62000000000012"/>
    <n v="365.15413875000002"/>
    <x v="1"/>
    <x v="1"/>
  </r>
  <r>
    <d v="2024-01-08T00:00:00"/>
    <d v="2026-01-01T00:00:00"/>
    <d v="2026-01-12T00:00:00"/>
    <s v="2023/RQAF/1150/0052/SUP1"/>
    <s v="ONE EDEN SERENITY, S.L.U. - B93725497"/>
    <s v="ORES Y BRYAN SL - B29435260"/>
    <s v="Accredited Insurance (Europe) Limited"/>
    <n v="892.57"/>
    <n v="0.17499999999999999"/>
    <n v="179.63049999999998"/>
    <n v="95.838916250000011"/>
    <n v="133.88999999999999"/>
    <x v="1"/>
    <s v="Advance payment"/>
    <s v="Cartera"/>
    <d v="2026-01-31T00:00:00"/>
    <n v="1026.46"/>
    <n v="409.35941624999998"/>
    <x v="1"/>
    <x v="1"/>
  </r>
  <r>
    <d v="2024-02-20T00:00:00"/>
    <d v="2026-01-01T00:00:00"/>
    <d v="2026-01-12T00:00:00"/>
    <s v="2023/RQAF/1150/0053/SUP1"/>
    <s v="ONE EDEN SERENITY, S.L.U. - B93725497"/>
    <s v="ORES Y BRYAN SL - B29435260"/>
    <s v="Accredited Insurance (Europe) Limited"/>
    <n v="834.37"/>
    <n v="0.17499999999999999"/>
    <n v="167.916"/>
    <n v="89.591441250000003"/>
    <n v="125.15"/>
    <x v="1"/>
    <s v="Advance payment"/>
    <s v="Cartera"/>
    <d v="2026-01-31T00:00:00"/>
    <n v="959.52"/>
    <n v="382.65744125000003"/>
    <x v="1"/>
    <x v="1"/>
  </r>
  <r>
    <d v="2024-02-20T00:00:00"/>
    <d v="2026-01-01T00:00:00"/>
    <d v="2026-01-12T00:00:00"/>
    <s v="2023/RQAF/1150/0054/SUP1"/>
    <s v="ONE EDEN SERENITY, S.L.U. - B93725497"/>
    <s v="ORES Y BRYAN SL - B29435260"/>
    <s v="Accredited Insurance (Europe) Limited"/>
    <n v="1193"/>
    <n v="0.17499999999999999"/>
    <n v="240.09125"/>
    <n v="128.09837499999998"/>
    <n v="178.95"/>
    <x v="1"/>
    <s v="Advance payment"/>
    <s v="Cartera"/>
    <d v="2026-01-31T00:00:00"/>
    <n v="1371.95"/>
    <n v="547.13962500000002"/>
    <x v="1"/>
    <x v="1"/>
  </r>
  <r>
    <d v="2024-01-08T00:00:00"/>
    <d v="2026-01-01T00:00:00"/>
    <d v="2026-01-12T00:00:00"/>
    <s v="2023/RQAF/1150/0058/SUP1"/>
    <s v="ONE EDEN SERENITY, S.L.U. - B93725497"/>
    <s v="ORES Y BRYAN SL - B29435260"/>
    <s v="Accredited Insurance (Europe) Limited"/>
    <n v="920.55999999999983"/>
    <n v="0.17499999999999999"/>
    <n v="185.26374999999996"/>
    <n v="98.844079999999963"/>
    <n v="138.09"/>
    <x v="1"/>
    <s v="Advance payment"/>
    <s v="Cartera"/>
    <d v="2026-01-31T00:00:00"/>
    <n v="1058.6499999999999"/>
    <n v="422.19782999999995"/>
    <x v="1"/>
    <x v="1"/>
  </r>
  <r>
    <d v="2024-01-08T00:00:00"/>
    <d v="2026-01-01T00:00:00"/>
    <d v="2026-01-12T00:00:00"/>
    <s v="2023/RQAF/1150/0059/SUP1"/>
    <s v="ONE EDEN SERENITY, S.L.U. - B93725497"/>
    <s v="ORES Y BRYAN SL - B29435260"/>
    <s v="Accredited Insurance (Europe) Limited"/>
    <n v="1048.8399999999999"/>
    <n v="0.17500000000000002"/>
    <n v="211.07974999999999"/>
    <n v="112.61849499999994"/>
    <n v="157.33000000000001"/>
    <x v="1"/>
    <s v="Advance payment"/>
    <s v="Cartera"/>
    <d v="2026-01-31T00:00:00"/>
    <n v="1206.1699999999998"/>
    <n v="481.02824499999997"/>
    <x v="1"/>
    <x v="1"/>
  </r>
  <r>
    <d v="2024-01-08T00:00:00"/>
    <d v="2026-01-01T00:00:00"/>
    <d v="2026-01-12T00:00:00"/>
    <s v="2023/RQAF/1150/0060/SUP1"/>
    <s v="ONE EDEN SERENITY, S.L.U. - B93725497"/>
    <s v="ORES Y BRYAN SL - B29435260"/>
    <s v="Accredited Insurance (Europe) Limited"/>
    <n v="1185.8200000000002"/>
    <n v="0.17499999999999999"/>
    <n v="238.64574999999999"/>
    <n v="127.32794750000002"/>
    <n v="177.87"/>
    <x v="1"/>
    <s v="Advance payment"/>
    <s v="Cartera"/>
    <d v="2026-01-31T00:00:00"/>
    <n v="1363.69"/>
    <n v="543.84369749999996"/>
    <x v="1"/>
    <x v="1"/>
  </r>
  <r>
    <d v="2024-01-08T00:00:00"/>
    <d v="2026-01-01T00:00:00"/>
    <d v="2026-01-12T00:00:00"/>
    <s v="2023/RQAF/1150/0062/SUP1"/>
    <s v="ONE EDEN SERENITY, S.L.U. - B93725497"/>
    <s v="ORES Y BRYAN SL - B29435260"/>
    <s v="Accredited Insurance (Europe) Limited"/>
    <n v="687.43"/>
    <n v="0.17500000000000002"/>
    <n v="138.34450000000001"/>
    <n v="73.813583749999964"/>
    <n v="103.11"/>
    <x v="1"/>
    <s v="Advance payment"/>
    <s v="Cartera"/>
    <d v="2026-01-31T00:00:00"/>
    <n v="790.54"/>
    <n v="315.26808374999996"/>
    <x v="1"/>
    <x v="1"/>
  </r>
  <r>
    <d v="2024-01-08T00:00:00"/>
    <d v="2026-01-01T00:00:00"/>
    <d v="2026-01-12T00:00:00"/>
    <s v="2023/RQAF/1150/0063/SUP1"/>
    <s v="ONE EDEN SERENITY, S.L.U. - B93725497"/>
    <s v="ORES Y BRYAN SL - B29435260"/>
    <s v="Accredited Insurance (Europe) Limited"/>
    <n v="758.3"/>
    <n v="0.17499999999999996"/>
    <n v="152.60699999999997"/>
    <n v="81.423337500000002"/>
    <n v="113.74"/>
    <x v="1"/>
    <s v="Advance payment"/>
    <s v="Cartera"/>
    <d v="2026-01-31T00:00:00"/>
    <n v="872.04"/>
    <n v="347.77033749999998"/>
    <x v="1"/>
    <x v="1"/>
  </r>
  <r>
    <d v="2024-01-08T00:00:00"/>
    <d v="2026-01-01T00:00:00"/>
    <d v="2026-01-12T00:00:00"/>
    <s v="2023/RQAF/1150/0064/SUP1"/>
    <s v="ONE EDEN SERENITY, S.L.U. - B93725497"/>
    <s v="ORES Y BRYAN SL - B29435260"/>
    <s v="Accredited Insurance (Europe) Limited"/>
    <n v="758.27"/>
    <n v="0.17499999999999999"/>
    <n v="152.6"/>
    <n v="81.421078749999992"/>
    <n v="113.73"/>
    <x v="1"/>
    <s v="Advance payment"/>
    <s v="Cartera"/>
    <d v="2026-01-31T00:00:00"/>
    <n v="872"/>
    <n v="347.75107874999998"/>
    <x v="1"/>
    <x v="1"/>
  </r>
  <r>
    <d v="2024-01-08T00:00:00"/>
    <d v="2026-01-01T00:00:00"/>
    <d v="2026-01-12T00:00:00"/>
    <s v="2023/RQAF/1150/0065/SUP1"/>
    <s v="ONE EDEN SERENITY, S.L.U. - B93725497"/>
    <s v="ORES Y BRYAN SL - B29435260"/>
    <s v="Accredited Insurance (Europe) Limited"/>
    <n v="724.06999999999994"/>
    <n v="0.17500000000000002"/>
    <n v="145.71899999999999"/>
    <n v="77.74710374999998"/>
    <n v="108.61"/>
    <x v="1"/>
    <s v="Advance payment"/>
    <s v="Cartera"/>
    <d v="2026-01-31T00:00:00"/>
    <n v="832.68"/>
    <n v="332.07610374999996"/>
    <x v="1"/>
    <x v="1"/>
  </r>
  <r>
    <d v="2024-08-16T00:00:00"/>
    <d v="2026-01-01T00:00:00"/>
    <d v="2026-01-12T00:00:00"/>
    <s v="2023/RQAF/1150/0066/SUP1"/>
    <s v="ONE EDEN SERENITY, S.L.U. - B93725497"/>
    <s v="ORES Y BRYAN SL - B29435260"/>
    <s v="Accredited Insurance (Europe) Limited"/>
    <n v="1036.07"/>
    <n v="0.17499999999999999"/>
    <n v="208.50899999999999"/>
    <n v="111.24810374999996"/>
    <n v="155.41"/>
    <x v="1"/>
    <s v="Advance payment"/>
    <s v="Cartera"/>
    <d v="2026-01-31T00:00:00"/>
    <n v="1191.48"/>
    <n v="475.16710374999991"/>
    <x v="1"/>
    <x v="1"/>
  </r>
  <r>
    <d v="2024-01-08T00:00:00"/>
    <d v="2026-01-01T00:00:00"/>
    <d v="2026-01-12T00:00:00"/>
    <s v="2023/RQAF/1150/0067/SUP1"/>
    <s v="ONE EDEN SERENITY, S.L.U. - B93725497"/>
    <s v="ORES Y BRYAN SL - B29435260"/>
    <s v="Accredited Insurance (Europe) Limited"/>
    <n v="805.62"/>
    <n v="0.17499999999999999"/>
    <n v="162.13049999999998"/>
    <n v="86.503972500000003"/>
    <n v="120.84"/>
    <x v="1"/>
    <s v="Advance payment"/>
    <s v="Cartera"/>
    <d v="2026-01-31T00:00:00"/>
    <n v="926.46"/>
    <n v="369.47447249999999"/>
    <x v="1"/>
    <x v="1"/>
  </r>
  <r>
    <d v="2024-01-08T00:00:00"/>
    <d v="2026-01-01T00:00:00"/>
    <d v="2026-01-12T00:00:00"/>
    <s v="2023/RQAF/1150/0068/SUP1"/>
    <s v="ONE EDEN SERENITY, S.L.U. - B93725497"/>
    <s v="ORES Y BRYAN SL - B29435260"/>
    <s v="Accredited Insurance (Europe) Limited"/>
    <n v="876.88"/>
    <n v="0.17500000000000002"/>
    <n v="176.47"/>
    <n v="94.157090000000011"/>
    <n v="131.52000000000001"/>
    <x v="1"/>
    <s v="Advance payment"/>
    <s v="Cartera"/>
    <d v="2026-01-31T00:00:00"/>
    <n v="1008.4"/>
    <n v="402.14709000000005"/>
    <x v="1"/>
    <x v="1"/>
  </r>
  <r>
    <d v="2024-01-08T00:00:00"/>
    <d v="2026-01-01T00:00:00"/>
    <d v="2026-01-12T00:00:00"/>
    <s v="2023/RQAF/1150/0069/SUP1"/>
    <s v="ONE EDEN SERENITY, S.L.U. - B93725497"/>
    <s v="ORES Y BRYAN SL - B29435260"/>
    <s v="Accredited Insurance (Europe) Limited"/>
    <n v="796.27"/>
    <n v="0.17499999999999999"/>
    <n v="160.24924999999999"/>
    <n v="85.499578749999984"/>
    <n v="119.44"/>
    <x v="1"/>
    <s v="Advance payment"/>
    <s v="Cartera"/>
    <d v="2026-01-31T00:00:00"/>
    <n v="915.71"/>
    <n v="365.18882874999997"/>
    <x v="1"/>
    <x v="1"/>
  </r>
  <r>
    <d v="2024-01-08T00:00:00"/>
    <d v="2026-01-01T00:00:00"/>
    <d v="2026-01-12T00:00:00"/>
    <s v="2023/RQAF/1150/0070/SUP1"/>
    <s v="ONE EDEN SERENITY, S.L.U. - B93725497"/>
    <s v="ORES Y BRYAN SL - B29435260"/>
    <s v="Accredited Insurance (Europe) Limited"/>
    <n v="758.38"/>
    <n v="0.17499999999999999"/>
    <n v="152.62275"/>
    <n v="81.432277499999998"/>
    <n v="113.75"/>
    <x v="1"/>
    <s v="Advance payment"/>
    <s v="Cartera"/>
    <d v="2026-01-31T00:00:00"/>
    <n v="872.13"/>
    <n v="347.80502749999999"/>
    <x v="1"/>
    <x v="1"/>
  </r>
  <r>
    <d v="2024-02-20T00:00:00"/>
    <d v="2026-01-01T00:00:00"/>
    <d v="2026-01-12T00:00:00"/>
    <s v="2023/RQAF/1150/0071/SUP1"/>
    <s v="ONE EDEN SERENITY, S.L.U. - B93725497"/>
    <s v="ORES Y BRYAN SL - B29435260"/>
    <s v="Accredited Insurance (Europe) Limited"/>
    <n v="1187.5700000000002"/>
    <n v="0.17499999999999999"/>
    <n v="238.99924999999999"/>
    <n v="127.51454125000006"/>
    <n v="178.14"/>
    <x v="1"/>
    <s v="Advance payment"/>
    <s v="Cartera"/>
    <d v="2026-01-31T00:00:00"/>
    <n v="1365.71"/>
    <n v="544.65379125000004"/>
    <x v="1"/>
    <x v="1"/>
  </r>
  <r>
    <d v="2024-02-20T00:00:00"/>
    <d v="2026-01-01T00:00:00"/>
    <d v="2026-01-12T00:00:00"/>
    <s v="2023/RQAF/1150/0072/SUP1"/>
    <s v="ONE EDEN SERENITY, S.L.U. - B93725497"/>
    <s v="ORES Y BRYAN SL - B29435260"/>
    <s v="Accredited Insurance (Europe) Limited"/>
    <n v="965.55999999999983"/>
    <n v="0.17499999999999999"/>
    <n v="194.31824999999998"/>
    <n v="103.67770499999995"/>
    <n v="144.83000000000001"/>
    <x v="1"/>
    <s v="Advance payment"/>
    <s v="Cartera"/>
    <d v="2026-01-31T00:00:00"/>
    <n v="1110.3899999999999"/>
    <n v="442.82595499999991"/>
    <x v="1"/>
    <x v="1"/>
  </r>
  <r>
    <d v="2024-03-12T00:00:00"/>
    <d v="2026-01-01T00:00:00"/>
    <d v="2026-01-12T00:00:00"/>
    <s v="2023/RQAF/1150/0073/SUP1"/>
    <s v="ONE EDEN SERENITY, S.L.U. - B93725497"/>
    <s v="ORES Y BRYAN SL - B29435260"/>
    <s v="Accredited Insurance (Europe) Limited"/>
    <n v="2115.94"/>
    <n v="0.17499999999999999"/>
    <n v="425.83274999999998"/>
    <n v="227.19923250000005"/>
    <n v="317.39"/>
    <x v="1"/>
    <s v="Advance payment"/>
    <s v="Cartera"/>
    <d v="2026-01-31T00:00:00"/>
    <n v="2433.33"/>
    <n v="970.42198250000001"/>
    <x v="1"/>
    <x v="1"/>
  </r>
  <r>
    <d v="2024-05-15T00:00:00"/>
    <d v="2026-01-01T00:00:00"/>
    <d v="2026-01-12T00:00:00"/>
    <s v="2023/RQAF/1150/0074/SUP1"/>
    <s v="ONE EDEN SERENITY, S.L.U. - B93725497"/>
    <s v="ORES Y BRYAN SL - B29435260"/>
    <s v="Accredited Insurance (Europe) Limited"/>
    <n v="803.05"/>
    <n v="0.17499999999999999"/>
    <n v="161.61425"/>
    <n v="86.227056249999976"/>
    <n v="120.45999999999998"/>
    <x v="1"/>
    <s v="Advance payment"/>
    <s v="Cartera"/>
    <d v="2026-01-31T00:00:00"/>
    <n v="923.51"/>
    <n v="368.30130624999993"/>
    <x v="1"/>
    <x v="1"/>
  </r>
  <r>
    <d v="2024-05-15T00:00:00"/>
    <d v="2026-01-01T00:00:00"/>
    <d v="2026-01-12T00:00:00"/>
    <s v="2023/RQAF/1150/0075/SUP1"/>
    <s v="ONE EDEN SERENITY, S.L.U. - B93725497"/>
    <s v="ORES Y BRYAN SL - B29435260"/>
    <s v="Accredited Insurance (Europe) Limited"/>
    <n v="893.47"/>
    <n v="0.17499999999999999"/>
    <n v="179.81074999999998"/>
    <n v="95.936428750000005"/>
    <n v="134.02000000000001"/>
    <x v="1"/>
    <s v="Advance payment"/>
    <s v="Cartera"/>
    <d v="2026-01-31T00:00:00"/>
    <n v="1027.49"/>
    <n v="409.76717874999997"/>
    <x v="1"/>
    <x v="1"/>
  </r>
  <r>
    <d v="2024-08-16T00:00:00"/>
    <d v="2026-01-01T00:00:00"/>
    <d v="2026-01-12T00:00:00"/>
    <s v="2023/RQAF/1150/0077/SUP1"/>
    <s v="ONE EDEN SERENITY, S.L.U. - B93725497"/>
    <s v="ORES Y BRYAN SL - B29435260"/>
    <s v="Accredited Insurance (Europe) Limited"/>
    <n v="1473.8599999999997"/>
    <n v="0.17500000000000002"/>
    <n v="296.61449999999996"/>
    <n v="158.25554249999993"/>
    <n v="221.08000000000004"/>
    <x v="1"/>
    <s v="Advance payment"/>
    <s v="Cartera"/>
    <d v="2026-01-31T00:00:00"/>
    <n v="1694.9399999999996"/>
    <n v="675.95004249999988"/>
    <x v="1"/>
    <x v="1"/>
  </r>
  <r>
    <d v="2022-12-12T00:00:00"/>
    <d v="2022-12-12T00:00:00"/>
    <d v="2026-01-16T00:00:00"/>
    <s v="2022/RQAF/1009/0043/REG1"/>
    <s v="ONE EDEN INFINITY 2020 SL. - B93725414"/>
    <s v="ORES Y BRYAN SL - B29435260"/>
    <s v="Accredited Insurance (Europe) Limited"/>
    <n v="1604.3900000000003"/>
    <n v="0.17499999999999993"/>
    <n v="322.88199999999995"/>
    <n v="157.63280500000013"/>
    <n v="240.65"/>
    <x v="1"/>
    <s v="Advance payment"/>
    <s v="Nueva producción"/>
    <d v="2026-01-31T00:00:00"/>
    <n v="1845.0400000000004"/>
    <n v="721.16480500000011"/>
    <x v="0"/>
    <x v="2"/>
  </r>
  <r>
    <d v="2022-12-12T00:00:00"/>
    <d v="2022-12-12T00:00:00"/>
    <d v="2026-01-16T00:00:00"/>
    <s v="2022/RQAF/1009/0036/REG1"/>
    <s v="ONE EDEN INFINITY 2020 SL. - B93725414"/>
    <s v="ORES Y BRYAN SL - B29435260"/>
    <s v="Accredited Insurance (Europe) Limited"/>
    <n v="519.76"/>
    <n v="0.17499999999999999"/>
    <n v="104.601"/>
    <n v="51.067119999999989"/>
    <n v="77.959999999999994"/>
    <x v="1"/>
    <s v="Advance payment"/>
    <s v="Nueva producción"/>
    <d v="2026-01-31T00:00:00"/>
    <n v="597.72"/>
    <n v="233.62811999999997"/>
    <x v="0"/>
    <x v="2"/>
  </r>
  <r>
    <d v="2022-12-12T00:00:00"/>
    <d v="2022-12-12T00:00:00"/>
    <d v="2026-01-16T00:00:00"/>
    <s v="2022/RQAF/1009/0062/REG1"/>
    <s v="ONE EDEN INFINITY 2020 SL. - B93725414"/>
    <s v="ORES Y BRYAN SL - B29435260"/>
    <s v="Accredited Insurance (Europe) Limited"/>
    <n v="774.7600000000001"/>
    <n v="0.17499999999999996"/>
    <n v="155.92149999999998"/>
    <n v="76.119120000000038"/>
    <n v="116.22000000000001"/>
    <x v="1"/>
    <s v="Advance payment"/>
    <s v="Nueva producción"/>
    <d v="2026-01-31T00:00:00"/>
    <n v="890.98000000000013"/>
    <n v="348.26062000000002"/>
    <x v="0"/>
    <x v="2"/>
  </r>
  <r>
    <d v="2022-12-12T00:00:00"/>
    <d v="2022-12-12T00:00:00"/>
    <d v="2026-01-16T00:00:00"/>
    <s v="2022/RQAF/1009/0041/REG1"/>
    <s v="ONE EDEN INFINITY 2020 SL. - B93725414"/>
    <s v="ORES Y BRYAN SL - B29435260"/>
    <s v="Accredited Insurance (Europe) Limited"/>
    <n v="857.46999999999991"/>
    <n v="0.17500000000000002"/>
    <n v="172.56575000000001"/>
    <n v="84.24651499999996"/>
    <n v="128.62"/>
    <x v="1"/>
    <s v="Advance payment"/>
    <s v="Nueva producción"/>
    <d v="2026-01-31T00:00:00"/>
    <n v="986.08999999999992"/>
    <n v="385.43226499999997"/>
    <x v="0"/>
    <x v="2"/>
  </r>
  <r>
    <d v="2022-12-12T00:00:00"/>
    <d v="2022-12-12T00:00:00"/>
    <d v="2026-01-16T00:00:00"/>
    <s v="2022/RQAF/1009/0061/REG1"/>
    <s v="ONE EDEN INFINITY 2020 SL. - B93725414"/>
    <s v="ORES Y BRYAN SL - B29435260"/>
    <s v="Accredited Insurance (Europe) Limited"/>
    <n v="778.39"/>
    <n v="0.17500000000000002"/>
    <n v="156.65125"/>
    <n v="76.476554999999991"/>
    <n v="116.76"/>
    <x v="1"/>
    <s v="Advance payment"/>
    <s v="Nueva producción"/>
    <d v="2026-01-31T00:00:00"/>
    <n v="895.15"/>
    <n v="349.88780500000001"/>
    <x v="0"/>
    <x v="2"/>
  </r>
  <r>
    <d v="2025-12-23T00:00:00"/>
    <d v="2025-12-23T00:00:00"/>
    <d v="2026-01-19T00:00:00"/>
    <s v="2019/RQLC/0505/0001/R6"/>
    <s v="ANTONIO CABALLERO ROMERA - 38782333D"/>
    <s v="DIAGONAL RISC Corredoria d’Assegurances,S.L. - B61467353"/>
    <s v="Accredited Insurance (Europe) Limited"/>
    <n v="176.08695652173901"/>
    <n v="0.13500000000000034"/>
    <n v="27.337500000000055"/>
    <n v="27.289076086956428"/>
    <n v="26.413043478260899"/>
    <x v="1"/>
    <s v="Performance"/>
    <s v="Cartera"/>
    <d v="2026-01-31T00:00:00"/>
    <n v="202.49999999999991"/>
    <n v="81.039619565217379"/>
    <x v="0"/>
    <x v="0"/>
  </r>
  <r>
    <d v="2025-12-27T00:00:00"/>
    <d v="2025-12-27T00:00:00"/>
    <d v="2026-01-27T00:00:00"/>
    <s v="2019/RQLC/0508/0001/R6"/>
    <s v="FEUJOC S.L.  - B65670671"/>
    <s v="DIAGONAL RISC Corredoria d’Assegurances,S.L. - B61467353"/>
    <s v="Accredited Insurance (Europe) Limited"/>
    <n v="215.21739130434798"/>
    <n v="0.13500000000000018"/>
    <n v="33.412500000000065"/>
    <n v="33.353315217391284"/>
    <n v="32.2826086956522"/>
    <x v="1"/>
    <s v="Performance"/>
    <s v="Cartera"/>
    <d v="2026-01-31T00:00:00"/>
    <n v="247.50000000000017"/>
    <n v="99.04842391304355"/>
    <x v="0"/>
    <x v="0"/>
  </r>
  <r>
    <d v="2025-12-27T00:00:00"/>
    <d v="2025-12-27T00:00:00"/>
    <d v="2026-01-27T00:00:00"/>
    <s v="2019/RQLC/0508/0002/R6"/>
    <s v="FEUJOC S.L.  - B65670671"/>
    <s v="DIAGONAL RISC Corredoria d’Assegurances,S.L. - B61467353"/>
    <s v="Accredited Insurance (Europe) Limited"/>
    <n v="173.91304347826099"/>
    <n v="0.13499999999999968"/>
    <n v="26.999999999999947"/>
    <n v="26.952173913043563"/>
    <n v="26.086956521739101"/>
    <x v="1"/>
    <s v="Performance"/>
    <s v="Cartera"/>
    <d v="2026-01-31T00:00:00"/>
    <n v="200.00000000000009"/>
    <n v="80.039130434782606"/>
    <x v="0"/>
    <x v="0"/>
  </r>
  <r>
    <d v="2025-12-01T00:00:00"/>
    <d v="2025-12-01T00:00:00"/>
    <d v="2026-01-15T00:00:00"/>
    <s v="2021/RQLC/0886/0001/R4"/>
    <s v="DAAR SHIPPING AND TRADING SL - B64425937"/>
    <s v="Jori Armengol y Asociados, Correduría de Seguros, S.L. - A58299124"/>
    <s v="Accredited Insurance (Europe) Limited"/>
    <n v="1260.8695652173899"/>
    <n v="0.14000000000000051"/>
    <n v="203.0000000000006"/>
    <n v="188.15326086956415"/>
    <n v="189.13043478260903"/>
    <x v="1"/>
    <s v="Performance"/>
    <s v="Cartera"/>
    <d v="2026-01-31T00:00:00"/>
    <n v="1449.9999999999989"/>
    <n v="580.28369565217372"/>
    <x v="0"/>
    <x v="0"/>
  </r>
  <r>
    <d v="2025-12-05T00:00:00"/>
    <d v="2025-12-05T00:00:00"/>
    <d v="2026-01-14T00:00:00"/>
    <s v="2024/RQLC/1272/0001/R1"/>
    <s v="BAHÍA DE PLATA HOLDCO, S.L.  - B87920757"/>
    <s v="RASHER CORREDURIA DE SEGUROS - B14571434"/>
    <s v="Accredited Insurance (Europe) Limited"/>
    <n v="20034.782608695699"/>
    <n v="0.13999999999999946"/>
    <n v="3225.5999999999949"/>
    <n v="2989.6904347826276"/>
    <n v="3005.2173913043498"/>
    <x v="1"/>
    <s v="Performance"/>
    <s v="Cartera"/>
    <d v="2026-01-31T00:00:00"/>
    <n v="23040.000000000051"/>
    <n v="9220.5078260869723"/>
    <x v="0"/>
    <x v="0"/>
  </r>
  <r>
    <d v="2025-12-05T00:00:00"/>
    <d v="2025-12-05T00:00:00"/>
    <d v="2026-01-13T00:00:00"/>
    <s v="2024/RQLC/1272/0002/R1"/>
    <s v="ABDA ENERGIA S.L. - B10559664"/>
    <s v="RASHER CORREDURIA DE SEGUROS - B14571434"/>
    <s v="Accredited Insurance (Europe) Limited"/>
    <n v="6260.8695652173892"/>
    <n v="0.14000000000000012"/>
    <n v="1008.0000000000006"/>
    <n v="934.27826086956372"/>
    <n v="939.13043478260897"/>
    <x v="1"/>
    <s v="Performance"/>
    <s v="Cartera"/>
    <d v="2026-01-31T00:00:00"/>
    <n v="7199.9999999999982"/>
    <n v="2881.4086956521733"/>
    <x v="0"/>
    <x v="0"/>
  </r>
  <r>
    <d v="2025-12-17T00:00:00"/>
    <d v="2025-12-17T00:00:00"/>
    <d v="2026-01-08T00:00:00"/>
    <s v="2024/RQLC/1278/0001/R1"/>
    <s v="ARGENIA INGENIERIA Y ARQUITECTURA SL - B91657692"/>
    <s v="HOWDEN IBERIA SA - A82473349"/>
    <s v="Accredited Insurance (Europe) Limited"/>
    <n v="545.59"/>
    <n v="0.17500050932557806"/>
    <n v="109.80024999999999"/>
    <n v="59.455407749999992"/>
    <n v="81.838173913043505"/>
    <x v="1"/>
    <s v="Performance"/>
    <s v="Cartera"/>
    <d v="2026-01-31T00:00:00"/>
    <n v="627.42817391304357"/>
    <n v="251.09383166304349"/>
    <x v="0"/>
    <x v="0"/>
  </r>
  <r>
    <d v="2025-12-10T00:00:00"/>
    <d v="2025-12-10T00:00:00"/>
    <d v="2026-01-13T00:00:00"/>
    <s v="2024/RQLC/1272/0005/R1"/>
    <s v="ABDA ENERGIA S.L. - B10559664"/>
    <s v="RASHER CORREDURIA DE SEGUROS - B14571434"/>
    <s v="Accredited Insurance (Europe) Limited"/>
    <n v="8556.5217391304304"/>
    <n v="0.14000000000000007"/>
    <n v="1377.6000000000006"/>
    <n v="1276.8469565217372"/>
    <n v="1283.47826086957"/>
    <x v="1"/>
    <s v="Performance"/>
    <s v="Cartera"/>
    <d v="2026-01-31T00:00:00"/>
    <n v="9840"/>
    <n v="3937.9252173913078"/>
    <x v="0"/>
    <x v="0"/>
  </r>
  <r>
    <d v="2025-12-10T00:00:00"/>
    <d v="2025-12-10T00:00:00"/>
    <d v="2026-01-14T00:00:00"/>
    <s v="2024/RQLC/1272/0006/R1"/>
    <s v="ABDA ENERGIA S.L. - B10559664"/>
    <s v="RASHER CORREDURIA DE SEGUROS - B14571434"/>
    <s v="Accredited Insurance (Europe) Limited"/>
    <n v="17113.043478260901"/>
    <n v="0.13999999999999985"/>
    <n v="2755.2000000000012"/>
    <n v="2553.6939130434862"/>
    <n v="2566.95652173913"/>
    <x v="1"/>
    <s v="Performance"/>
    <s v="Cartera"/>
    <d v="2026-01-31T00:00:00"/>
    <n v="19680.000000000029"/>
    <n v="7875.8504347826174"/>
    <x v="0"/>
    <x v="0"/>
  </r>
  <r>
    <d v="2025-12-18T00:00:00"/>
    <d v="2025-12-18T00:00:00"/>
    <d v="2026-01-13T00:00:00"/>
    <s v="2024/RQLC/1272/0008/R1"/>
    <s v="ABDA ENERGIA S.L. - B10559664"/>
    <s v="RASHER CORREDURIA DE SEGUROS - B14571434"/>
    <s v="Accredited Insurance (Europe) Limited"/>
    <n v="10432.695652173899"/>
    <n v="0.1400000000000006"/>
    <n v="1679.6640000000057"/>
    <n v="1556.819008695642"/>
    <n v="1564.9043478260901"/>
    <x v="1"/>
    <s v="Performance"/>
    <s v="Cartera"/>
    <d v="2026-01-31T00:00:00"/>
    <n v="11997.599999999989"/>
    <n v="4801.3873565217382"/>
    <x v="0"/>
    <x v="0"/>
  </r>
  <r>
    <d v="2025-12-18T00:00:00"/>
    <d v="2025-12-18T00:00:00"/>
    <d v="2026-01-14T00:00:00"/>
    <s v="2024/RQLC/1272/0009/R1"/>
    <s v="ABDA ENERGIA S.L. - B10559664"/>
    <s v="RASHER CORREDURIA DE SEGUROS - B14571434"/>
    <s v="Accredited Insurance (Europe) Limited"/>
    <n v="20865.391304347799"/>
    <n v="0.14000000000000007"/>
    <n v="3359.3279999999972"/>
    <n v="3113.638017391298"/>
    <n v="3129.8086956521702"/>
    <x v="1"/>
    <s v="Performance"/>
    <s v="Cartera"/>
    <d v="2026-01-31T00:00:00"/>
    <n v="23995.199999999968"/>
    <n v="9602.7747130434655"/>
    <x v="0"/>
    <x v="0"/>
  </r>
  <r>
    <d v="2025-12-18T00:00:00"/>
    <d v="2025-12-18T00:00:00"/>
    <d v="2026-01-20T00:00:00"/>
    <s v="2024/RQLC/1271/0002/R1"/>
    <s v="COPIAPO RENOVABLES S.L - B55455737"/>
    <s v="RASHER CORREDURIA DE SEGUROS - B14571434"/>
    <s v="Accredited Insurance (Europe) Limited"/>
    <n v="27130.4347826087"/>
    <n v="0.13999999999999996"/>
    <n v="4367.9999999999991"/>
    <n v="4048.5391304347841"/>
    <n v="4069.5652173912999"/>
    <x v="1"/>
    <s v="Performance"/>
    <s v="Cartera"/>
    <d v="2026-01-31T00:00:00"/>
    <n v="31200"/>
    <n v="12486.104347826084"/>
    <x v="0"/>
    <x v="0"/>
  </r>
  <r>
    <d v="2026-01-21T00:00:00"/>
    <d v="2026-01-21T00:00:00"/>
    <d v="2026-01-21T00:00:00"/>
    <s v="2025/RQAF/1386/0016"/>
    <s v="THE RESIDENCES DEVCO SL. - B72718554"/>
    <s v="HOWDEN IBERIA SA - A82473349"/>
    <s v="Accredited Insurance (Europe) Limited"/>
    <n v="32312.252556220803"/>
    <n v="0.17500000000000018"/>
    <n v="6502.8349743879662"/>
    <n v="3585.8580799780757"/>
    <n v="4846.8044402818196"/>
    <x v="1"/>
    <s v="Advance payment"/>
    <s v="Nueva producción"/>
    <d v="2026-01-31T00:00:00"/>
    <n v="37159.056996502622"/>
    <n v="14935.497494647861"/>
    <x v="1"/>
    <x v="1"/>
  </r>
  <r>
    <d v="2024-11-29T00:00:00"/>
    <d v="2026-07-01T00:00:00"/>
    <d v="2026-01-16T00:00:00"/>
    <s v="2024/RQAF/1237/0009/SUP1"/>
    <s v="DEI HOMES SL. - B93603124"/>
    <s v="Amura 21 Correduría de Seguros S.L. - B87516878"/>
    <s v="Accredited Insurance (Europe) Limited"/>
    <n v="17305.13"/>
    <n v="0.16500000000000001"/>
    <n v="3283.6452000000004"/>
    <n v="2119.4490142500003"/>
    <n v="2595.75"/>
    <x v="1"/>
    <s v="Advance payment"/>
    <s v="Cartera"/>
    <d v="2026-01-31T00:00:00"/>
    <n v="19900.88"/>
    <n v="7998.8442142500007"/>
    <x v="5"/>
    <x v="1"/>
  </r>
  <r>
    <d v="2024-11-29T00:00:00"/>
    <d v="2026-07-01T00:00:00"/>
    <d v="2026-01-16T00:00:00"/>
    <s v="2024/RQAF/1237/0008/SUP1"/>
    <s v="DEI HOMES SL. - B93603124"/>
    <s v="Amura 21 Correduría de Seguros S.L. - B87516878"/>
    <s v="Accredited Insurance (Europe) Limited"/>
    <n v="17305.13"/>
    <n v="0.16500000000000001"/>
    <n v="3283.6452000000004"/>
    <n v="2119.4490142500003"/>
    <n v="2595.75"/>
    <x v="1"/>
    <s v="Advance payment"/>
    <s v="Cartera"/>
    <d v="2026-01-31T00:00:00"/>
    <n v="19900.88"/>
    <n v="7998.8442142500007"/>
    <x v="5"/>
    <x v="1"/>
  </r>
  <r>
    <d v="2026-01-08T00:00:00"/>
    <d v="2026-01-21T00:00:00"/>
    <d v="2026-01-08T00:00:00"/>
    <s v="2024/RQAF/1260/0044"/>
    <s v="INVERCHULLERA GESTION, S.L. - B19319219"/>
    <s v="RASHER CORREDURIA DE SEGUROS - B14571434"/>
    <s v="Accredited Insurance (Europe) Limited"/>
    <n v="8601.5400000000009"/>
    <n v="0.14000000000000001"/>
    <n v="1384.8464000000001"/>
    <n v="1300.7694265000002"/>
    <n v="1290.22"/>
    <x v="1"/>
    <s v="Advance payment"/>
    <s v="Nueva producción"/>
    <d v="2026-01-31T00:00:00"/>
    <n v="9891.76"/>
    <n v="3975.8358265000006"/>
    <x v="1"/>
    <x v="1"/>
  </r>
  <r>
    <d v="2026-01-08T00:00:00"/>
    <d v="2026-01-21T00:00:00"/>
    <d v="2026-01-08T00:00:00"/>
    <s v="2024/RQAF/1260/0045"/>
    <s v="INVERCHULLERA GESTION, S.L. - B19319219"/>
    <s v="RASHER CORREDURIA DE SEGUROS - B14571434"/>
    <s v="Accredited Insurance (Europe) Limited"/>
    <n v="8119.07"/>
    <n v="0.14000000000000001"/>
    <n v="1307.1688000000001"/>
    <n v="1227.8078307500002"/>
    <n v="1217.8499999999999"/>
    <x v="1"/>
    <s v="Advance payment"/>
    <s v="Nueva producción"/>
    <d v="2026-01-31T00:00:00"/>
    <n v="9336.92"/>
    <n v="3752.8266307500003"/>
    <x v="1"/>
    <x v="1"/>
  </r>
  <r>
    <d v="2026-01-08T00:00:00"/>
    <d v="2026-01-21T00:00:00"/>
    <d v="2026-01-12T00:00:00"/>
    <s v="2022/RQLC/0978/0006"/>
    <s v="ARGENIA INGENIERIA Y ARQUITECTURA SL - B91657692"/>
    <s v="HOWDEN IBERIA SA - A82473349"/>
    <s v="Accredited Insurance (Europe) Limited"/>
    <n v="173.91"/>
    <n v="0.17499999999999999"/>
    <n v="35"/>
    <n v="19.299049750000002"/>
    <n v="26.09"/>
    <x v="1"/>
    <s v="Performance"/>
    <s v="Nueva producción"/>
    <d v="2026-01-31T00:00:00"/>
    <n v="200"/>
    <n v="80.389049749999998"/>
    <x v="1"/>
    <x v="1"/>
  </r>
  <r>
    <d v="2026-01-09T00:00:00"/>
    <d v="2026-01-21T00:00:00"/>
    <d v="2026-01-09T00:00:00"/>
    <s v="2024/RQAF/1205/0027"/>
    <s v="KAMPINAS SLU - B29132636"/>
    <s v="HOWDEN IBERIA SA - A82473349"/>
    <s v="Accredited Insurance (Europe) Limited"/>
    <n v="6113.7900000000009"/>
    <n v="0.17499999999999999"/>
    <n v="1230.3987500000001"/>
    <n v="678.47933275000037"/>
    <n v="917.06"/>
    <x v="1"/>
    <s v="Advance payment"/>
    <s v="Nueva producción"/>
    <d v="2026-01-31T00:00:00"/>
    <n v="7030.85"/>
    <n v="2825.9380827500004"/>
    <x v="1"/>
    <x v="1"/>
  </r>
  <r>
    <d v="2026-01-09T00:00:00"/>
    <d v="2026-01-21T00:00:00"/>
    <d v="2026-01-09T00:00:00"/>
    <s v="2025/RQLC/1405/0001"/>
    <s v="GLOBAL TEKTIA SOCIEDAD LIMITADA. - B39469168"/>
    <s v="ORES Y BRYAN SL - B29435260"/>
    <s v="Accredited Insurance (Europe) Limited"/>
    <n v="7872.1899999999987"/>
    <n v="0.17500000000000002"/>
    <n v="1584.27675"/>
    <n v="873.61777274999986"/>
    <n v="1180.82"/>
    <x v="1"/>
    <s v="Private"/>
    <s v="Nueva producción"/>
    <d v="2026-01-31T00:00:00"/>
    <n v="9053.0099999999984"/>
    <n v="3638.7145227499996"/>
    <x v="1"/>
    <x v="1"/>
  </r>
  <r>
    <d v="2022-05-26T00:00:00"/>
    <d v="2026-01-01T00:00:00"/>
    <d v="2026-01-27T00:00:00"/>
    <s v="2022/RQAF/0934/0001/SUP3"/>
    <s v="QIP MEDITERRANEO HOME PROJECTS SL. - B42580613"/>
    <s v="ORES Y BRYAN SL - B29435260"/>
    <s v="Accredited Insurance (Europe) Limited"/>
    <n v="978.63000000000011"/>
    <n v="0.17499999999999993"/>
    <n v="196.94674999999995"/>
    <n v="96.15293500000007"/>
    <n v="146.78"/>
    <x v="1"/>
    <s v="Advance payment"/>
    <s v="Cartera"/>
    <d v="2026-01-31T00:00:00"/>
    <n v="1125.4100000000001"/>
    <n v="439.87968499999999"/>
    <x v="1"/>
    <x v="1"/>
  </r>
  <r>
    <d v="2022-05-20T00:00:00"/>
    <d v="2026-01-01T00:00:00"/>
    <d v="2026-01-27T00:00:00"/>
    <s v="2022/RQAF/0934/0002/SUP2"/>
    <s v="QIP MEDITERRANEO HOME PROJECTS SL. - B42580613"/>
    <s v="ORES Y BRYAN SL - B29435260"/>
    <s v="Accredited Insurance (Europe) Limited"/>
    <n v="979.08"/>
    <n v="0.17499999999999999"/>
    <n v="197.0395"/>
    <n v="96.194960000000009"/>
    <n v="146.86000000000001"/>
    <x v="1"/>
    <s v="Advance payment"/>
    <s v="Cartera"/>
    <d v="2026-01-31T00:00:00"/>
    <n v="1125.94"/>
    <n v="440.09446000000003"/>
    <x v="1"/>
    <x v="1"/>
  </r>
  <r>
    <d v="2022-05-20T00:00:00"/>
    <d v="2026-01-01T00:00:00"/>
    <d v="2026-01-27T00:00:00"/>
    <s v="2022/RQAF/0934/0003/SUP3"/>
    <s v="QIP MEDITERRANEO HOME PROJECTS SL. - B42580613"/>
    <s v="ORES Y BRYAN SL - B29435260"/>
    <s v="Accredited Insurance (Europe) Limited"/>
    <n v="1250.75"/>
    <n v="0.17500000000000002"/>
    <n v="251.71125000000001"/>
    <n v="122.888375"/>
    <n v="187.6"/>
    <x v="1"/>
    <s v="Advance payment"/>
    <s v="Cartera"/>
    <d v="2026-01-31T00:00:00"/>
    <n v="1438.35"/>
    <n v="562.19962499999997"/>
    <x v="1"/>
    <x v="1"/>
  </r>
  <r>
    <d v="2022-05-20T00:00:00"/>
    <d v="2026-01-01T00:00:00"/>
    <d v="2026-01-27T00:00:00"/>
    <s v="2022/RQAF/0934/0004/SUP2"/>
    <s v="QIP MEDITERRANEO HOME PROJECTS SL. - B42580613"/>
    <s v="ORES Y BRYAN SL - B29435260"/>
    <s v="Accredited Insurance (Europe) Limited"/>
    <n v="782.3"/>
    <n v="0.17499999999999999"/>
    <n v="157.43699999999998"/>
    <n v="76.861850000000004"/>
    <n v="117.33999999999999"/>
    <x v="1"/>
    <s v="Advance payment"/>
    <s v="Cartera"/>
    <d v="2026-01-31T00:00:00"/>
    <n v="899.64"/>
    <n v="351.63884999999999"/>
    <x v="1"/>
    <x v="1"/>
  </r>
  <r>
    <d v="2022-05-20T00:00:00"/>
    <d v="2026-01-01T00:00:00"/>
    <d v="2026-01-27T00:00:00"/>
    <s v="2022/RQAF/0934/0005/SUP2"/>
    <s v="QIP MEDITERRANEO HOME PROJECTS SL. - B42580613"/>
    <s v="ORES Y BRYAN SL - B29435260"/>
    <s v="Accredited Insurance (Europe) Limited"/>
    <n v="576.02"/>
    <n v="0.17499999999999999"/>
    <n v="115.92174999999999"/>
    <n v="56.596240000000009"/>
    <n v="86.39"/>
    <x v="1"/>
    <s v="Advance payment"/>
    <s v="Cartera"/>
    <d v="2026-01-31T00:00:00"/>
    <n v="662.41"/>
    <n v="258.90798999999998"/>
    <x v="1"/>
    <x v="1"/>
  </r>
  <r>
    <d v="2022-05-20T00:00:00"/>
    <d v="2026-01-01T00:00:00"/>
    <d v="2026-01-27T00:00:00"/>
    <s v="2022/RQAF/0934/0006/SUP2"/>
    <s v="QIP MEDITERRANEO HOME PROJECTS SL. - B42580613"/>
    <s v="ORES Y BRYAN SL - B29435260"/>
    <s v="Accredited Insurance (Europe) Limited"/>
    <n v="728.7800000000002"/>
    <n v="0.17499999999999996"/>
    <n v="146.66749999999999"/>
    <n v="71.602110000000067"/>
    <n v="109.32"/>
    <x v="1"/>
    <s v="Advance payment"/>
    <s v="Cartera"/>
    <d v="2026-01-31T00:00:00"/>
    <n v="838.10000000000014"/>
    <n v="327.58961000000005"/>
    <x v="1"/>
    <x v="1"/>
  </r>
  <r>
    <d v="2022-05-20T00:00:00"/>
    <d v="2026-01-01T00:00:00"/>
    <d v="2026-01-27T00:00:00"/>
    <s v="2022/RQAF/0934/0007/SUP2"/>
    <s v="QIP MEDITERRANEO HOME PROJECTS SL. - B42580613"/>
    <s v="ORES Y BRYAN SL - B29435260"/>
    <s v="Accredited Insurance (Europe) Limited"/>
    <n v="843.76000000000022"/>
    <n v="0.17499999999999999"/>
    <n v="169.80600000000001"/>
    <n v="82.900120000000044"/>
    <n v="126.56"/>
    <x v="1"/>
    <s v="Advance payment"/>
    <s v="Cartera"/>
    <d v="2026-01-31T00:00:00"/>
    <n v="970.32000000000016"/>
    <n v="379.26612000000006"/>
    <x v="1"/>
    <x v="1"/>
  </r>
  <r>
    <d v="2022-05-20T00:00:00"/>
    <d v="2026-01-01T00:00:00"/>
    <d v="2026-01-27T00:00:00"/>
    <s v="2022/RQAF/0934/0008/SUP2"/>
    <s v="QIP MEDITERRANEO HOME PROJECTS SL. - B42580613"/>
    <s v="ORES Y BRYAN SL - B29435260"/>
    <s v="Accredited Insurance (Europe) Limited"/>
    <n v="642.10000000000014"/>
    <n v="0.17499999999999996"/>
    <n v="129.22174999999999"/>
    <n v="63.087200000000053"/>
    <n v="96.31"/>
    <x v="1"/>
    <s v="Advance payment"/>
    <s v="Cartera"/>
    <d v="2026-01-31T00:00:00"/>
    <n v="738.41000000000008"/>
    <n v="288.61895000000004"/>
    <x v="1"/>
    <x v="1"/>
  </r>
  <r>
    <d v="2022-05-20T00:00:00"/>
    <d v="2026-01-01T00:00:00"/>
    <d v="2026-01-27T00:00:00"/>
    <s v="2022/RQAF/0934/0010/SUP2"/>
    <s v="QIP MEDITERRANEO HOME PROJECTS SL. - B42580613"/>
    <s v="ORES Y BRYAN SL - B29435260"/>
    <s v="Accredited Insurance (Europe) Limited"/>
    <n v="939.2700000000001"/>
    <n v="0.17499999999999996"/>
    <n v="189.02624999999998"/>
    <n v="92.285115000000047"/>
    <n v="140.88"/>
    <x v="1"/>
    <s v="Advance payment"/>
    <s v="Cartera"/>
    <d v="2026-01-31T00:00:00"/>
    <n v="1080.1500000000001"/>
    <n v="422.19136500000002"/>
    <x v="1"/>
    <x v="1"/>
  </r>
  <r>
    <d v="2022-05-20T00:00:00"/>
    <d v="2026-01-01T00:00:00"/>
    <d v="2026-01-27T00:00:00"/>
    <s v="2022/RQAF/0934/0011/SUP2"/>
    <s v="QIP MEDITERRANEO HOME PROJECTS SL. - B42580613"/>
    <s v="ORES Y BRYAN SL - B29435260"/>
    <s v="Accredited Insurance (Europe) Limited"/>
    <n v="1708.22"/>
    <n v="0.17499999999999999"/>
    <n v="343.77875"/>
    <n v="167.83314000000001"/>
    <n v="256.23"/>
    <x v="1"/>
    <s v="Advance payment"/>
    <s v="Cartera"/>
    <d v="2026-01-31T00:00:00"/>
    <n v="1964.45"/>
    <n v="767.84189000000003"/>
    <x v="1"/>
    <x v="1"/>
  </r>
  <r>
    <d v="2022-05-20T00:00:00"/>
    <d v="2026-01-01T00:00:00"/>
    <d v="2026-01-27T00:00:00"/>
    <s v="2022/RQAF/0934/0012/SUP2"/>
    <s v="QIP MEDITERRANEO HOME PROJECTS SL. - B42580613"/>
    <s v="ORES Y BRYAN SL - B29435260"/>
    <s v="Accredited Insurance (Europe) Limited"/>
    <n v="599.09"/>
    <n v="0.17499999999999999"/>
    <n v="120.56625"/>
    <n v="58.861205000000012"/>
    <n v="89.86"/>
    <x v="1"/>
    <s v="Advance payment"/>
    <s v="Cartera"/>
    <d v="2026-01-31T00:00:00"/>
    <n v="688.95"/>
    <n v="269.28745500000002"/>
    <x v="1"/>
    <x v="1"/>
  </r>
  <r>
    <d v="2022-05-20T00:00:00"/>
    <d v="2026-01-01T00:00:00"/>
    <d v="2026-01-27T00:00:00"/>
    <s v="2022/RQAF/0934/0013/SUP2"/>
    <s v="QIP MEDITERRANEO HOME PROJECTS SL. - B42580613"/>
    <s v="ORES Y BRYAN SL - B29435260"/>
    <s v="Accredited Insurance (Europe) Limited"/>
    <n v="511.40000000000003"/>
    <n v="0.17499999999999999"/>
    <n v="102.91924999999999"/>
    <n v="50.245050000000006"/>
    <n v="76.709999999999994"/>
    <x v="1"/>
    <s v="Advance payment"/>
    <s v="Cartera"/>
    <d v="2026-01-31T00:00:00"/>
    <n v="588.11"/>
    <n v="229.87430000000001"/>
    <x v="1"/>
    <x v="1"/>
  </r>
  <r>
    <d v="2022-05-20T00:00:00"/>
    <d v="2026-01-01T00:00:00"/>
    <d v="2026-01-27T00:00:00"/>
    <s v="2022/RQAF/0934/0014/SUP2"/>
    <s v="QIP MEDITERRANEO HOME PROJECTS SL. - B42580613"/>
    <s v="ORES Y BRYAN SL - B29435260"/>
    <s v="Accredited Insurance (Europe) Limited"/>
    <n v="1210.22"/>
    <n v="0.17499999999999999"/>
    <n v="243.55624999999998"/>
    <n v="118.90464000000003"/>
    <n v="181.53"/>
    <x v="1"/>
    <s v="Advance payment"/>
    <s v="Cartera"/>
    <d v="2026-01-31T00:00:00"/>
    <n v="1391.75"/>
    <n v="543.99089000000004"/>
    <x v="1"/>
    <x v="1"/>
  </r>
  <r>
    <d v="2022-05-20T00:00:00"/>
    <d v="2026-01-01T00:00:00"/>
    <d v="2026-01-27T00:00:00"/>
    <s v="2022/RQAF/0934/0015/SUP3"/>
    <s v="QIP MEDITERRANEO HOME PROJECTS SL. - B42580613"/>
    <s v="ORES Y BRYAN SL - B29435260"/>
    <s v="Accredited Insurance (Europe) Limited"/>
    <n v="2293.94"/>
    <n v="0.17499999999999999"/>
    <n v="461.65699999999998"/>
    <n v="225.37803000000002"/>
    <n v="344.1"/>
    <x v="1"/>
    <s v="Advance payment"/>
    <s v="Cartera"/>
    <d v="2026-01-31T00:00:00"/>
    <n v="2638.04"/>
    <n v="1031.1350299999999"/>
    <x v="1"/>
    <x v="1"/>
  </r>
  <r>
    <d v="2022-05-20T00:00:00"/>
    <d v="2026-01-01T00:00:00"/>
    <d v="2026-01-27T00:00:00"/>
    <s v="2022/RQAF/0934/0016/SUP2"/>
    <s v="QIP MEDITERRANEO HOME PROJECTS SL. - B42580613"/>
    <s v="ORES Y BRYAN SL - B29435260"/>
    <s v="Accredited Insurance (Europe) Limited"/>
    <n v="588.49"/>
    <n v="0.17499999999999999"/>
    <n v="118.43299999999999"/>
    <n v="57.819755000000015"/>
    <n v="88.27"/>
    <x v="1"/>
    <s v="Advance payment"/>
    <s v="Cartera"/>
    <d v="2026-01-31T00:00:00"/>
    <n v="676.76"/>
    <n v="264.52275500000002"/>
    <x v="1"/>
    <x v="1"/>
  </r>
  <r>
    <d v="2022-05-26T00:00:00"/>
    <d v="2026-01-01T00:00:00"/>
    <d v="2026-01-27T00:00:00"/>
    <s v="2022/RQAF/0934/0017/SUP2"/>
    <s v="QIP MEDITERRANEO HOME PROJECTS SL. - B42580613"/>
    <s v="ORES Y BRYAN SL - B29435260"/>
    <s v="Accredited Insurance (Europe) Limited"/>
    <n v="1157.54"/>
    <n v="0.17499999999999999"/>
    <n v="232.95474999999999"/>
    <n v="113.72847999999999"/>
    <n v="173.63"/>
    <x v="1"/>
    <s v="Advance payment"/>
    <s v="Cartera"/>
    <d v="2026-01-31T00:00:00"/>
    <n v="1331.17"/>
    <n v="520.31322999999998"/>
    <x v="1"/>
    <x v="1"/>
  </r>
  <r>
    <d v="2022-05-26T00:00:00"/>
    <d v="2026-01-01T00:00:00"/>
    <d v="2026-01-27T00:00:00"/>
    <s v="2022/RQAF/0934/0018/SUP3"/>
    <s v="QIP MEDITERRANEO HOME PROJECTS SL. - B42580613"/>
    <s v="ORES Y BRYAN SL - B29435260"/>
    <s v="Accredited Insurance (Europe) Limited"/>
    <n v="952.53000000000009"/>
    <n v="0.17499999999999993"/>
    <n v="191.69674999999995"/>
    <n v="93.585985000000051"/>
    <n v="142.88"/>
    <x v="1"/>
    <s v="Advance payment"/>
    <s v="Cartera"/>
    <d v="2026-01-31T00:00:00"/>
    <n v="1095.4100000000001"/>
    <n v="428.162735"/>
    <x v="1"/>
    <x v="1"/>
  </r>
  <r>
    <d v="2022-05-26T00:00:00"/>
    <d v="2026-01-01T00:00:00"/>
    <d v="2026-01-27T00:00:00"/>
    <s v="2022/RQAF/0934/0019/SUP2"/>
    <s v="QIP MEDITERRANEO HOME PROJECTS SL. - B42580613"/>
    <s v="ORES Y BRYAN SL - B29435260"/>
    <s v="Accredited Insurance (Europe) Limited"/>
    <n v="467.16"/>
    <n v="0.17499999999999999"/>
    <n v="94.015249999999995"/>
    <n v="45.899170000000012"/>
    <n v="70.069999999999993"/>
    <x v="1"/>
    <s v="Advance payment"/>
    <s v="Cartera"/>
    <d v="2026-01-31T00:00:00"/>
    <n v="537.23"/>
    <n v="209.98442"/>
    <x v="1"/>
    <x v="1"/>
  </r>
  <r>
    <d v="2022-05-26T00:00:00"/>
    <d v="2026-01-01T00:00:00"/>
    <d v="2026-01-27T00:00:00"/>
    <s v="2022/RQAF/0934/0020/SUP2"/>
    <s v="QIP MEDITERRANEO HOME PROJECTS SL. - B42580613"/>
    <s v="ORES Y BRYAN SL - B29435260"/>
    <s v="Accredited Insurance (Europe) Limited"/>
    <n v="651.17999999999984"/>
    <n v="0.17500000000000002"/>
    <n v="131.0505"/>
    <n v="63.977909999999952"/>
    <n v="97.68"/>
    <x v="1"/>
    <s v="Advance payment"/>
    <s v="Cartera"/>
    <d v="2026-01-31T00:00:00"/>
    <n v="748.8599999999999"/>
    <n v="292.70840999999996"/>
    <x v="1"/>
    <x v="1"/>
  </r>
  <r>
    <d v="2022-05-26T00:00:00"/>
    <d v="2026-01-01T00:00:00"/>
    <d v="2026-01-27T00:00:00"/>
    <s v="2022/RQAF/0934/0021/SUP2"/>
    <s v="QIP MEDITERRANEO HOME PROJECTS SL. - B42580613"/>
    <s v="ORES Y BRYAN SL - B29435260"/>
    <s v="Accredited Insurance (Europe) Limited"/>
    <n v="958.62000000000012"/>
    <n v="0.17499999999999996"/>
    <n v="192.92174999999997"/>
    <n v="94.18494000000004"/>
    <n v="143.79"/>
    <x v="1"/>
    <s v="Advance payment"/>
    <s v="Cartera"/>
    <d v="2026-01-31T00:00:00"/>
    <n v="1102.4100000000001"/>
    <n v="430.89669000000004"/>
    <x v="1"/>
    <x v="1"/>
  </r>
  <r>
    <d v="2022-05-26T00:00:00"/>
    <d v="2026-01-01T00:00:00"/>
    <d v="2026-01-27T00:00:00"/>
    <s v="2022/RQAF/0934/0023/SUP2"/>
    <s v="QIP MEDITERRANEO HOME PROJECTS SL. - B42580613"/>
    <s v="ORES Y BRYAN SL - B29435260"/>
    <s v="Accredited Insurance (Europe) Limited"/>
    <n v="881.7399999999999"/>
    <n v="0.17499999999999999"/>
    <n v="177.45174999999998"/>
    <n v="86.629379999999998"/>
    <n v="132.27000000000001"/>
    <x v="1"/>
    <s v="Advance payment"/>
    <s v="Cartera"/>
    <d v="2026-01-31T00:00:00"/>
    <n v="1014.0099999999999"/>
    <n v="396.35113000000001"/>
    <x v="1"/>
    <x v="1"/>
  </r>
  <r>
    <d v="2022-07-05T00:00:00"/>
    <d v="2026-01-01T00:00:00"/>
    <d v="2026-01-27T00:00:00"/>
    <s v="2022/RQAF/0934/0024/SUP2"/>
    <s v="QIP MEDITERRANEO HOME PROJECTS SL. - B42580613"/>
    <s v="ORES Y BRYAN SL - B29435260"/>
    <s v="Accredited Insurance (Europe) Limited"/>
    <n v="626.34"/>
    <n v="0.17499999999999999"/>
    <n v="126.05075000000001"/>
    <n v="61.538079999999994"/>
    <n v="93.95"/>
    <x v="1"/>
    <s v="Advance payment"/>
    <s v="Cartera"/>
    <d v="2026-01-31T00:00:00"/>
    <n v="720.29000000000008"/>
    <n v="281.53883000000002"/>
    <x v="1"/>
    <x v="1"/>
  </r>
  <r>
    <d v="2022-07-05T00:00:00"/>
    <d v="2026-01-01T00:00:00"/>
    <d v="2026-01-27T00:00:00"/>
    <s v="2022/RQAF/0934/0026/SUP2"/>
    <s v="QIP MEDITERRANEO HOME PROJECTS SL. - B42580613"/>
    <s v="ORES Y BRYAN SL - B29435260"/>
    <s v="Accredited Insurance (Europe) Limited"/>
    <n v="1051.3699999999999"/>
    <n v="0.17500000000000004"/>
    <n v="211.58900000000003"/>
    <n v="103.29631499999991"/>
    <n v="157.71"/>
    <x v="1"/>
    <s v="Advance payment"/>
    <s v="Cartera"/>
    <d v="2026-01-31T00:00:00"/>
    <n v="1209.08"/>
    <n v="472.59531499999991"/>
    <x v="1"/>
    <x v="1"/>
  </r>
  <r>
    <d v="2022-07-05T00:00:00"/>
    <d v="2026-01-01T00:00:00"/>
    <d v="2026-01-27T00:00:00"/>
    <s v="2022/RQAF/0934/0027/SUP2"/>
    <s v="QIP MEDITERRANEO HOME PROJECTS SL. - B42580613"/>
    <s v="ORES Y BRYAN SL - B29435260"/>
    <s v="Accredited Insurance (Europe) Limited"/>
    <n v="1102.05"/>
    <n v="0.17499999999999999"/>
    <n v="221.78624999999997"/>
    <n v="108.277725"/>
    <n v="165.3"/>
    <x v="1"/>
    <s v="Advance payment"/>
    <s v="Cartera"/>
    <d v="2026-01-31T00:00:00"/>
    <n v="1267.3499999999999"/>
    <n v="495.36397499999998"/>
    <x v="1"/>
    <x v="1"/>
  </r>
  <r>
    <d v="2022-07-05T00:00:00"/>
    <d v="2026-01-01T00:00:00"/>
    <d v="2026-01-27T00:00:00"/>
    <s v="2022/RQAF/0934/0028/SUP2"/>
    <s v="QIP MEDITERRANEO HOME PROJECTS SL. - B42580613"/>
    <s v="ORES Y BRYAN SL - B29435260"/>
    <s v="Accredited Insurance (Europe) Limited"/>
    <n v="594.37"/>
    <n v="0.17499999999999999"/>
    <n v="119.61774999999999"/>
    <n v="58.396065000000007"/>
    <n v="89.16"/>
    <x v="1"/>
    <s v="Advance payment"/>
    <s v="Cartera"/>
    <d v="2026-01-31T00:00:00"/>
    <n v="683.53"/>
    <n v="267.17381499999999"/>
    <x v="1"/>
    <x v="1"/>
  </r>
  <r>
    <d v="2022-07-05T00:00:00"/>
    <d v="2026-01-01T00:00:00"/>
    <d v="2026-01-27T00:00:00"/>
    <s v="2022/RQAF/0934/0029/SUP2"/>
    <s v="QIP MEDITERRANEO HOME PROJECTS SL. - B42580613"/>
    <s v="ORES Y BRYAN SL - B29435260"/>
    <s v="Accredited Insurance (Europe) Limited"/>
    <n v="974.44000000000017"/>
    <n v="0.17499999999999993"/>
    <n v="196.10499999999996"/>
    <n v="95.739780000000053"/>
    <n v="146.16"/>
    <x v="1"/>
    <s v="Advance payment"/>
    <s v="Cartera"/>
    <d v="2026-01-31T00:00:00"/>
    <n v="1120.6000000000001"/>
    <n v="438.00477999999998"/>
    <x v="1"/>
    <x v="1"/>
  </r>
  <r>
    <d v="2022-07-05T00:00:00"/>
    <d v="2026-01-01T00:00:00"/>
    <d v="2026-01-27T00:00:00"/>
    <s v="2022/RQAF/0934/0030/SUP2"/>
    <s v="QIP MEDITERRANEO HOME PROJECTS SL. - B42580613"/>
    <s v="ORES Y BRYAN SL - B29435260"/>
    <s v="Accredited Insurance (Europe) Limited"/>
    <n v="754.19"/>
    <n v="0.17499999999999999"/>
    <n v="151.78100000000001"/>
    <n v="74.098905000000002"/>
    <n v="113.13"/>
    <x v="1"/>
    <s v="Advance payment"/>
    <s v="Cartera"/>
    <d v="2026-01-31T00:00:00"/>
    <n v="867.32"/>
    <n v="339.009905"/>
    <x v="1"/>
    <x v="1"/>
  </r>
  <r>
    <d v="2022-08-09T00:00:00"/>
    <d v="2026-01-01T00:00:00"/>
    <d v="2026-01-27T00:00:00"/>
    <s v="2022/RQAF/0934/0032/SUP3"/>
    <s v="QIP MEDITERRANEO HOME PROJECTS SL. - B42580613"/>
    <s v="ORES Y BRYAN SL - B29435260"/>
    <s v="Accredited Insurance (Europe) Limited"/>
    <n v="1568.8"/>
    <n v="0.17500000000000002"/>
    <n v="315.721"/>
    <n v="154.13459999999998"/>
    <n v="235.32000000000002"/>
    <x v="1"/>
    <s v="Advance payment"/>
    <s v="Cartera"/>
    <d v="2026-01-31T00:00:00"/>
    <n v="1804.12"/>
    <n v="705.17560000000003"/>
    <x v="1"/>
    <x v="1"/>
  </r>
  <r>
    <d v="2022-08-09T00:00:00"/>
    <d v="2026-01-01T00:00:00"/>
    <d v="2026-01-27T00:00:00"/>
    <s v="2022/RQAF/0934/0033/SUP2"/>
    <s v="QIP MEDITERRANEO HOME PROJECTS SL. - B42580613"/>
    <s v="ORES Y BRYAN SL - B29435260"/>
    <s v="Accredited Insurance (Europe) Limited"/>
    <n v="988.01"/>
    <n v="0.17499999999999999"/>
    <n v="198.83674999999999"/>
    <n v="97.072245000000009"/>
    <n v="148.19999999999999"/>
    <x v="1"/>
    <s v="Advance payment"/>
    <s v="Cartera"/>
    <d v="2026-01-31T00:00:00"/>
    <n v="1136.21"/>
    <n v="444.10899499999999"/>
    <x v="1"/>
    <x v="1"/>
  </r>
  <r>
    <d v="2022-08-09T00:00:00"/>
    <d v="2026-01-01T00:00:00"/>
    <d v="2026-01-27T00:00:00"/>
    <s v="2022/RQAF/0934/0034/SUP2"/>
    <s v="QIP MEDITERRANEO HOME PROJECTS SL. - B42580613"/>
    <s v="ORES Y BRYAN SL - B29435260"/>
    <s v="Accredited Insurance (Europe) Limited"/>
    <n v="987.01000000000022"/>
    <n v="0.17499999999999996"/>
    <n v="198.63549999999998"/>
    <n v="96.973995000000059"/>
    <n v="148.05000000000001"/>
    <x v="1"/>
    <s v="Advance payment"/>
    <s v="Cartera"/>
    <d v="2026-01-31T00:00:00"/>
    <n v="1135.0600000000002"/>
    <n v="443.65949500000005"/>
    <x v="1"/>
    <x v="1"/>
  </r>
  <r>
    <d v="2022-08-09T00:00:00"/>
    <d v="2026-01-01T00:00:00"/>
    <d v="2026-01-27T00:00:00"/>
    <s v="2022/RQAF/0934/0035/SUP2"/>
    <s v="QIP MEDITERRANEO HOME PROJECTS SL. - B42580613"/>
    <s v="ORES Y BRYAN SL - B29435260"/>
    <s v="Accredited Insurance (Europe) Limited"/>
    <n v="1146.81"/>
    <n v="0.17499999999999999"/>
    <n v="230.79699999999997"/>
    <n v="112.672595"/>
    <n v="172.03"/>
    <x v="1"/>
    <s v="Advance payment"/>
    <s v="Cartera"/>
    <d v="2026-01-31T00:00:00"/>
    <n v="1318.84"/>
    <n v="515.499595"/>
    <x v="1"/>
    <x v="1"/>
  </r>
  <r>
    <d v="2022-08-09T00:00:00"/>
    <d v="2026-01-01T00:00:00"/>
    <d v="2026-01-27T00:00:00"/>
    <s v="2022/RQAF/0934/0036/SUP2"/>
    <s v="QIP MEDITERRANEO HOME PROJECTS SL. - B42580613"/>
    <s v="ORES Y BRYAN SL - B29435260"/>
    <s v="Accredited Insurance (Europe) Limited"/>
    <n v="1182.6400000000003"/>
    <n v="0.17499999999999996"/>
    <n v="238.00524999999999"/>
    <n v="116.1954300000001"/>
    <n v="177.39"/>
    <x v="1"/>
    <s v="Advance payment"/>
    <s v="Cartera"/>
    <d v="2026-01-31T00:00:00"/>
    <n v="1360.0300000000002"/>
    <n v="531.59068000000002"/>
    <x v="1"/>
    <x v="1"/>
  </r>
  <r>
    <d v="2022-08-09T00:00:00"/>
    <d v="2026-01-01T00:00:00"/>
    <d v="2026-01-27T00:00:00"/>
    <s v="2022/RQAF/0934/0037/SUP2"/>
    <s v="QIP MEDITERRANEO HOME PROJECTS SL. - B42580613"/>
    <s v="ORES Y BRYAN SL - B29435260"/>
    <s v="Accredited Insurance (Europe) Limited"/>
    <n v="1177.1600000000001"/>
    <n v="0.17499999999999999"/>
    <n v="236.90099999999998"/>
    <n v="115.65842000000001"/>
    <n v="176.56"/>
    <x v="1"/>
    <s v="Advance payment"/>
    <s v="Cartera"/>
    <d v="2026-01-31T00:00:00"/>
    <n v="1353.72"/>
    <n v="529.11941999999999"/>
    <x v="1"/>
    <x v="1"/>
  </r>
  <r>
    <d v="2022-09-06T00:00:00"/>
    <d v="2026-01-01T00:00:00"/>
    <d v="2026-01-27T00:00:00"/>
    <s v="2022/RQAF/0934/0038/SUP2"/>
    <s v="QIP MEDITERRANEO HOME PROJECTS SL. - B42580613"/>
    <s v="ORES Y BRYAN SL - B29435260"/>
    <s v="Accredited Insurance (Europe) Limited"/>
    <n v="788.21"/>
    <n v="0.17499999999999999"/>
    <n v="158.62875"/>
    <n v="77.440145000000001"/>
    <n v="118.24"/>
    <x v="1"/>
    <s v="Advance payment"/>
    <s v="Cartera"/>
    <d v="2026-01-31T00:00:00"/>
    <n v="906.45"/>
    <n v="354.30889500000001"/>
    <x v="1"/>
    <x v="1"/>
  </r>
  <r>
    <d v="2022-10-20T00:00:00"/>
    <d v="2026-01-01T00:00:00"/>
    <d v="2026-01-27T00:00:00"/>
    <s v="2022/RQAF/0934/0039/SUP2"/>
    <s v="QIP MEDITERRANEO HOME PROJECTS SL. - B42580613"/>
    <s v="ORES Y BRYAN SL - B29435260"/>
    <s v="Accredited Insurance (Europe) Limited"/>
    <n v="1093.81"/>
    <n v="0.17499999999999999"/>
    <n v="220.12899999999996"/>
    <n v="107.46709500000003"/>
    <n v="164.07"/>
    <x v="1"/>
    <s v="Advance payment"/>
    <s v="Cartera"/>
    <d v="2026-01-31T00:00:00"/>
    <n v="1257.8799999999999"/>
    <n v="491.66609499999998"/>
    <x v="1"/>
    <x v="1"/>
  </r>
  <r>
    <d v="2022-10-20T00:00:00"/>
    <d v="2026-01-01T00:00:00"/>
    <d v="2026-01-27T00:00:00"/>
    <s v="2022/RQAF/0934/0040/SUP2"/>
    <s v="QIP MEDITERRANEO HOME PROJECTS SL. - B42580613"/>
    <s v="ORES Y BRYAN SL - B29435260"/>
    <s v="Accredited Insurance (Europe) Limited"/>
    <n v="707.19"/>
    <n v="0.17499999999999999"/>
    <n v="142.32049999999998"/>
    <n v="69.482905000000017"/>
    <n v="106.07"/>
    <x v="1"/>
    <s v="Advance payment"/>
    <s v="Cartera"/>
    <d v="2026-01-31T00:00:00"/>
    <n v="813.26"/>
    <n v="317.87340499999999"/>
    <x v="1"/>
    <x v="1"/>
  </r>
  <r>
    <d v="2022-10-20T00:00:00"/>
    <d v="2026-01-01T00:00:00"/>
    <d v="2026-01-27T00:00:00"/>
    <s v="2022/RQAF/0934/0041/SUP2"/>
    <s v="QIP MEDITERRANEO HOME PROJECTS SL. - B42580613"/>
    <s v="ORES Y BRYAN SL - B29435260"/>
    <s v="Accredited Insurance (Europe) Limited"/>
    <n v="904.79"/>
    <n v="0.17499999999999999"/>
    <n v="182.08749999999998"/>
    <n v="88.89710500000001"/>
    <n v="135.71"/>
    <x v="1"/>
    <s v="Advance payment"/>
    <s v="Cartera"/>
    <d v="2026-01-31T00:00:00"/>
    <n v="1040.5"/>
    <n v="406.69460500000002"/>
    <x v="1"/>
    <x v="1"/>
  </r>
  <r>
    <d v="2023-02-02T00:00:00"/>
    <d v="2026-01-01T00:00:00"/>
    <d v="2026-01-27T00:00:00"/>
    <s v="2022/RQAF/0934/0043/SUP2"/>
    <s v="QIP MEDITERRANEO HOME PROJECTS SL. - B42580613"/>
    <s v="ORES Y BRYAN SL - B29435260"/>
    <s v="Accredited Insurance (Europe) Limited"/>
    <n v="1079.46"/>
    <n v="0.17499999999999996"/>
    <n v="217.24149999999997"/>
    <n v="106.05677000000003"/>
    <n v="161.91999999999999"/>
    <x v="1"/>
    <s v="Advance payment"/>
    <s v="Cartera"/>
    <d v="2026-01-31T00:00:00"/>
    <n v="1241.3800000000001"/>
    <n v="485.21826999999996"/>
    <x v="1"/>
    <x v="1"/>
  </r>
  <r>
    <d v="2023-02-02T00:00:00"/>
    <d v="2026-01-01T00:00:00"/>
    <d v="2026-01-27T00:00:00"/>
    <s v="2022/RQAF/0934/0044/SUP2"/>
    <s v="QIP MEDITERRANEO HOME PROJECTS SL. - B42580613"/>
    <s v="ORES Y BRYAN SL - B29435260"/>
    <s v="Accredited Insurance (Europe) Limited"/>
    <n v="830.96999999999991"/>
    <n v="0.17500000000000002"/>
    <n v="167.23175000000001"/>
    <n v="81.643764999999973"/>
    <n v="124.64"/>
    <x v="1"/>
    <s v="Advance payment"/>
    <s v="Cartera"/>
    <d v="2026-01-31T00:00:00"/>
    <n v="955.6099999999999"/>
    <n v="373.51551499999999"/>
    <x v="1"/>
    <x v="1"/>
  </r>
  <r>
    <d v="2023-02-02T00:00:00"/>
    <d v="2026-01-01T00:00:00"/>
    <d v="2026-01-27T00:00:00"/>
    <s v="2022/RQAF/0934/0045/SUP2"/>
    <s v="QIP MEDITERRANEO HOME PROJECTS SL. - B42580613"/>
    <s v="ORES Y BRYAN SL - B29435260"/>
    <s v="Accredited Insurance (Europe) Limited"/>
    <n v="724.03000000000009"/>
    <n v="0.17499999999999999"/>
    <n v="145.71025"/>
    <n v="71.136735000000016"/>
    <n v="108.6"/>
    <x v="1"/>
    <s v="Advance payment"/>
    <s v="Cartera"/>
    <d v="2026-01-31T00:00:00"/>
    <n v="832.63000000000011"/>
    <n v="325.44698500000004"/>
    <x v="1"/>
    <x v="1"/>
  </r>
  <r>
    <d v="2023-02-06T00:00:00"/>
    <d v="2026-01-01T00:00:00"/>
    <d v="2026-01-27T00:00:00"/>
    <s v="2022/RQAF/0934/0047/SUP2"/>
    <s v="QIP MEDITERRANEO HOME PROJECTS SL. - B42580613"/>
    <s v="ORES Y BRYAN SL - B29435260"/>
    <s v="Accredited Insurance (Europe) Limited"/>
    <n v="716.73"/>
    <n v="0.17499999999999999"/>
    <n v="144.24199999999999"/>
    <n v="70.418634999999995"/>
    <n v="107.51"/>
    <x v="1"/>
    <s v="Advance payment"/>
    <s v="Cartera"/>
    <d v="2026-01-31T00:00:00"/>
    <n v="824.24"/>
    <n v="322.170635"/>
    <x v="1"/>
    <x v="1"/>
  </r>
  <r>
    <d v="2023-02-06T00:00:00"/>
    <d v="2026-01-01T00:00:00"/>
    <d v="2026-01-27T00:00:00"/>
    <s v="2022/RQAF/0934/0048/SUP2"/>
    <s v="QIP MEDITERRANEO HOME PROJECTS SL. - B42580613"/>
    <s v="ORES Y BRYAN SL - B29435260"/>
    <s v="Accredited Insurance (Europe) Limited"/>
    <n v="1571.88"/>
    <n v="0.17500000000000002"/>
    <n v="316.34050000000002"/>
    <n v="154.43756000000002"/>
    <n v="235.78"/>
    <x v="1"/>
    <s v="Advance payment"/>
    <s v="Cartera"/>
    <d v="2026-01-31T00:00:00"/>
    <n v="1807.66"/>
    <n v="706.55806000000007"/>
    <x v="1"/>
    <x v="1"/>
  </r>
  <r>
    <d v="2023-02-06T00:00:00"/>
    <d v="2026-01-01T00:00:00"/>
    <d v="2026-01-27T00:00:00"/>
    <s v="2022/RQAF/0934/0049/SUP2"/>
    <s v="QIP MEDITERRANEO HOME PROJECTS SL. - B42580613"/>
    <s v="ORES Y BRYAN SL - B29435260"/>
    <s v="Accredited Insurance (Europe) Limited"/>
    <n v="696.77"/>
    <n v="0.17500000000000002"/>
    <n v="140.22225"/>
    <n v="68.460364999999996"/>
    <n v="104.5"/>
    <x v="1"/>
    <s v="Advance payment"/>
    <s v="Cartera"/>
    <d v="2026-01-31T00:00:00"/>
    <n v="801.27"/>
    <n v="313.182615"/>
    <x v="1"/>
    <x v="1"/>
  </r>
  <r>
    <d v="2023-02-06T00:00:00"/>
    <d v="2026-01-01T00:00:00"/>
    <d v="2026-01-27T00:00:00"/>
    <s v="2022/RQAF/0934/0050/SUP2"/>
    <s v="QIP MEDITERRANEO HOME PROJECTS SL. - B42580613"/>
    <s v="ORES Y BRYAN SL - B29435260"/>
    <s v="Accredited Insurance (Europe) Limited"/>
    <n v="623.30999999999995"/>
    <n v="0.17500000000000002"/>
    <n v="125.44"/>
    <n v="61.241344999999967"/>
    <n v="93.49"/>
    <x v="1"/>
    <s v="Advance payment"/>
    <s v="Cartera"/>
    <d v="2026-01-31T00:00:00"/>
    <n v="716.8"/>
    <n v="280.17134499999997"/>
    <x v="1"/>
    <x v="1"/>
  </r>
  <r>
    <d v="2023-03-31T00:00:00"/>
    <d v="2026-01-01T00:00:00"/>
    <d v="2026-01-27T00:00:00"/>
    <s v="2022/RQAF/0934/0051/SUP2"/>
    <s v="QIP MEDITERRANEO HOME PROJECTS SL. - B42580613"/>
    <s v="ORES Y BRYAN SL - B29435260"/>
    <s v="Accredited Insurance (Europe) Limited"/>
    <n v="2032.5100000000002"/>
    <n v="0.17499999999999999"/>
    <n v="409.04149999999998"/>
    <n v="199.69524500000006"/>
    <n v="304.87"/>
    <x v="1"/>
    <s v="Advance payment"/>
    <s v="Cartera"/>
    <d v="2026-01-31T00:00:00"/>
    <n v="2337.38"/>
    <n v="913.60674500000005"/>
    <x v="1"/>
    <x v="1"/>
  </r>
  <r>
    <d v="2023-07-05T00:00:00"/>
    <d v="2025-10-31T00:00:00"/>
    <d v="2026-01-27T00:00:00"/>
    <s v="2022/RQAF/0934/0056/SUP1"/>
    <s v="QIP MEDITERRANEO HOME PROJECTS SL. - B42580613"/>
    <s v="ORES Y BRYAN SL - B29435260"/>
    <s v="Accredited Insurance (Europe) Limited"/>
    <n v="1101.06"/>
    <n v="0.17499999999999996"/>
    <n v="221.58849999999995"/>
    <n v="108.17896999999999"/>
    <n v="165.16"/>
    <x v="1"/>
    <s v="Advance payment"/>
    <s v="Cartera"/>
    <d v="2026-01-31T00:00:00"/>
    <n v="1266.22"/>
    <n v="494.92746999999997"/>
    <x v="3"/>
    <x v="0"/>
  </r>
  <r>
    <d v="2026-01-20T00:00:00"/>
    <d v="2026-01-20T00:00:00"/>
    <d v="2026-01-16T00:00:00"/>
    <s v="2025/RQLC/1406/0001"/>
    <s v="CENTRO SUPERIOR DE FORMACION EUROPA-SUR SA - A92194844"/>
    <s v="ORES Y BRYAN SL - B29435260"/>
    <s v="Accredited Insurance (Europe) Limited"/>
    <n v="11276.1"/>
    <n v="0.17499999999999999"/>
    <n v="2269.3125"/>
    <n v="1251.3678225000003"/>
    <n v="1691.4"/>
    <x v="1"/>
    <s v="Performance"/>
    <s v="Nueva producción"/>
    <d v="2026-01-31T00:00:00"/>
    <n v="12967.5"/>
    <n v="5212.0803225"/>
    <x v="1"/>
    <x v="1"/>
  </r>
  <r>
    <d v="2024-11-29T00:00:00"/>
    <d v="2026-07-01T00:00:00"/>
    <d v="2026-01-23T00:00:00"/>
    <s v="2024/RQAF/1237/0007/SUP1"/>
    <s v="DEI HOMES SL. - B93603124"/>
    <s v="Amura 21 Correduría de Seguros S.L. - B87516878"/>
    <s v="Accredited Insurance (Europe) Limited"/>
    <n v="11536.75"/>
    <n v="0.16500000000000001"/>
    <n v="2189.0962500000001"/>
    <n v="1371.4332187499999"/>
    <n v="1730.5"/>
    <x v="1"/>
    <s v="Advance payment"/>
    <s v="Cartera"/>
    <d v="2026-01-31T00:00:00"/>
    <n v="13267.25"/>
    <n v="5291.02946875"/>
    <x v="5"/>
    <x v="1"/>
  </r>
  <r>
    <d v="2024-11-29T00:00:00"/>
    <d v="2026-07-01T00:00:00"/>
    <d v="2026-01-23T00:00:00"/>
    <s v="2024/RQAF/1237/0010/SUP1"/>
    <s v="DEI HOMES SL. - B93603124"/>
    <s v="Amura 21 Correduría de Seguros S.L. - B87516878"/>
    <s v="Accredited Insurance (Europe) Limited"/>
    <n v="11536.75"/>
    <n v="0.16500000000000001"/>
    <n v="2189.0962500000001"/>
    <n v="1371.4332187499999"/>
    <n v="1730.5"/>
    <x v="1"/>
    <s v="Advance payment"/>
    <s v="Cartera"/>
    <d v="2026-01-31T00:00:00"/>
    <n v="13267.25"/>
    <n v="5291.02946875"/>
    <x v="5"/>
    <x v="1"/>
  </r>
  <r>
    <d v="2026-01-19T00:00:00"/>
    <d v="2026-01-23T00:00:00"/>
    <d v="2026-01-23T00:00:00"/>
    <s v="2025/RQLC/1364/0005"/>
    <s v="LIROLA INGENIERIA Y OBRAS SOCIEDAD LIMITADA - B04683124"/>
    <s v="ORES Y BRYAN SL - B29435260"/>
    <s v="Accredited Insurance (Europe) Limited"/>
    <n v="1677.29"/>
    <n v="0.17499999999999999"/>
    <n v="337.55399999999997"/>
    <n v="186.13787025000011"/>
    <n v="251.59"/>
    <x v="1"/>
    <s v="Performance"/>
    <s v="Nueva producción"/>
    <d v="2026-01-31T00:00:00"/>
    <n v="1928.8799999999999"/>
    <n v="775.28187025000011"/>
    <x v="1"/>
    <x v="1"/>
  </r>
  <r>
    <d v="2026-01-26T00:00:00"/>
    <d v="2026-01-30T00:00:00"/>
    <d v="2026-01-26T00:00:00"/>
    <s v="2026/RQLC/1410/0001"/>
    <s v="LUMINORA SOLAR VEINTITRES SL. - B05399910"/>
    <s v="WILLIS IBERIA SA - A28961639"/>
    <s v="Accredited Insurance (Europe) Limited"/>
    <n v="1410.58"/>
    <n v="0.14000000000000004"/>
    <n v="227.10240000000005"/>
    <n v="213.31594049999995"/>
    <n v="211.58000000000004"/>
    <x v="1"/>
    <s v="Performance"/>
    <s v="Nueva producción"/>
    <d v="2026-01-31T00:00:00"/>
    <n v="1622.1599999999999"/>
    <n v="651.99834050000004"/>
    <x v="1"/>
    <x v="1"/>
  </r>
  <r>
    <d v="2026-01-26T00:00:00"/>
    <d v="2026-01-30T00:00:00"/>
    <d v="2026-01-26T00:00:00"/>
    <s v="2026/RQLC/1411/0001"/>
    <s v="LUMINORA SOLAR VEINTICUATRO SL. - B05399928"/>
    <s v="WILLIS IBERIA SA - A28961639"/>
    <s v="Accredited Insurance (Europe) Limited"/>
    <n v="1561.78"/>
    <n v="0.14000000000000001"/>
    <n v="251.44560000000004"/>
    <n v="236.1811605"/>
    <n v="234.26"/>
    <x v="1"/>
    <s v="Performance"/>
    <s v="Nueva producción"/>
    <d v="2026-01-31T00:00:00"/>
    <n v="1796.04"/>
    <n v="721.88676050000004"/>
    <x v="1"/>
    <x v="1"/>
  </r>
  <r>
    <d v="2026-01-26T00:00:00"/>
    <d v="2026-01-30T00:00:00"/>
    <d v="2026-01-26T00:00:00"/>
    <s v="2026/RQLC/1412/0001"/>
    <s v="LUMINORA SOLAR VEINTICINCO SL. - B05399936"/>
    <s v="WILLIS IBERIA SA - A28961639"/>
    <s v="Accredited Insurance (Europe) Limited"/>
    <n v="1561.78"/>
    <n v="0.14000000000000001"/>
    <n v="251.44560000000004"/>
    <n v="236.1811605"/>
    <n v="234.26"/>
    <x v="1"/>
    <s v="Performance"/>
    <s v="Nueva producción"/>
    <d v="2026-01-31T00:00:00"/>
    <n v="1796.04"/>
    <n v="721.88676050000004"/>
    <x v="1"/>
    <x v="1"/>
  </r>
  <r>
    <d v="2026-01-14T00:00:00"/>
    <d v="2026-01-14T00:00:00"/>
    <d v="2026-01-27T00:00:00"/>
    <s v="2018/RQLC/0067/0005/R7"/>
    <s v="INDUSLAND &amp; LOGISTIC AREA SL. - B86381282"/>
    <s v="ORES Y BRYAN SL - B29435260"/>
    <s v="Accredited Insurance (Europe) Limited"/>
    <n v="105.99510000000001"/>
    <n v="0.17499999999999999"/>
    <n v="21.331513874999999"/>
    <n v="11.762806222500004"/>
    <n v="15.899264999999987"/>
    <x v="1"/>
    <s v="Performance"/>
    <s v="Cartera"/>
    <d v="2026-01-31T00:00:00"/>
    <n v="121.89436499999999"/>
    <n v="48.993585097499988"/>
    <x v="1"/>
    <x v="1"/>
  </r>
  <r>
    <d v="2026-01-17T00:00:00"/>
    <d v="2026-01-17T00:00:00"/>
    <d v="2026-01-27T00:00:00"/>
    <s v="2018/RQLC/0153/0001/R7"/>
    <s v="NOWAIN EMPRESA DE TRABAJO TEMPORAL SL - B66234881"/>
    <s v="ORES Y BRYAN SL - B29435260"/>
    <s v="Accredited Insurance (Europe) Limited"/>
    <n v="565.21739130434787"/>
    <n v="0.17499999999999999"/>
    <n v="113.74999999999999"/>
    <n v="62.725000000000037"/>
    <n v="84.782608695652129"/>
    <x v="1"/>
    <s v="Performance"/>
    <s v="Cartera"/>
    <d v="2026-01-31T00:00:00"/>
    <n v="650"/>
    <n v="261.25760869565215"/>
    <x v="1"/>
    <x v="1"/>
  </r>
  <r>
    <d v="2026-01-11T00:00:00"/>
    <d v="2026-01-11T00:00:00"/>
    <d v="2026-01-27T00:00:00"/>
    <s v="2018/RQLC/0177/0001/R7"/>
    <s v="EV CARGO GLOBAL FORWARDING S.L. - B63446116"/>
    <s v="IBERSEGUROS Correduría de Seguros S.A. - A28908754"/>
    <s v="Accredited Insurance (Europe) Limited"/>
    <n v="352.17391304347825"/>
    <n v="0.15"/>
    <n v="60.75"/>
    <n v="49.20750000000001"/>
    <n v="52.826086956521749"/>
    <x v="1"/>
    <s v="Performance"/>
    <s v="Cartera"/>
    <d v="2026-01-31T00:00:00"/>
    <n v="405"/>
    <n v="162.78358695652176"/>
    <x v="1"/>
    <x v="1"/>
  </r>
  <r>
    <d v="2026-01-08T00:00:00"/>
    <d v="2026-01-08T00:00:00"/>
    <d v="2026-01-27T00:00:00"/>
    <s v="2018/RQLC/0019/0002/R7"/>
    <s v="ACTUA, SERVICIOS Y MEDIO AMBIENTE, SL. - B73727349"/>
    <s v="ORES Y BRYAN SL - B29435260"/>
    <s v="Accredited Insurance (Europe) Limited"/>
    <n v="978.10660869565208"/>
    <n v="0.17499999999999996"/>
    <n v="196.84395499999994"/>
    <n v="108.54538090000005"/>
    <n v="146.71599130434788"/>
    <x v="1"/>
    <s v="Performance"/>
    <s v="Cartera"/>
    <d v="2026-01-31T00:00:00"/>
    <n v="1124.8226"/>
    <n v="452.10532720434787"/>
    <x v="1"/>
    <x v="1"/>
  </r>
  <r>
    <d v="2026-01-11T00:00:00"/>
    <d v="2026-01-11T00:00:00"/>
    <d v="2026-01-27T00:00:00"/>
    <s v="2019/RQLC/0191/0001/R7"/>
    <s v="ITEL INVESTMENT SL - B88244058"/>
    <s v="HOWDEN IBERIA SA - A82473349"/>
    <s v="Accredited Insurance (Europe) Limited"/>
    <n v="59130.434782608703"/>
    <n v="0.17499999999999999"/>
    <n v="11900"/>
    <n v="6562.0000000000036"/>
    <n v="8869.5652173912968"/>
    <x v="1"/>
    <s v="Performance"/>
    <s v="Cartera"/>
    <d v="2026-01-31T00:00:00"/>
    <n v="68000"/>
    <n v="27331.5652173913"/>
    <x v="1"/>
    <x v="1"/>
  </r>
  <r>
    <d v="2026-01-24T00:00:00"/>
    <d v="2026-01-24T00:00:00"/>
    <d v="2026-01-27T00:00:00"/>
    <s v="2019/RQLC/0195/0001/R7"/>
    <s v="AGIO TT GESTORES DE EMPLEO EMPRESA DE TRABAJO TEMPORAL  - A80800451"/>
    <s v="LARREA BROKER SL. - B86593530"/>
    <s v="Accredited Insurance (Europe) Limited"/>
    <n v="2826.0869565217395"/>
    <n v="0.1"/>
    <n v="325"/>
    <n v="557.37500000000023"/>
    <n v="423.91304347826053"/>
    <x v="1"/>
    <s v="Performance"/>
    <s v="Cartera"/>
    <d v="2026-01-31T00:00:00"/>
    <n v="3250"/>
    <n v="1306.2880434782608"/>
    <x v="1"/>
    <x v="1"/>
  </r>
  <r>
    <d v="2026-01-16T00:00:00"/>
    <d v="2026-01-16T00:00:00"/>
    <d v="2026-01-27T00:00:00"/>
    <s v="2019/RQLC/0510/0001/R6"/>
    <s v="TRANSISTS MARITIMS SL - B98077829"/>
    <s v="WILLIS IBERIA SA - A28961639"/>
    <s v="Accredited Insurance (Europe) Limited"/>
    <n v="1217.391304347826"/>
    <n v="0.14000000000000001"/>
    <n v="196.00000000000003"/>
    <n v="184.1"/>
    <n v="182.60869565217396"/>
    <x v="1"/>
    <s v="Performance"/>
    <s v="Cartera"/>
    <d v="2026-01-31T00:00:00"/>
    <n v="1400"/>
    <n v="562.70869565217401"/>
    <x v="1"/>
    <x v="1"/>
  </r>
  <r>
    <d v="2026-01-07T00:00:00"/>
    <d v="2026-01-07T00:00:00"/>
    <d v="2026-01-27T00:00:00"/>
    <s v="2019/RQLC/0218/0017/R6"/>
    <s v="CINAR POLIGONAL SL - B99106494"/>
    <s v="Jori Armengol y Asociados, Correduría de Seguros, S.L. - A58299124"/>
    <s v="Accredited Insurance (Europe) Limited"/>
    <n v="173.91304347826087"/>
    <n v="0.14000000000000001"/>
    <n v="28.000000000000004"/>
    <n v="26.3"/>
    <n v="26.086956521739125"/>
    <x v="1"/>
    <s v="Performance"/>
    <s v="Cartera"/>
    <d v="2026-01-31T00:00:00"/>
    <n v="200"/>
    <n v="80.386956521739137"/>
    <x v="1"/>
    <x v="1"/>
  </r>
  <r>
    <d v="2026-01-16T00:00:00"/>
    <d v="2026-01-16T00:00:00"/>
    <d v="2026-01-27T00:00:00"/>
    <s v="2018/RQLC/0095/0005/R6"/>
    <s v="LLOPIS SERVICIOS AMBIENTALES SL. - B41491739"/>
    <s v="ORES Y BRYAN SL - B29435260"/>
    <s v="Accredited Insurance (Europe) Limited"/>
    <n v="86.956521739130437"/>
    <n v="0.17499999999999999"/>
    <n v="17.5"/>
    <n v="9.6500000000000021"/>
    <n v="13.043478260869563"/>
    <x v="1"/>
    <s v="Performance"/>
    <s v="Cartera"/>
    <d v="2026-01-31T00:00:00"/>
    <n v="100"/>
    <n v="40.193478260869568"/>
    <x v="1"/>
    <x v="1"/>
  </r>
  <r>
    <d v="2026-01-01T00:00:00"/>
    <d v="2026-01-01T00:00:00"/>
    <d v="2026-01-27T00:00:00"/>
    <s v="2021/RQLC/0910/0012/R4"/>
    <s v="IGNIS DESARROLLO S.L. - B87973327"/>
    <s v="AON IBERIA CORREDURIA DE SEGUROS Y REASEGUROS SOCIEDAD ANONIMA - A28109247"/>
    <s v="Accredited Insurance (Europe) Limited"/>
    <n v="8353.3043478260879"/>
    <n v="0.15"/>
    <n v="1440.9450000000002"/>
    <n v="1167.1654500000004"/>
    <n v="1252.9956521739132"/>
    <x v="1"/>
    <s v="Performance"/>
    <s v="Cartera"/>
    <d v="2026-01-31T00:00:00"/>
    <n v="9606.3000000000011"/>
    <n v="3861.1061021739138"/>
    <x v="1"/>
    <x v="1"/>
  </r>
  <r>
    <d v="2026-01-01T00:00:00"/>
    <d v="2026-01-01T00:00:00"/>
    <d v="2026-01-27T00:00:00"/>
    <s v="2021/RQLC/0910/0011/R4"/>
    <s v="IGNIS DESARROLLO S.L. - B87973327"/>
    <s v="AON IBERIA CORREDURIA DE SEGUROS Y REASEGUROS SOCIEDAD ANONIMA - A28109247"/>
    <s v="Accredited Insurance (Europe) Limited"/>
    <n v="5011.9826086956518"/>
    <n v="0.15"/>
    <n v="864.56699999999989"/>
    <n v="700.29927000000009"/>
    <n v="751.79739130434791"/>
    <x v="1"/>
    <s v="Performance"/>
    <s v="Cartera"/>
    <d v="2026-01-31T00:00:00"/>
    <n v="5763.78"/>
    <n v="2316.6636613043479"/>
    <x v="1"/>
    <x v="1"/>
  </r>
  <r>
    <d v="2026-01-01T00:00:00"/>
    <d v="2026-01-01T00:00:00"/>
    <d v="2026-01-27T00:00:00"/>
    <s v="2021/RQLC/0910/0009/R4"/>
    <s v="IGNIS DESARROLLO S.L. - B87973327"/>
    <s v="AON IBERIA CORREDURIA DE SEGUROS Y REASEGUROS SOCIEDAD ANONIMA - A28109247"/>
    <s v="Accredited Insurance (Europe) Limited"/>
    <n v="8034.7826086956538"/>
    <n v="0.15"/>
    <n v="1386.0000000000002"/>
    <n v="1122.6600000000005"/>
    <n v="1205.217391304348"/>
    <x v="1"/>
    <s v="Performance"/>
    <s v="Cartera"/>
    <d v="2026-01-31T00:00:00"/>
    <n v="9240.0000000000018"/>
    <n v="3713.8773913043487"/>
    <x v="1"/>
    <x v="1"/>
  </r>
  <r>
    <d v="2026-01-01T00:00:00"/>
    <d v="2026-01-01T00:00:00"/>
    <d v="2026-01-27T00:00:00"/>
    <s v="2021/RQLC/0910/0008/R4"/>
    <s v="IGNIS DESARROLLO S.L. - B87973327"/>
    <s v="AON IBERIA CORREDURIA DE SEGUROS Y REASEGUROS SOCIEDAD ANONIMA - A28109247"/>
    <s v="Accredited Insurance (Europe) Limited"/>
    <n v="4820.869565217391"/>
    <n v="0.15"/>
    <n v="831.6"/>
    <n v="673.59600000000012"/>
    <n v="723.13043478260897"/>
    <x v="1"/>
    <s v="Performance"/>
    <s v="Cartera"/>
    <d v="2026-01-31T00:00:00"/>
    <n v="5544"/>
    <n v="2228.3264347826089"/>
    <x v="1"/>
    <x v="1"/>
  </r>
  <r>
    <d v="2026-01-01T00:00:00"/>
    <d v="2026-01-01T00:00:00"/>
    <d v="2026-01-27T00:00:00"/>
    <s v="2021/RQLC/0910/0006/R4"/>
    <s v="IGNIS DESARROLLO S.L. - B87973327"/>
    <s v="AON IBERIA CORREDURIA DE SEGUROS Y REASEGUROS SOCIEDAD ANONIMA - A28109247"/>
    <s v="Accredited Insurance (Europe) Limited"/>
    <n v="7891.3043478260888"/>
    <n v="0.14999999999999997"/>
    <n v="1361.25"/>
    <n v="1102.6125000000006"/>
    <n v="1183.695652173913"/>
    <x v="1"/>
    <s v="Performance"/>
    <s v="Cartera"/>
    <d v="2026-01-31T00:00:00"/>
    <n v="9075.0000000000018"/>
    <n v="3647.5581521739136"/>
    <x v="1"/>
    <x v="1"/>
  </r>
  <r>
    <d v="2026-01-01T00:00:00"/>
    <d v="2026-01-01T00:00:00"/>
    <d v="2026-01-27T00:00:00"/>
    <s v="2021/RQLC/0910/0005/R4"/>
    <s v="IGNIS DESARROLLO S.L. - B87973327"/>
    <s v="AON IBERIA CORREDURIA DE SEGUROS Y REASEGUROS SOCIEDAD ANONIMA - A28109247"/>
    <s v="Accredited Insurance (Europe) Limited"/>
    <n v="4734.782608695652"/>
    <n v="0.15"/>
    <n v="816.75"/>
    <n v="661.56750000000011"/>
    <n v="710.21739130434798"/>
    <x v="1"/>
    <s v="Performance"/>
    <s v="Cartera"/>
    <d v="2026-01-31T00:00:00"/>
    <n v="5445"/>
    <n v="2188.5348913043481"/>
    <x v="1"/>
    <x v="1"/>
  </r>
  <r>
    <d v="2026-01-01T00:00:00"/>
    <d v="2026-01-01T00:00:00"/>
    <d v="2026-01-27T00:00:00"/>
    <s v="2021/RQLC/0910/0003/R4"/>
    <s v="IGNIS DESARROLLO S.L. - B87973327"/>
    <s v="AON IBERIA CORREDURIA DE SEGUROS Y REASEGUROS SOCIEDAD ANONIMA - A28109247"/>
    <s v="Accredited Insurance (Europe) Limited"/>
    <n v="17073.913043478264"/>
    <n v="0.15"/>
    <n v="2945.2500000000005"/>
    <n v="2385.6525000000006"/>
    <n v="2561.0869565217399"/>
    <x v="1"/>
    <s v="Performance"/>
    <s v="Cartera"/>
    <d v="2026-01-31T00:00:00"/>
    <n v="19635.000000000004"/>
    <n v="7891.989456521741"/>
    <x v="1"/>
    <x v="1"/>
  </r>
  <r>
    <d v="2026-01-01T00:00:00"/>
    <d v="2026-01-01T00:00:00"/>
    <d v="2026-01-27T00:00:00"/>
    <s v="2021/RQLC/0910/0002/R4"/>
    <s v="IGNIS DESARROLLO S.L. - B87973327"/>
    <s v="AON IBERIA CORREDURIA DE SEGUROS Y REASEGUROS SOCIEDAD ANONIMA - A28109247"/>
    <s v="Accredited Insurance (Europe) Limited"/>
    <n v="10244.347826086956"/>
    <n v="0.15"/>
    <n v="1767.1499999999999"/>
    <n v="1431.3915000000004"/>
    <n v="1536.6521739130442"/>
    <x v="1"/>
    <s v="Performance"/>
    <s v="Cartera"/>
    <d v="2026-01-31T00:00:00"/>
    <n v="11781"/>
    <n v="4735.1936739130442"/>
    <x v="1"/>
    <x v="1"/>
  </r>
  <r>
    <d v="2026-01-04T00:00:00"/>
    <d v="2026-01-04T00:00:00"/>
    <d v="2026-01-27T00:00:00"/>
    <s v="2019/RQLC/0429/0002/R4"/>
    <s v="AS BUREAU ADUANAS Y SERVICIOS SL. - B66407248"/>
    <s v="Jori Armengol y Asociados, Correduría de Seguros, S.L. - A58299124"/>
    <s v="Accredited Insurance (Europe) Limited"/>
    <n v="704.3478260869565"/>
    <n v="0.14000000000000001"/>
    <n v="113.4"/>
    <n v="106.51500000000001"/>
    <n v="105.6521739130435"/>
    <x v="1"/>
    <s v="Performance"/>
    <s v="Cartera"/>
    <d v="2026-01-31T00:00:00"/>
    <n v="810"/>
    <n v="325.56717391304352"/>
    <x v="1"/>
    <x v="1"/>
  </r>
  <r>
    <d v="2026-01-14T00:00:00"/>
    <d v="2026-01-14T00:00:00"/>
    <d v="2026-01-27T00:00:00"/>
    <s v="2019/RQLC/0241/0003/R4"/>
    <s v="KURTUBA SOLAR SL. - B56110190"/>
    <s v="RASHER CORREDURIA DE SEGUROS - B14571434"/>
    <s v="Accredited Insurance (Europe) Limited"/>
    <n v="4173.913043478261"/>
    <n v="0.14000000000000001"/>
    <n v="672.00000000000011"/>
    <n v="631.20000000000016"/>
    <n v="626.08695652173901"/>
    <x v="1"/>
    <s v="Performance"/>
    <s v="Cartera"/>
    <d v="2026-01-31T00:00:00"/>
    <n v="4800"/>
    <n v="1929.2869565217393"/>
    <x v="1"/>
    <x v="1"/>
  </r>
  <r>
    <d v="2026-01-03T00:00:00"/>
    <d v="2026-01-03T00:00:00"/>
    <d v="2026-01-27T00:00:00"/>
    <s v="2022/RQLC/1013/0001/R3"/>
    <s v="GESTION DE LOGISTICA Y ADUANAS SOCIEDAD LIMITADA. - B06793079"/>
    <s v="ACT ACrediT Broker Correduría de Seguros SL - B86797198"/>
    <s v="Accredited Insurance (Europe) Limited"/>
    <n v="1260.8695652173913"/>
    <n v="0.1"/>
    <n v="145"/>
    <n v="248.67500000000001"/>
    <n v="189.13043478260875"/>
    <x v="1"/>
    <s v="Performance"/>
    <s v="Cartera"/>
    <d v="2026-01-31T00:00:00"/>
    <n v="1450"/>
    <n v="582.8054347826087"/>
    <x v="1"/>
    <x v="1"/>
  </r>
  <r>
    <d v="2026-01-10T00:00:00"/>
    <d v="2026-01-10T00:00:00"/>
    <d v="2026-01-27T00:00:00"/>
    <s v="2021/RQLC/0720/0013/R3"/>
    <s v="DAVEL FORMACIÓN Y CONSULTORÍA EN PRVENCIÓ DE RIESGOS LABORALES S.L. - B73531139"/>
    <s v="ORES Y BRYAN SL - B29435260"/>
    <s v="Accredited Insurance (Europe) Limited"/>
    <n v="212.7463130434783"/>
    <n v="0.17499999999999996"/>
    <n v="42.815195499999994"/>
    <n v="23.60952209000002"/>
    <n v="31.911946956521717"/>
    <x v="1"/>
    <s v="Performance"/>
    <s v="Cartera"/>
    <d v="2026-01-31T00:00:00"/>
    <n v="244.65826000000001"/>
    <n v="98.336664546521732"/>
    <x v="1"/>
    <x v="1"/>
  </r>
  <r>
    <d v="2026-01-18T00:00:00"/>
    <d v="2026-01-18T00:00:00"/>
    <d v="2026-01-30T00:00:00"/>
    <s v="2022/RQLC/0950/0009/R3"/>
    <s v="SOLUTIA INNOVAWORLD TECHNOLOGIES SOCIEDAD LIMITADA - B91447193"/>
    <s v="HOWDEN IBERIA SA - A82473349"/>
    <s v="Accredited Insurance (Europe) Limited"/>
    <n v="200"/>
    <n v="0.17499999999999999"/>
    <n v="40.25"/>
    <n v="22.195000000000007"/>
    <n v="30"/>
    <x v="1"/>
    <s v="Performance"/>
    <s v="Cartera"/>
    <d v="2026-01-31T00:00:00"/>
    <n v="230"/>
    <n v="92.445000000000007"/>
    <x v="1"/>
    <x v="1"/>
  </r>
  <r>
    <d v="2026-01-08T00:00:00"/>
    <d v="2026-01-08T00:00:00"/>
    <d v="2026-01-27T00:00:00"/>
    <s v="2021/RQLC/0849/0004/R2"/>
    <s v="CALA LLARGA SL - B97733299"/>
    <s v="ASEFILCO MEDIACION SL - B98302425"/>
    <s v="Accredited Insurance (Europe) Limited"/>
    <n v="348.97490434782611"/>
    <n v="0.12"/>
    <n v="48.1585368"/>
    <n v="60.800152710000013"/>
    <n v="52.346235652173903"/>
    <x v="1"/>
    <s v="Performance"/>
    <s v="Cartera"/>
    <d v="2026-01-31T00:00:00"/>
    <n v="401.32114000000001"/>
    <n v="161.3049251621739"/>
    <x v="1"/>
    <x v="1"/>
  </r>
  <r>
    <d v="2026-01-29T00:00:00"/>
    <d v="2026-01-29T00:00:00"/>
    <d v="2026-01-27T00:00:00"/>
    <s v="2024/RQLC/1159/0001/R2"/>
    <s v="BIOETANOL GALICIA SA - A36822146"/>
    <s v="HOWDEN IBERIA SA - A82473349"/>
    <s v="Accredited Insurance (Europe) Limited"/>
    <n v="697.46086956521754"/>
    <n v="0.17499999999999996"/>
    <n v="140.364"/>
    <n v="77.400720000000064"/>
    <n v="104.6191304347826"/>
    <x v="1"/>
    <s v="Performance"/>
    <s v="Cartera"/>
    <d v="2026-01-31T00:00:00"/>
    <n v="802.08000000000015"/>
    <n v="322.38385043478269"/>
    <x v="1"/>
    <x v="1"/>
  </r>
  <r>
    <d v="2026-01-02T00:00:00"/>
    <d v="2026-01-02T00:00:00"/>
    <d v="2026-01-27T00:00:00"/>
    <s v="2024/RQLC/1287/0001/R1"/>
    <s v="ONE EDEN ROYAL PALMS SL. - B93463164"/>
    <s v="ORES Y BRYAN SL - B29435260"/>
    <s v="Accredited Insurance (Europe) Limited"/>
    <n v="17895.958782608694"/>
    <n v="0.17499999999999999"/>
    <n v="3601.5617049999996"/>
    <n v="1986.0040259000002"/>
    <n v="2684.3938173913048"/>
    <x v="1"/>
    <s v="Performance"/>
    <s v="Cartera"/>
    <d v="2026-01-31T00:00:00"/>
    <n v="20580.352599999998"/>
    <n v="8271.9595482913046"/>
    <x v="1"/>
    <x v="1"/>
  </r>
  <r>
    <d v="2026-01-08T00:00:00"/>
    <d v="2026-01-08T00:00:00"/>
    <d v="2026-01-27T00:00:00"/>
    <s v="2025/RQLC/1290/0001/R1"/>
    <s v="IGNIS DATA SIGMA SL. - B16455636"/>
    <s v="AON IBERIA CORREDURIA DE SEGUROS Y REASEGUROS SOCIEDAD ANONIMA - A28109247"/>
    <s v="Accredited Insurance (Europe) Limited"/>
    <n v="40800"/>
    <n v="0.15"/>
    <n v="7038"/>
    <n v="5700.7800000000007"/>
    <n v="6120"/>
    <x v="1"/>
    <s v="Performance"/>
    <s v="Cartera"/>
    <d v="2026-01-31T00:00:00"/>
    <n v="46920"/>
    <n v="18858.78"/>
    <x v="1"/>
    <x v="1"/>
  </r>
  <r>
    <d v="2026-01-10T00:00:00"/>
    <d v="2026-01-10T00:00:00"/>
    <d v="2026-01-27T00:00:00"/>
    <s v="2025/RQLC/1291/0001/R1"/>
    <s v="INGENIO DESDE EL AIRE SOCIEDAD LIMITADA. - B99505810"/>
    <s v="ORES Y BRYAN SL - B29435260"/>
    <s v="Accredited Insurance (Europe) Limited"/>
    <n v="173.91"/>
    <n v="0.17499999999999999"/>
    <n v="35"/>
    <n v="19.299049750000002"/>
    <n v="26.09"/>
    <x v="1"/>
    <s v="Performance"/>
    <s v="Cartera"/>
    <d v="2026-01-31T00:00:00"/>
    <n v="200"/>
    <n v="80.389049749999998"/>
    <x v="1"/>
    <x v="1"/>
  </r>
  <r>
    <d v="2026-01-23T00:00:00"/>
    <d v="2026-01-23T00:00:00"/>
    <d v="2026-01-27T00:00:00"/>
    <s v="2024/RQLC/1282/0001/R1"/>
    <s v="MEDANO INGENIEROS SL - B38950929"/>
    <s v="ORES Y BRYAN SL - B29435260"/>
    <s v="Accredited Insurance (Europe) Limited"/>
    <n v="1826.0869565217392"/>
    <n v="0.17499999999999999"/>
    <n v="367.5"/>
    <n v="202.65000000000009"/>
    <n v="273.91304347826076"/>
    <x v="1"/>
    <s v="Performance"/>
    <s v="Cartera"/>
    <d v="2026-01-31T00:00:00"/>
    <n v="2100"/>
    <n v="844.06304347826085"/>
    <x v="1"/>
    <x v="1"/>
  </r>
  <r>
    <d v="2026-01-26T00:00:00"/>
    <d v="2026-01-26T00:00:00"/>
    <d v="2026-01-26T00:00:00"/>
    <s v="2024/RQAF/1260/0046"/>
    <s v="INVERCHULLERA GESTION, S.L. - B19319219"/>
    <s v="RASHER CORREDURIA DE SEGUROS - B14571434"/>
    <s v="Accredited Insurance (Europe) Limited"/>
    <n v="8506.76"/>
    <n v="0.14000000000000001"/>
    <n v="1369.5878000000002"/>
    <n v="1286.4353409999999"/>
    <n v="1276.01"/>
    <x v="1"/>
    <s v="Advance payment"/>
    <s v="Nueva producción"/>
    <d v="2026-01-31T00:00:00"/>
    <n v="9782.77"/>
    <n v="3932.0331409999999"/>
    <x v="1"/>
    <x v="1"/>
  </r>
  <r>
    <d v="2026-01-26T00:00:00"/>
    <d v="2026-01-26T00:00:00"/>
    <d v="2026-01-26T00:00:00"/>
    <s v="2024/RQAF/1260/0047"/>
    <s v="INVERCHULLERA GESTION, S.L. - B19319219"/>
    <s v="RASHER CORREDURIA DE SEGUROS - B14571434"/>
    <s v="Accredited Insurance (Europe) Limited"/>
    <n v="6108.7200000000012"/>
    <n v="0.14000000000000001"/>
    <n v="983.50280000000021"/>
    <n v="923.79230200000029"/>
    <n v="916.3"/>
    <x v="1"/>
    <s v="Advance payment"/>
    <s v="Nueva producción"/>
    <d v="2026-01-31T00:00:00"/>
    <n v="7025.0200000000013"/>
    <n v="2823.5951020000002"/>
    <x v="1"/>
    <x v="1"/>
  </r>
  <r>
    <d v="2026-01-26T00:00:00"/>
    <d v="2026-01-26T00:00:00"/>
    <d v="2026-01-26T00:00:00"/>
    <s v="2024/RQAF/1260/0048"/>
    <s v="INVERCHULLERA GESTION, S.L. - B19319219"/>
    <s v="RASHER CORREDURIA DE SEGUROS - B14571434"/>
    <s v="Accredited Insurance (Europe) Limited"/>
    <n v="8111.07"/>
    <n v="0.14000000000000001"/>
    <n v="1305.8808000000001"/>
    <n v="1226.5980307500001"/>
    <n v="1216.6500000000001"/>
    <x v="1"/>
    <s v="Advance payment"/>
    <s v="Nueva producción"/>
    <d v="2026-01-31T00:00:00"/>
    <n v="9327.7199999999993"/>
    <n v="3749.1288307500004"/>
    <x v="1"/>
    <x v="1"/>
  </r>
  <r>
    <d v="2026-01-27T00:00:00"/>
    <d v="2026-01-28T00:00:00"/>
    <d v="2026-01-28T00:00:00"/>
    <s v="2025/RQLC/1317/0002"/>
    <s v="CONSTRUCCIONES Y PROMOCIONES PABEGOM S.L. - B73402075"/>
    <s v="ORES Y BRYAN SL - B29435260"/>
    <s v="Accredited Insurance (Europe) Limited"/>
    <n v="173.91"/>
    <n v="0.17499999999999999"/>
    <n v="35"/>
    <n v="19.299049750000002"/>
    <n v="26.09"/>
    <x v="1"/>
    <s v="Performance"/>
    <s v="Nueva producción"/>
    <d v="2026-01-31T00:00:00"/>
    <n v="200"/>
    <n v="80.389049749999998"/>
    <x v="1"/>
    <x v="1"/>
  </r>
  <r>
    <d v="2026-01-27T00:00:00"/>
    <d v="2026-01-29T00:00:00"/>
    <d v="2026-01-29T00:00:00"/>
    <s v="2025/RQLC/1384/0001"/>
    <s v="BCM GESTION DE SERVICIOS SL - B29831112"/>
    <s v="ORES Y BRYAN SL - B29435260"/>
    <s v="Accredited Insurance (Europe) Limited"/>
    <n v="1849.41"/>
    <n v="0.17499999999999999"/>
    <n v="372.19350000000003"/>
    <n v="205.23853725000009"/>
    <n v="277.41000000000003"/>
    <x v="1"/>
    <s v="Performance"/>
    <s v="Nueva producción"/>
    <d v="2026-01-31T00:00:00"/>
    <n v="2126.8200000000002"/>
    <n v="854.8420372500002"/>
    <x v="1"/>
    <x v="1"/>
  </r>
  <r>
    <d v="2022-12-02T00:00:00"/>
    <d v="2022-12-02T00:00:00"/>
    <d v="2026-02-04T00:00:00"/>
    <s v="2021/RQLC/0768/0002/R1"/>
    <s v="CONSTRUCCIONES GOVASUR INGENIEROS ASOCIADOS SL. - B93384626"/>
    <s v="ORES Y BRYAN SL - B29435260"/>
    <s v="Accredited Insurance (Europe) Limited"/>
    <n v="212.80539130434803"/>
    <n v="0.17500000000000013"/>
    <n v="42.827085000000075"/>
    <n v="20.908129695652157"/>
    <n v="31.920808695652202"/>
    <x v="1"/>
    <s v="Performance"/>
    <s v="Cartera"/>
    <d v="2026-02-28T00:00:00"/>
    <n v="244.72620000000023"/>
    <n v="95.65602339130443"/>
    <x v="0"/>
    <x v="2"/>
  </r>
  <r>
    <d v="2025-01-01T00:00:00"/>
    <d v="2025-01-01T00:00:00"/>
    <d v="2026-02-09T00:00:00"/>
    <s v="2021/RQLC/0900/0003/R3"/>
    <s v="LEO PEREGILES - B01623198"/>
    <s v="RASHER CORREDURIA DE SEGUROS - B14571434"/>
    <s v="Accredited Insurance (Europe) Limited"/>
    <n v="23478.260869565202"/>
    <n v="0.12173925925925934"/>
    <n v="3286.96"/>
    <n v="3996.5834782608636"/>
    <n v="3521.7391304347798"/>
    <x v="1"/>
    <s v="Performance"/>
    <s v="Cartera"/>
    <d v="2026-02-28T00:00:00"/>
    <n v="26999.999999999982"/>
    <n v="10805.282608695643"/>
    <x v="1"/>
    <x v="0"/>
  </r>
  <r>
    <d v="2025-01-01T00:00:00"/>
    <d v="2025-01-01T00:00:00"/>
    <d v="2026-02-09T00:00:00"/>
    <s v="2021/RQLC/0900/0002/R3"/>
    <s v="LEO PEREGILES - B01623198"/>
    <s v="RASHER CORREDURIA DE SEGUROS - B14571434"/>
    <s v="Accredited Insurance (Europe) Limited"/>
    <n v="14086.956521739099"/>
    <n v="0.12173888888888913"/>
    <n v="1972.17"/>
    <n v="2397.9560869565112"/>
    <n v="2113.04347826087"/>
    <x v="1"/>
    <s v="Performance"/>
    <s v="Cartera"/>
    <d v="2026-02-28T00:00:00"/>
    <n v="16199.999999999969"/>
    <n v="6483.1695652173812"/>
    <x v="1"/>
    <x v="0"/>
  </r>
  <r>
    <d v="2025-01-01T00:00:00"/>
    <d v="2025-01-01T00:00:00"/>
    <d v="2026-02-09T00:00:00"/>
    <s v="2021/RQLC/0899/0004/R3"/>
    <s v="PICO LIEBRES CABEZUELAS - B01623206"/>
    <s v="RASHER CORREDURIA DE SEGUROS - B14571434"/>
    <s v="Accredited Insurance (Europe) Limited"/>
    <n v="4173.9130434782601"/>
    <n v="0.12173958333333336"/>
    <n v="584.35"/>
    <n v="710.50217391304307"/>
    <n v="626.08695652173901"/>
    <x v="1"/>
    <s v="Performance"/>
    <s v="Cartera"/>
    <d v="2026-02-28T00:00:00"/>
    <n v="4799.9999999999991"/>
    <n v="1920.9391304347821"/>
    <x v="1"/>
    <x v="0"/>
  </r>
  <r>
    <d v="2025-01-01T00:00:00"/>
    <d v="2025-01-01T00:00:00"/>
    <d v="2026-02-09T00:00:00"/>
    <s v="2021/RQLC/0898/0003/R3"/>
    <s v="CASSIOPEA LANTUENO - B88645056"/>
    <s v="RASHER CORREDURIA DE SEGUROS - B14571434"/>
    <s v="Accredited Insurance (Europe) Limited"/>
    <n v="23478.260869565202"/>
    <n v="0.14018259259259269"/>
    <n v="3784.93"/>
    <n v="3498.6134782608638"/>
    <n v="3521.7391304347798"/>
    <x v="1"/>
    <s v="Performance"/>
    <s v="Cartera"/>
    <d v="2026-02-28T00:00:00"/>
    <n v="26999.999999999982"/>
    <n v="10805.282608695643"/>
    <x v="1"/>
    <x v="0"/>
  </r>
  <r>
    <d v="2025-01-01T00:00:00"/>
    <d v="2025-01-01T00:00:00"/>
    <d v="2026-02-09T00:00:00"/>
    <s v="2021/RQLC/0898/0002/R3"/>
    <s v="CASSIOPEA LANTUENO - B88645056"/>
    <s v="RASHER CORREDURIA DE SEGUROS - B14571434"/>
    <s v="Accredited Insurance (Europe) Limited"/>
    <n v="14086.956521739099"/>
    <n v="0.14018271604938298"/>
    <n v="2270.96"/>
    <n v="2099.1660869565112"/>
    <n v="2113.04347826087"/>
    <x v="1"/>
    <s v="Performance"/>
    <s v="Cartera"/>
    <d v="2026-02-28T00:00:00"/>
    <n v="16199.999999999969"/>
    <n v="6483.1695652173812"/>
    <x v="1"/>
    <x v="0"/>
  </r>
  <r>
    <d v="2025-01-01T00:00:00"/>
    <d v="2025-01-01T00:00:00"/>
    <d v="2026-02-09T00:00:00"/>
    <s v="2021/RQLC/0897/0003/R3"/>
    <s v="BRAÑADESELLA PRADERAS ALTAS - B88632302"/>
    <s v="RASHER CORREDURIA DE SEGUROS - B14571434"/>
    <s v="Accredited Insurance (Europe) Limited"/>
    <n v="23478.260869565202"/>
    <n v="0.14018259259259269"/>
    <n v="3784.93"/>
    <n v="3498.6134782608638"/>
    <n v="3521.7391304347798"/>
    <x v="1"/>
    <s v="Performance"/>
    <s v="Cartera"/>
    <d v="2026-02-28T00:00:00"/>
    <n v="26999.999999999982"/>
    <n v="10805.282608695643"/>
    <x v="1"/>
    <x v="0"/>
  </r>
  <r>
    <d v="2025-01-01T00:00:00"/>
    <d v="2025-01-01T00:00:00"/>
    <d v="2026-02-09T00:00:00"/>
    <s v="2021/RQLC/0897/0002/R3"/>
    <s v="BRAÑADESELLA PRADERAS ALTAS - B88632302"/>
    <s v="RASHER CORREDURIA DE SEGUROS - B14571434"/>
    <s v="Accredited Insurance (Europe) Limited"/>
    <n v="14086.956521739099"/>
    <n v="0.14018271604938298"/>
    <n v="2270.96"/>
    <n v="2099.1660869565112"/>
    <n v="2113.04347826087"/>
    <x v="1"/>
    <s v="Performance"/>
    <s v="Cartera"/>
    <d v="2026-02-28T00:00:00"/>
    <n v="16199.999999999969"/>
    <n v="6483.1695652173812"/>
    <x v="1"/>
    <x v="0"/>
  </r>
  <r>
    <d v="2025-01-01T00:00:00"/>
    <d v="2025-01-01T00:00:00"/>
    <d v="2026-02-09T00:00:00"/>
    <s v="2021/RQLC/0896/0003/R3"/>
    <s v="PINAREJO I SAN CRISTÓBAL - B88627658"/>
    <s v="RASHER CORREDURIA DE SEGUROS - B14571434"/>
    <s v="Accredited Insurance (Europe) Limited"/>
    <n v="23478.260869565202"/>
    <n v="0.12173925925925934"/>
    <n v="3286.96"/>
    <n v="3996.5834782608636"/>
    <n v="3521.7391304347798"/>
    <x v="1"/>
    <s v="Performance"/>
    <s v="Cartera"/>
    <d v="2026-02-28T00:00:00"/>
    <n v="26999.999999999982"/>
    <n v="10805.282608695643"/>
    <x v="1"/>
    <x v="0"/>
  </r>
  <r>
    <d v="2025-01-01T00:00:00"/>
    <d v="2025-01-01T00:00:00"/>
    <d v="2026-02-09T00:00:00"/>
    <s v="2021/RQLC/0896/0002/R3"/>
    <s v="PINAREJO I SAN CRISTÓBAL - B88627658"/>
    <s v="RASHER CORREDURIA DE SEGUROS - B14571434"/>
    <s v="Accredited Insurance (Europe) Limited"/>
    <n v="14086.956521739099"/>
    <n v="0.12173888888888913"/>
    <n v="1972.17"/>
    <n v="2397.9560869565112"/>
    <n v="2113.04347826087"/>
    <x v="1"/>
    <s v="Performance"/>
    <s v="Cartera"/>
    <d v="2026-02-28T00:00:00"/>
    <n v="16199.999999999969"/>
    <n v="6483.1695652173812"/>
    <x v="1"/>
    <x v="0"/>
  </r>
  <r>
    <d v="2025-01-01T00:00:00"/>
    <d v="2025-01-01T00:00:00"/>
    <d v="2026-02-09T00:00:00"/>
    <s v="2021/RQLC/0895/0003/R3"/>
    <s v="LA HERRADA MAREAS II - B88624754"/>
    <s v="RASHER CORREDURIA DE SEGUROS - B14571434"/>
    <s v="Accredited Insurance (Europe) Limited"/>
    <n v="23478.260869565202"/>
    <n v="0.14018259259259269"/>
    <n v="3784.93"/>
    <n v="3498.6134782608638"/>
    <n v="3521.7391304347798"/>
    <x v="1"/>
    <s v="Performance"/>
    <s v="Cartera"/>
    <d v="2026-02-28T00:00:00"/>
    <n v="26999.999999999982"/>
    <n v="10805.282608695643"/>
    <x v="1"/>
    <x v="0"/>
  </r>
  <r>
    <d v="2025-01-01T00:00:00"/>
    <d v="2025-01-01T00:00:00"/>
    <d v="2026-02-09T00:00:00"/>
    <s v="2021/RQLC/0895/0002/R3"/>
    <s v="LA HERRADA MAREAS II - B88624754"/>
    <s v="RASHER CORREDURIA DE SEGUROS - B14571434"/>
    <s v="Accredited Insurance (Europe) Limited"/>
    <n v="14086.956521739099"/>
    <n v="0.14018271604938298"/>
    <n v="2270.96"/>
    <n v="2099.1660869565112"/>
    <n v="2113.04347826087"/>
    <x v="1"/>
    <s v="Performance"/>
    <s v="Cartera"/>
    <d v="2026-02-28T00:00:00"/>
    <n v="16199.999999999969"/>
    <n v="6483.1695652173812"/>
    <x v="1"/>
    <x v="0"/>
  </r>
  <r>
    <d v="2025-01-01T00:00:00"/>
    <d v="2025-01-01T00:00:00"/>
    <d v="2026-02-09T00:00:00"/>
    <s v="2021/RQLC/0891/0006/R3"/>
    <s v="LA RASA ENERGY SLU - B74451436"/>
    <s v="RASHER CORREDURIA DE SEGUROS - B14571434"/>
    <s v="Accredited Insurance (Europe) Limited"/>
    <n v="26086.956521739099"/>
    <n v="0.12173933333333345"/>
    <n v="3652.18"/>
    <n v="4440.6460869565108"/>
    <n v="3913.04347826087"/>
    <x v="1"/>
    <s v="Performance"/>
    <s v="Cartera"/>
    <d v="2026-02-28T00:00:00"/>
    <n v="29999.999999999971"/>
    <n v="12005.869565217381"/>
    <x v="1"/>
    <x v="0"/>
  </r>
  <r>
    <d v="2025-01-01T00:00:00"/>
    <d v="2025-01-01T00:00:00"/>
    <d v="2026-02-09T00:00:00"/>
    <s v="2021/RQLC/0891/0005/R3"/>
    <s v="LA RASA ENERGY SLU - B74451436"/>
    <s v="RASHER CORREDURIA DE SEGUROS - B14571434"/>
    <s v="Accredited Insurance (Europe) Limited"/>
    <n v="15652.173913043502"/>
    <n v="0.12173944444444429"/>
    <n v="2191.31"/>
    <n v="2664.3856521739203"/>
    <n v="2347.8260869565202"/>
    <x v="1"/>
    <s v="Performance"/>
    <s v="Cartera"/>
    <d v="2026-02-28T00:00:00"/>
    <n v="18000.000000000022"/>
    <n v="7203.5217391304404"/>
    <x v="1"/>
    <x v="0"/>
  </r>
  <r>
    <d v="2025-03-22T00:00:00"/>
    <d v="2025-03-22T00:00:00"/>
    <d v="2026-02-09T00:00:00"/>
    <s v="2021/RQLC/0722/0002/R4"/>
    <s v="CAPITAL ENERGY SLU - B83410183"/>
    <s v="RASHER CORREDURIA DE SEGUROS - B14571434"/>
    <s v="Accredited Insurance (Europe) Limited"/>
    <n v="13208.71"/>
    <n v="0.1217393021724819"/>
    <n v="1849.22"/>
    <n v="2248.4520597499995"/>
    <n v="1981.29"/>
    <x v="1"/>
    <s v="Performance"/>
    <s v="Cartera"/>
    <d v="2026-02-28T00:00:00"/>
    <n v="15190"/>
    <n v="6078.9620597499998"/>
    <x v="6"/>
    <x v="0"/>
  </r>
  <r>
    <d v="2025-03-22T00:00:00"/>
    <d v="2025-03-22T00:00:00"/>
    <d v="2026-02-09T00:00:00"/>
    <s v="2021/RQLC/0722/0001/R4"/>
    <s v="CAPITAL ENERGY SLU - B83410183"/>
    <s v="RASHER CORREDURIA DE SEGUROS - B14571434"/>
    <s v="Accredited Insurance (Europe) Limited"/>
    <n v="13208.71"/>
    <n v="0.1217393021724819"/>
    <n v="1849.22"/>
    <n v="2248.4520597499995"/>
    <n v="1981.29"/>
    <x v="1"/>
    <s v="Performance"/>
    <s v="Cartera"/>
    <d v="2026-02-28T00:00:00"/>
    <n v="15190"/>
    <n v="6078.9620597499998"/>
    <x v="6"/>
    <x v="0"/>
  </r>
  <r>
    <d v="2025-11-29T00:00:00"/>
    <d v="2025-11-29T00:00:00"/>
    <d v="2026-02-16T00:00:00"/>
    <s v="2018/RQLC/0180/0005/R6"/>
    <s v="OLIVIA CARBURANTES S.L. - B72359573"/>
    <s v="HOWDEN RISK SOLUTIONS SA - A28098382"/>
    <s v="Accredited Insurance (Europe) Limited"/>
    <n v="339.13043478260897"/>
    <n v="0.17499999999999991"/>
    <n v="68.250000000000014"/>
    <n v="36.95673913043484"/>
    <n v="50.869565217391298"/>
    <x v="1"/>
    <s v="Performance"/>
    <s v="Cartera"/>
    <d v="2026-02-28T00:00:00"/>
    <n v="390.00000000000028"/>
    <n v="156.07630434782615"/>
    <x v="4"/>
    <x v="0"/>
  </r>
  <r>
    <d v="2025-11-16T00:00:00"/>
    <d v="2025-11-16T00:00:00"/>
    <d v="2026-02-02T00:00:00"/>
    <s v="2019/RQLC/0326/0036/R2"/>
    <s v="DURALIA INVESTMENTS, S.L. - B88378997"/>
    <s v="AON IBERIA CORREDURIA DE SEGUROS Y REASEGUROS SOCIEDAD ANONIMA - A28109247"/>
    <s v="Accredited Insurance (Europe) Limited"/>
    <n v="1808.6956521739103"/>
    <n v="0.15000000000000011"/>
    <n v="311.99999999999983"/>
    <n v="249.10260869565144"/>
    <n v="271.304347826087"/>
    <x v="1"/>
    <s v="Performance"/>
    <s v="Cartera"/>
    <d v="2026-02-28T00:00:00"/>
    <n v="2079.9999999999973"/>
    <n v="832.40695652173827"/>
    <x v="4"/>
    <x v="0"/>
  </r>
  <r>
    <d v="2026-02-02T00:00:00"/>
    <d v="2026-02-03T00:00:00"/>
    <d v="2026-02-03T00:00:00"/>
    <s v="2025/RQLC/1403/0001"/>
    <s v="ASYOTA ASFALTOS Y OBRAS SL. - B38420121"/>
    <s v="ORES Y BRYAN SL - B29435260"/>
    <s v="Accredited Insurance (Europe) Limited"/>
    <n v="1304.3499999999999"/>
    <n v="0.17499999999999999"/>
    <n v="262.5"/>
    <n v="144.75067875000002"/>
    <n v="195.65"/>
    <x v="1"/>
    <s v="Performance"/>
    <s v="Nueva producción"/>
    <d v="2026-02-28T00:00:00"/>
    <n v="1500"/>
    <n v="602.90067875"/>
    <x v="7"/>
    <x v="1"/>
  </r>
  <r>
    <d v="2025-12-22T00:00:00"/>
    <d v="2025-12-22T00:00:00"/>
    <d v="2026-02-19T00:00:00"/>
    <s v="2019/RQLC/0458/0051/R2"/>
    <s v="ATHISA MEDIO AMBIENTE, S.A.U. - A18485516"/>
    <s v="ORES Y BRYAN SL - B29435260"/>
    <s v="Accredited Insurance (Europe) Limited"/>
    <n v="173.91"/>
    <n v="0.17499999999999999"/>
    <n v="35"/>
    <n v="18.951229749999996"/>
    <n v="26.09"/>
    <x v="1"/>
    <s v="Performance"/>
    <s v="Cartera"/>
    <d v="2026-02-28T00:00:00"/>
    <n v="200"/>
    <n v="80.041229749999999"/>
    <x v="0"/>
    <x v="0"/>
  </r>
  <r>
    <d v="2025-12-03T00:00:00"/>
    <d v="2025-12-03T00:00:00"/>
    <d v="2026-02-19T00:00:00"/>
    <s v="2024/RQLC/1206/0002/R1"/>
    <s v="FRESNO SOSTENIBLE, S.L.  - B67959338"/>
    <s v="AON IBERIA CORREDURIA DE SEGUROS Y REASEGUROS SOCIEDAD ANONIMA - A28109247"/>
    <s v="Accredited Insurance (Europe) Limited"/>
    <n v="9391.3043478260897"/>
    <n v="0.14999999999999944"/>
    <n v="1619.9999999999939"/>
    <n v="1293.4173913043544"/>
    <n v="1408.69565217391"/>
    <x v="1"/>
    <s v="Performance"/>
    <s v="Cartera"/>
    <d v="2026-02-28T00:00:00"/>
    <n v="10800"/>
    <n v="4322.1130434782581"/>
    <x v="0"/>
    <x v="0"/>
  </r>
  <r>
    <d v="2025-12-02T00:00:00"/>
    <d v="2025-12-02T00:00:00"/>
    <d v="2026-02-19T00:00:00"/>
    <s v="2024/RQLC/1206/0001/R1"/>
    <s v="FRESNO SOSTENIBLE, S.L.  - B67959338"/>
    <s v="AON IBERIA CORREDURIA DE SEGUROS Y REASEGUROS SOCIEDAD ANONIMA - A28109247"/>
    <s v="Accredited Insurance (Europe) Limited"/>
    <n v="20869.565217391304"/>
    <n v="0.15000000000000011"/>
    <n v="3600.0000000000014"/>
    <n v="2874.2608695652157"/>
    <n v="3130.4347826086905"/>
    <x v="1"/>
    <s v="Performance"/>
    <s v="Cartera"/>
    <d v="2026-02-28T00:00:00"/>
    <n v="23999.999999999993"/>
    <n v="9604.6956521739085"/>
    <x v="0"/>
    <x v="0"/>
  </r>
  <r>
    <d v="2025-12-02T00:00:00"/>
    <d v="2025-12-02T00:00:00"/>
    <d v="2026-02-19T00:00:00"/>
    <s v="2024/RQLC/1206/0006/R1"/>
    <s v="GABRIEL ENERGÍA, S.L.  - B01591395"/>
    <s v="AON IBERIA CORREDURIA DE SEGUROS Y REASEGUROS SOCIEDAD ANONIMA - A28109247"/>
    <s v="Accredited Insurance (Europe) Limited"/>
    <n v="9391.3043478260897"/>
    <n v="0.14999999999999944"/>
    <n v="1619.9999999999939"/>
    <n v="1293.4173913043544"/>
    <n v="1408.69565217391"/>
    <x v="1"/>
    <s v="Performance"/>
    <s v="Cartera"/>
    <d v="2026-02-28T00:00:00"/>
    <n v="10800"/>
    <n v="4322.1130434782581"/>
    <x v="0"/>
    <x v="0"/>
  </r>
  <r>
    <d v="2025-12-02T00:00:00"/>
    <d v="2025-12-02T00:00:00"/>
    <d v="2026-02-19T00:00:00"/>
    <s v="2024/RQLC/1206/0004/R1"/>
    <s v="TALES SOSTENIBLE, S.L.  - B42919464"/>
    <s v="AON IBERIA CORREDURIA DE SEGUROS Y REASEGUROS SOCIEDAD ANONIMA - A28109247"/>
    <s v="Accredited Insurance (Europe) Limited"/>
    <n v="9391.3043478260897"/>
    <n v="0.14999999999999944"/>
    <n v="1619.9999999999939"/>
    <n v="1293.4173913043544"/>
    <n v="1408.69565217391"/>
    <x v="1"/>
    <s v="Performance"/>
    <s v="Cartera"/>
    <d v="2026-02-28T00:00:00"/>
    <n v="10800"/>
    <n v="4322.1130434782581"/>
    <x v="0"/>
    <x v="0"/>
  </r>
  <r>
    <d v="2025-12-02T00:00:00"/>
    <d v="2025-12-02T00:00:00"/>
    <d v="2026-02-19T00:00:00"/>
    <s v="2024/RQLC/1206/0005/R1"/>
    <s v="GABRIEL ENERGÍA, S.L.  - B01591395"/>
    <s v="AON IBERIA CORREDURIA DE SEGUROS Y REASEGUROS SOCIEDAD ANONIMA - A28109247"/>
    <s v="Accredited Insurance (Europe) Limited"/>
    <n v="20869.565217391304"/>
    <n v="0.15000000000000011"/>
    <n v="3600.0000000000014"/>
    <n v="2874.2608695652157"/>
    <n v="3130.4347826086905"/>
    <x v="1"/>
    <s v="Performance"/>
    <s v="Cartera"/>
    <d v="2026-02-28T00:00:00"/>
    <n v="23999.999999999993"/>
    <n v="9604.6956521739085"/>
    <x v="0"/>
    <x v="0"/>
  </r>
  <r>
    <d v="2025-12-02T00:00:00"/>
    <d v="2025-12-02T00:00:00"/>
    <d v="2026-02-19T00:00:00"/>
    <s v="2024/RQLC/1206/0003/R1"/>
    <s v="TALES SOSTENIBLE, S.L.  - B42919464"/>
    <s v="AON IBERIA CORREDURIA DE SEGUROS Y REASEGUROS SOCIEDAD ANONIMA - A28109247"/>
    <s v="Accredited Insurance (Europe) Limited"/>
    <n v="20869.565217391304"/>
    <n v="0.15000000000000011"/>
    <n v="3600.0000000000014"/>
    <n v="2874.2608695652157"/>
    <n v="3130.4347826086905"/>
    <x v="1"/>
    <s v="Performance"/>
    <s v="Cartera"/>
    <d v="2026-02-28T00:00:00"/>
    <n v="23999.999999999993"/>
    <n v="9604.6956521739085"/>
    <x v="0"/>
    <x v="0"/>
  </r>
  <r>
    <d v="2025-12-12T00:00:00"/>
    <d v="2025-12-12T00:00:00"/>
    <d v="2026-02-16T00:00:00"/>
    <s v="2024/RQLC/1270/0001/R1"/>
    <s v="BESIDE DESARROLLO 1 S.L. - B05544069"/>
    <s v="HOWDEN IBERIA SA - A82473349"/>
    <s v="Accredited Insurance (Europe) Limited"/>
    <n v="2211.1304347826099"/>
    <n v="0.17499999999999963"/>
    <n v="444.98999999999927"/>
    <n v="240.95793913043582"/>
    <n v="331.66956521739098"/>
    <x v="1"/>
    <s v="Performance"/>
    <s v="Cartera"/>
    <d v="2026-02-28T00:00:00"/>
    <n v="2542.8000000000011"/>
    <n v="1017.6175043478261"/>
    <x v="0"/>
    <x v="0"/>
  </r>
  <r>
    <d v="2024-02-20T00:00:00"/>
    <d v="2026-01-21T00:00:00"/>
    <d v="2026-02-11T00:00:00"/>
    <s v="2023/RQAF/1150/0055/SUP1"/>
    <s v="ONE EDEN SERENITY, S.L.U. - B93725497"/>
    <s v="ORES Y BRYAN SL - B29435260"/>
    <s v="Accredited Insurance (Europe) Limited"/>
    <n v="1858.5099999999998"/>
    <n v="0.17499999999999999"/>
    <n v="374.02399999999994"/>
    <n v="206.24928475000007"/>
    <n v="278.77"/>
    <x v="1"/>
    <s v="Advance payment"/>
    <s v="Cartera"/>
    <d v="2026-02-28T00:00:00"/>
    <n v="2137.2799999999997"/>
    <n v="859.04328475"/>
    <x v="1"/>
    <x v="1"/>
  </r>
  <r>
    <d v="2023-03-15T00:00:00"/>
    <d v="2026-01-01T00:00:00"/>
    <d v="2026-02-10T00:00:00"/>
    <s v="2023/RQAF/1027/0001/SUP4"/>
    <s v="LA FINCA DE JASMINE SL. - B93714822"/>
    <s v="ORES Y BRYAN SL - B29435260"/>
    <s v="Accredited Insurance (Europe) Limited"/>
    <n v="3010.7799999999997"/>
    <n v="0.17499999999999999"/>
    <n v="605.91824999999994"/>
    <n v="295.81035999999995"/>
    <n v="451.61"/>
    <x v="1"/>
    <s v="Advance payment"/>
    <s v="Cartera"/>
    <d v="2026-02-28T00:00:00"/>
    <n v="3462.39"/>
    <n v="1353.3386099999998"/>
    <x v="1"/>
    <x v="1"/>
  </r>
  <r>
    <d v="2023-03-15T00:00:00"/>
    <d v="2026-01-01T00:00:00"/>
    <d v="2026-02-10T00:00:00"/>
    <s v="2023/RQAF/1027/0002/SUP3"/>
    <s v="LA FINCA DE JASMINE SL. - B93714822"/>
    <s v="ORES Y BRYAN SL - B29435260"/>
    <s v="Accredited Insurance (Europe) Limited"/>
    <n v="2994.32"/>
    <n v="0.17499999999999999"/>
    <n v="602.60725000000002"/>
    <n v="294.19159000000002"/>
    <n v="449.15"/>
    <x v="1"/>
    <s v="Advance payment"/>
    <s v="Cartera"/>
    <d v="2026-02-28T00:00:00"/>
    <n v="3443.4700000000003"/>
    <n v="1345.94884"/>
    <x v="1"/>
    <x v="1"/>
  </r>
  <r>
    <d v="2023-03-15T00:00:00"/>
    <d v="2026-01-01T00:00:00"/>
    <d v="2026-02-10T00:00:00"/>
    <s v="2023/RQAF/1027/0003/SUP3"/>
    <s v="LA FINCA DE JASMINE SL. - B93714822"/>
    <s v="ORES Y BRYAN SL - B29435260"/>
    <s v="Accredited Insurance (Europe) Limited"/>
    <n v="3182.56"/>
    <n v="0.17500000000000002"/>
    <n v="640.48950000000002"/>
    <n v="312.68721999999991"/>
    <n v="477.37999999999994"/>
    <x v="1"/>
    <s v="Advance payment"/>
    <s v="Cartera"/>
    <d v="2026-02-28T00:00:00"/>
    <n v="3659.94"/>
    <n v="1430.5567199999998"/>
    <x v="1"/>
    <x v="1"/>
  </r>
  <r>
    <d v="2023-03-15T00:00:00"/>
    <d v="2026-01-01T00:00:00"/>
    <d v="2026-02-10T00:00:00"/>
    <s v="2023/RQAF/1027/0004/SUP3"/>
    <s v="LA FINCA DE JASMINE SL. - B93714822"/>
    <s v="ORES Y BRYAN SL - B29435260"/>
    <s v="Accredited Insurance (Europe) Limited"/>
    <n v="2897.38"/>
    <n v="0.17499999999999999"/>
    <n v="583.09649999999999"/>
    <n v="284.66881000000001"/>
    <n v="434.6"/>
    <x v="1"/>
    <s v="Advance payment"/>
    <s v="Cartera"/>
    <d v="2026-02-28T00:00:00"/>
    <n v="3331.98"/>
    <n v="1302.3653100000001"/>
    <x v="1"/>
    <x v="1"/>
  </r>
  <r>
    <d v="2023-03-15T00:00:00"/>
    <d v="2026-01-01T00:00:00"/>
    <d v="2026-02-10T00:00:00"/>
    <s v="2023/RQAF/1027/0005/SUP3"/>
    <s v="LA FINCA DE JASMINE SL. - B93714822"/>
    <s v="ORES Y BRYAN SL - B29435260"/>
    <s v="Accredited Insurance (Europe) Limited"/>
    <n v="3278.0999999999995"/>
    <n v="0.17500000000000002"/>
    <n v="659.71674999999993"/>
    <n v="322.07419999999991"/>
    <n v="491.71"/>
    <x v="1"/>
    <s v="Advance payment"/>
    <s v="Cartera"/>
    <d v="2026-02-28T00:00:00"/>
    <n v="3769.8099999999995"/>
    <n v="1473.5009499999999"/>
    <x v="1"/>
    <x v="1"/>
  </r>
  <r>
    <d v="2023-03-15T00:00:00"/>
    <d v="2026-01-01T00:00:00"/>
    <d v="2026-02-10T00:00:00"/>
    <s v="2023/RQAF/1027/0006/SUP4"/>
    <s v="LA FINCA DE JASMINE SL. - B93714822"/>
    <s v="ORES Y BRYAN SL - B29435260"/>
    <s v="Accredited Insurance (Europe) Limited"/>
    <n v="3054.8499999999995"/>
    <n v="0.17500000000000002"/>
    <n v="614.78724999999997"/>
    <n v="300.14032499999985"/>
    <n v="458.22"/>
    <x v="1"/>
    <s v="Advance payment"/>
    <s v="Cartera"/>
    <d v="2026-02-28T00:00:00"/>
    <n v="3513.0699999999997"/>
    <n v="1373.147575"/>
    <x v="1"/>
    <x v="1"/>
  </r>
  <r>
    <d v="2023-03-15T00:00:00"/>
    <d v="2026-01-01T00:00:00"/>
    <d v="2026-02-10T00:00:00"/>
    <s v="2023/RQAF/1027/0007/SUP3"/>
    <s v="LA FINCA DE JASMINE SL. - B93714822"/>
    <s v="ORES Y BRYAN SL - B29435260"/>
    <s v="Accredited Insurance (Europe) Limited"/>
    <n v="3165.9000000000005"/>
    <n v="0.17499999999999996"/>
    <n v="637.13649999999996"/>
    <n v="311.05055000000016"/>
    <n v="474.87999999999994"/>
    <x v="1"/>
    <s v="Advance payment"/>
    <s v="Cartera"/>
    <d v="2026-02-28T00:00:00"/>
    <n v="3640.7800000000007"/>
    <n v="1423.0670500000001"/>
    <x v="1"/>
    <x v="1"/>
  </r>
  <r>
    <d v="2023-03-15T00:00:00"/>
    <d v="2026-01-01T00:00:00"/>
    <d v="2026-02-10T00:00:00"/>
    <s v="2023/RQAF/1027/0008/SUP3"/>
    <s v="LA FINCA DE JASMINE SL. - B93714822"/>
    <s v="ORES Y BRYAN SL - B29435260"/>
    <s v="Accredited Insurance (Europe) Limited"/>
    <n v="3160.58"/>
    <n v="0.17499999999999999"/>
    <n v="636.06549999999993"/>
    <n v="310.52821000000006"/>
    <n v="474.08"/>
    <x v="1"/>
    <s v="Advance payment"/>
    <s v="Cartera"/>
    <d v="2026-02-28T00:00:00"/>
    <n v="3634.66"/>
    <n v="1420.67371"/>
    <x v="1"/>
    <x v="1"/>
  </r>
  <r>
    <d v="2023-03-15T00:00:00"/>
    <d v="2026-01-01T00:00:00"/>
    <d v="2026-02-10T00:00:00"/>
    <s v="2023/RQAF/1027/0009/SUP3"/>
    <s v="LA FINCA DE JASMINE SL. - B93714822"/>
    <s v="ORES Y BRYAN SL - B29435260"/>
    <s v="Accredited Insurance (Europe) Limited"/>
    <n v="3176.06"/>
    <n v="0.17499999999999999"/>
    <n v="639.18224999999995"/>
    <n v="312.04772000000003"/>
    <n v="476.40999999999997"/>
    <x v="1"/>
    <s v="Advance payment"/>
    <s v="Cartera"/>
    <d v="2026-02-28T00:00:00"/>
    <n v="3652.47"/>
    <n v="1427.6399699999999"/>
    <x v="1"/>
    <x v="1"/>
  </r>
  <r>
    <d v="2023-03-15T00:00:00"/>
    <d v="2026-01-01T00:00:00"/>
    <d v="2026-02-10T00:00:00"/>
    <s v="2023/RQAF/1027/0010/SUP3"/>
    <s v="LA FINCA DE JASMINE SL. - B93714822"/>
    <s v="ORES Y BRYAN SL - B29435260"/>
    <s v="Accredited Insurance (Europe) Limited"/>
    <n v="3361.55"/>
    <n v="0.17499999999999999"/>
    <n v="676.51149999999996"/>
    <n v="330.27272500000004"/>
    <n v="504.22999999999996"/>
    <x v="1"/>
    <s v="Advance payment"/>
    <s v="Cartera"/>
    <d v="2026-02-28T00:00:00"/>
    <n v="3865.78"/>
    <n v="1511.0142249999999"/>
    <x v="1"/>
    <x v="1"/>
  </r>
  <r>
    <d v="2023-03-15T00:00:00"/>
    <d v="2026-01-01T00:00:00"/>
    <d v="2026-02-10T00:00:00"/>
    <s v="2023/RQAF/1027/0011/SUP4"/>
    <s v="LA FINCA DE JASMINE SL. - B93714822"/>
    <s v="ORES Y BRYAN SL - B29435260"/>
    <s v="Accredited Insurance (Europe) Limited"/>
    <n v="3483.0999999999995"/>
    <n v="0.17500000000000002"/>
    <n v="700.97299999999996"/>
    <n v="342.21544999999992"/>
    <n v="522.46"/>
    <x v="1"/>
    <s v="Advance payment"/>
    <s v="Cartera"/>
    <d v="2026-02-28T00:00:00"/>
    <n v="4005.5599999999995"/>
    <n v="1565.6484499999999"/>
    <x v="1"/>
    <x v="1"/>
  </r>
  <r>
    <d v="2023-03-15T00:00:00"/>
    <d v="2026-01-01T00:00:00"/>
    <d v="2026-02-10T00:00:00"/>
    <s v="2023/RQAF/1027/0012/SUP4"/>
    <s v="LA FINCA DE JASMINE SL. - B93714822"/>
    <s v="ORES Y BRYAN SL - B29435260"/>
    <s v="Accredited Insurance (Europe) Limited"/>
    <n v="3731.27"/>
    <n v="0.17499999999999999"/>
    <n v="750.91800000000001"/>
    <n v="366.59736499999997"/>
    <n v="559.69000000000005"/>
    <x v="1"/>
    <s v="Advance payment"/>
    <s v="Cartera"/>
    <d v="2026-02-28T00:00:00"/>
    <n v="4290.96"/>
    <n v="1677.205365"/>
    <x v="1"/>
    <x v="1"/>
  </r>
  <r>
    <d v="2023-03-15T00:00:00"/>
    <d v="2026-01-01T00:00:00"/>
    <d v="2026-02-10T00:00:00"/>
    <s v="2023/RQAF/1027/0013/SUP3"/>
    <s v="LA FINCA DE JASMINE SL. - B93714822"/>
    <s v="ORES Y BRYAN SL - B29435260"/>
    <s v="Accredited Insurance (Europe) Limited"/>
    <n v="3148.1399999999994"/>
    <n v="0.17500000000000002"/>
    <n v="633.56299999999999"/>
    <n v="309.30492999999979"/>
    <n v="472.22"/>
    <x v="1"/>
    <s v="Advance payment"/>
    <s v="Cartera"/>
    <d v="2026-02-28T00:00:00"/>
    <n v="3620.3599999999997"/>
    <n v="1415.0879299999997"/>
    <x v="1"/>
    <x v="1"/>
  </r>
  <r>
    <d v="2023-03-15T00:00:00"/>
    <d v="2026-01-01T00:00:00"/>
    <d v="2026-02-10T00:00:00"/>
    <s v="2023/RQAF/1027/0014/SUP3"/>
    <s v="LA FINCA DE JASMINE SL. - B93714822"/>
    <s v="ORES Y BRYAN SL - B29435260"/>
    <s v="Accredited Insurance (Europe) Limited"/>
    <n v="3127.51"/>
    <n v="0.17499999999999999"/>
    <n v="629.41025000000002"/>
    <n v="307.27899500000001"/>
    <n v="469.12000000000006"/>
    <x v="1"/>
    <s v="Advance payment"/>
    <s v="Cartera"/>
    <d v="2026-02-28T00:00:00"/>
    <n v="3596.63"/>
    <n v="1405.8092450000001"/>
    <x v="1"/>
    <x v="1"/>
  </r>
  <r>
    <d v="2023-03-30T00:00:00"/>
    <d v="2026-01-01T00:00:00"/>
    <d v="2026-02-10T00:00:00"/>
    <s v="2023/RQAF/1027/0015/SUP3"/>
    <s v="LA FINCA DE JASMINE SL. - B93714822"/>
    <s v="ORES Y BRYAN SL - B29435260"/>
    <s v="Accredited Insurance (Europe) Limited"/>
    <n v="3322.39"/>
    <n v="0.17499999999999999"/>
    <n v="668.62949999999989"/>
    <n v="326.42630500000007"/>
    <n v="498.35"/>
    <x v="1"/>
    <s v="Advance payment"/>
    <s v="Cartera"/>
    <d v="2026-02-28T00:00:00"/>
    <n v="3820.74"/>
    <n v="1493.4058049999999"/>
    <x v="1"/>
    <x v="1"/>
  </r>
  <r>
    <d v="2023-05-31T00:00:00"/>
    <d v="2026-01-01T00:00:00"/>
    <d v="2026-02-10T00:00:00"/>
    <s v="2023/RQAF/1027/0016/SUP4"/>
    <s v="LA FINCA DE JASMINE SL. - B93714822"/>
    <s v="ORES Y BRYAN SL - B29435260"/>
    <s v="Accredited Insurance (Europe) Limited"/>
    <n v="3463.55"/>
    <n v="0.17499999999999999"/>
    <n v="697.03899999999999"/>
    <n v="340.2942250000001"/>
    <n v="519.53"/>
    <x v="1"/>
    <s v="Advance payment"/>
    <s v="Cartera"/>
    <d v="2026-02-28T00:00:00"/>
    <n v="3983.08"/>
    <n v="1556.8632250000001"/>
    <x v="1"/>
    <x v="1"/>
  </r>
  <r>
    <d v="2023-07-12T00:00:00"/>
    <d v="2026-01-01T00:00:00"/>
    <d v="2026-02-10T00:00:00"/>
    <s v="2023/RQAF/1027/0017/SUP4"/>
    <s v="LA FINCA DE JASMINE SL. - B93714822"/>
    <s v="ORES Y BRYAN SL - B29435260"/>
    <s v="Accredited Insurance (Europe) Limited"/>
    <n v="3963.19"/>
    <n v="0.17499999999999999"/>
    <n v="797.59224999999992"/>
    <n v="389.38315499999999"/>
    <n v="594.48"/>
    <x v="1"/>
    <s v="Advance payment"/>
    <s v="Cartera"/>
    <d v="2026-02-28T00:00:00"/>
    <n v="4557.67"/>
    <n v="1781.4554049999999"/>
    <x v="1"/>
    <x v="1"/>
  </r>
  <r>
    <d v="2023-07-17T00:00:00"/>
    <d v="2026-01-01T00:00:00"/>
    <d v="2026-02-10T00:00:00"/>
    <s v="2023/RQAF/1027/0018/SUP4"/>
    <s v="LA FINCA DE JASMINE SL. - B93714822"/>
    <s v="ORES Y BRYAN SL - B29435260"/>
    <s v="Accredited Insurance (Europe) Limited"/>
    <n v="3721.8300000000004"/>
    <n v="0.17499999999999999"/>
    <n v="749.01750000000004"/>
    <n v="365.67058499999996"/>
    <n v="558.27"/>
    <x v="1"/>
    <s v="Advance payment"/>
    <s v="Cartera"/>
    <d v="2026-02-28T00:00:00"/>
    <n v="4280.1000000000004"/>
    <n v="1672.958085"/>
    <x v="1"/>
    <x v="1"/>
  </r>
  <r>
    <d v="2023-09-22T00:00:00"/>
    <d v="2026-01-01T00:00:00"/>
    <d v="2026-02-10T00:00:00"/>
    <s v="2023/RQAF/1027/0019/SUP3"/>
    <s v="LA FINCA DE JASMINE SL. - B93714822"/>
    <s v="ORES Y BRYAN SL - B29435260"/>
    <s v="Accredited Insurance (Europe) Limited"/>
    <n v="3581.09"/>
    <n v="0.17499999999999999"/>
    <n v="720.69374999999991"/>
    <n v="351.84270500000002"/>
    <n v="537.16"/>
    <x v="1"/>
    <s v="Advance payment"/>
    <s v="Cartera"/>
    <d v="2026-02-28T00:00:00"/>
    <n v="4118.25"/>
    <n v="1609.6964549999998"/>
    <x v="1"/>
    <x v="1"/>
  </r>
  <r>
    <d v="2024-05-24T00:00:00"/>
    <d v="2026-01-21T00:00:00"/>
    <d v="2026-02-11T00:00:00"/>
    <s v="2023/RQAF/1150/0013/SUP1"/>
    <s v="ONE EDEN SERENITY, S.L.U. - B93725497"/>
    <s v="ORES Y BRYAN SL - B29435260"/>
    <s v="Accredited Insurance (Europe) Limited"/>
    <n v="702.89999999999986"/>
    <n v="0.17500000000000002"/>
    <n v="141.45775"/>
    <n v="75.47476249999994"/>
    <n v="105.43"/>
    <x v="1"/>
    <s v="Advance payment"/>
    <s v="Cartera"/>
    <d v="2026-02-28T00:00:00"/>
    <n v="808.32999999999993"/>
    <n v="322.36251249999998"/>
    <x v="1"/>
    <x v="1"/>
  </r>
  <r>
    <d v="2024-05-24T00:00:00"/>
    <d v="2026-01-31T00:00:00"/>
    <d v="2026-02-11T00:00:00"/>
    <s v="2023/RQAF/1150/0014/SUP1"/>
    <s v="ONE EDEN SERENITY, S.L.U. - B93725497"/>
    <s v="ORES Y BRYAN SL - B29435260"/>
    <s v="Accredited Insurance (Europe) Limited"/>
    <n v="688.52"/>
    <n v="0.17500000000000002"/>
    <n v="138.565"/>
    <n v="73.929484999999971"/>
    <n v="103.27999999999999"/>
    <x v="1"/>
    <s v="Advance payment"/>
    <s v="Cartera"/>
    <d v="2026-02-28T00:00:00"/>
    <n v="791.8"/>
    <n v="315.77448499999997"/>
    <x v="1"/>
    <x v="1"/>
  </r>
  <r>
    <d v="2024-07-15T00:00:00"/>
    <d v="2026-01-21T00:00:00"/>
    <d v="2026-02-11T00:00:00"/>
    <s v="2023/RQAF/1150/0015/SUP1"/>
    <s v="ONE EDEN SERENITY, S.L.U. - B93725497"/>
    <s v="ORES Y BRYAN SL - B29435260"/>
    <s v="Accredited Insurance (Europe) Limited"/>
    <n v="944.51"/>
    <n v="0.17499999999999996"/>
    <n v="190.08324999999996"/>
    <n v="101.41614874999999"/>
    <n v="141.68"/>
    <x v="1"/>
    <s v="Advance payment"/>
    <s v="Cartera"/>
    <d v="2026-02-28T00:00:00"/>
    <n v="1086.19"/>
    <n v="433.17939874999996"/>
    <x v="1"/>
    <x v="1"/>
  </r>
  <r>
    <d v="2024-09-16T00:00:00"/>
    <d v="2026-01-21T00:00:00"/>
    <d v="2026-02-11T00:00:00"/>
    <s v="2023/RQAF/1150/0016/SUP1"/>
    <s v="ONE EDEN SERENITY, S.L.U. - B93725497"/>
    <s v="ORES Y BRYAN SL - B29435260"/>
    <s v="Accredited Insurance (Europe) Limited"/>
    <n v="1691"/>
    <n v="0.17499999999999999"/>
    <n v="340.31374999999997"/>
    <n v="181.57112499999999"/>
    <n v="253.65"/>
    <x v="1"/>
    <s v="Advance payment"/>
    <s v="Cartera"/>
    <d v="2026-02-28T00:00:00"/>
    <n v="1944.65"/>
    <n v="775.53487499999994"/>
    <x v="1"/>
    <x v="1"/>
  </r>
  <r>
    <d v="2024-09-16T00:00:00"/>
    <d v="2026-01-21T00:00:00"/>
    <d v="2026-02-11T00:00:00"/>
    <s v="2023/RQAF/1150/0056/SUP1"/>
    <s v="ONE EDEN SERENITY, S.L.U. - B93725497"/>
    <s v="ORES Y BRYAN SL - B29435260"/>
    <s v="Accredited Insurance (Europe) Limited"/>
    <n v="697.58"/>
    <n v="0.17499999999999999"/>
    <n v="140.38849999999999"/>
    <n v="74.902127500000006"/>
    <n v="104.64"/>
    <x v="1"/>
    <s v="Advance payment"/>
    <s v="Cartera"/>
    <d v="2026-02-28T00:00:00"/>
    <n v="802.22"/>
    <n v="319.93062750000001"/>
    <x v="1"/>
    <x v="1"/>
  </r>
  <r>
    <d v="2024-05-24T00:00:00"/>
    <d v="2026-01-21T00:00:00"/>
    <d v="2026-02-11T00:00:00"/>
    <s v="2023/RQAF/1150/0076/SUP1"/>
    <s v="ONE EDEN SERENITY, S.L.U. - B93725497"/>
    <s v="ORES Y BRYAN SL - B29435260"/>
    <s v="Accredited Insurance (Europe) Limited"/>
    <n v="1814.2600000000002"/>
    <n v="0.17499999999999999"/>
    <n v="365.12"/>
    <n v="194.8059925"/>
    <n v="272.14"/>
    <x v="1"/>
    <s v="Advance payment"/>
    <s v="Cartera"/>
    <d v="2026-02-28T00:00:00"/>
    <n v="2086.4"/>
    <n v="832.06599249999999"/>
    <x v="1"/>
    <x v="1"/>
  </r>
  <r>
    <d v="2026-02-11T00:00:00"/>
    <d v="2026-02-11T00:00:00"/>
    <d v="2026-02-11T00:00:00"/>
    <s v="2023/RQAF/1150/0057"/>
    <s v="ONE EDEN SERENITY SL. - B93725497"/>
    <s v="ORES Y BRYAN SL - B29435260"/>
    <s v="Accredited Insurance (Europe) Limited"/>
    <n v="4550.1099999999997"/>
    <n v="0.17499999999999999"/>
    <n v="915.70849999999996"/>
    <n v="504.94959475000019"/>
    <n v="682.51"/>
    <x v="1"/>
    <s v="Advance payment"/>
    <s v="Nueva producción"/>
    <d v="2026-02-28T00:00:00"/>
    <n v="5232.62"/>
    <n v="2103.1680947499999"/>
    <x v="7"/>
    <x v="1"/>
  </r>
  <r>
    <d v="2023-04-28T00:00:00"/>
    <d v="2025-12-01T00:00:00"/>
    <d v="2026-02-02T00:00:00"/>
    <s v="2023/RQAF/1055/0001/SUP3"/>
    <s v="LES TERRASSES VALLDEMOSSA SL. - B16664906"/>
    <s v="HOWDEN RISK SOLUTIONS SA - A28098382"/>
    <s v="Accredited Insurance (Europe) Limited"/>
    <n v="32786.97"/>
    <n v="0.17499999999999996"/>
    <n v="6598.3714999999993"/>
    <n v="3221.3260150000006"/>
    <n v="4918.01"/>
    <x v="1"/>
    <s v="Advance payment"/>
    <s v="Cartera"/>
    <d v="2026-02-28T00:00:00"/>
    <n v="37704.980000000003"/>
    <n v="14737.707515"/>
    <x v="0"/>
    <x v="0"/>
  </r>
  <r>
    <d v="2023-03-02T00:00:00"/>
    <d v="2026-01-15T00:00:00"/>
    <d v="2026-02-11T00:00:00"/>
    <s v="2022/RQAF/1009/0103/SUP3"/>
    <s v="ONE EDEN INFINITY 2020 SL. - b93725414"/>
    <s v="ORES Y BRYAN SL - B29435260"/>
    <s v="Accredited Insurance (Europe) Limited"/>
    <n v="3168.67"/>
    <n v="0.17499999999999996"/>
    <n v="637.69474999999989"/>
    <n v="311.3219150000001"/>
    <n v="475.30000000000007"/>
    <x v="1"/>
    <s v="Advance payment"/>
    <s v="Cartera"/>
    <d v="2026-02-28T00:00:00"/>
    <n v="3643.9700000000003"/>
    <n v="1424.3166650000001"/>
    <x v="1"/>
    <x v="1"/>
  </r>
  <r>
    <d v="2026-01-01T00:00:00"/>
    <d v="2026-01-01T00:00:00"/>
    <d v="2026-02-05T00:00:00"/>
    <s v="2021/RQLC/0901/0004/R4"/>
    <s v="LA ENCANTADA LA RAMBLA - B01635606"/>
    <s v="RASHER CORREDURIA DE SEGUROS - B14571434"/>
    <s v="Accredited Insurance (Europe) Limited"/>
    <n v="4173.913043478261"/>
    <n v="0.12173958333333333"/>
    <n v="584.35"/>
    <n v="718.85000000000025"/>
    <n v="626.08695652173901"/>
    <x v="1"/>
    <s v="Performance"/>
    <s v="Cartera"/>
    <d v="2026-02-28T00:00:00"/>
    <n v="4800"/>
    <n v="1929.2869565217393"/>
    <x v="1"/>
    <x v="1"/>
  </r>
  <r>
    <d v="2026-01-30T00:00:00"/>
    <d v="2026-01-30T00:00:00"/>
    <d v="2026-02-13T00:00:00"/>
    <s v="2025/RQLC/1292/0001/R1"/>
    <s v="CONSTRUCCIONES APLIBUR SL. - B09588740"/>
    <s v="ORES Y BRYAN SL - B29435260"/>
    <s v="Accredited Insurance (Europe) Limited"/>
    <n v="173.91"/>
    <n v="0.17499999999999999"/>
    <n v="35"/>
    <n v="19.299049750000002"/>
    <n v="26.09"/>
    <x v="1"/>
    <s v="Performance"/>
    <s v="Cartera"/>
    <d v="2026-02-28T00:00:00"/>
    <n v="200"/>
    <n v="80.389049749999998"/>
    <x v="1"/>
    <x v="1"/>
  </r>
  <r>
    <d v="2025-04-03T00:00:00"/>
    <d v="2026-01-19T00:00:00"/>
    <d v="2026-02-27T00:00:00"/>
    <s v="2020/RQLC/0583/0001/R5/EXT1"/>
    <s v="SOLAR PLANT ARERICSOL I SL - B26549931"/>
    <s v="AON IBERIA CORREDURIA DE SEGUROS Y REASEGUROS SOCIEDAD ANONIMA - A28109247"/>
    <s v="Accredited Insurance (Europe) Limited"/>
    <n v="-3305.5400000000004"/>
    <n v="0.14999999999999997"/>
    <n v="-570.20549999999992"/>
    <n v="-455.25564650000013"/>
    <n v="-495.82999999999993"/>
    <x v="1"/>
    <s v="Performance"/>
    <s v="Cartera"/>
    <d v="2026-02-28T00:00:00"/>
    <n v="-3801.3700000000003"/>
    <n v="-1521.2911465"/>
    <x v="1"/>
    <x v="1"/>
  </r>
  <r>
    <d v="2026-02-04T00:00:00"/>
    <d v="2026-02-04T00:00:00"/>
    <d v="2026-02-04T00:00:00"/>
    <s v="2026/RQLC/1415/0002"/>
    <s v="FEDEZU DEVELOPMENT III SL. - B88181300"/>
    <s v="ORES Y BRYAN SL - B29435260"/>
    <s v="Accredited Insurance (Europe) Limited"/>
    <n v="93.88"/>
    <n v="0.17499999999999999"/>
    <n v="18.892999999999997"/>
    <n v="10.418683000000005"/>
    <n v="14.08"/>
    <x v="1"/>
    <s v="Performance"/>
    <s v="Nueva producción"/>
    <d v="2026-02-28T00:00:00"/>
    <n v="107.96"/>
    <n v="43.391683"/>
    <x v="7"/>
    <x v="1"/>
  </r>
  <r>
    <d v="2026-02-04T00:00:00"/>
    <d v="2026-02-04T00:00:00"/>
    <d v="2026-02-04T00:00:00"/>
    <s v="2026/RQLC/1415/0001"/>
    <s v="FEDEZU DEVELOPMENT III SL. - B88181300"/>
    <s v="ORES Y BRYAN SL - B29435260"/>
    <s v="Accredited Insurance (Europe) Limited"/>
    <n v="469.41000000000008"/>
    <n v="0.17499999999999993"/>
    <n v="94.468499999999977"/>
    <n v="52.093037250000066"/>
    <n v="70.41"/>
    <x v="1"/>
    <s v="Performance"/>
    <s v="Nueva producción"/>
    <d v="2026-02-28T00:00:00"/>
    <n v="539.82000000000005"/>
    <n v="216.97153725000004"/>
    <x v="7"/>
    <x v="1"/>
  </r>
  <r>
    <d v="2026-02-06T00:00:00"/>
    <d v="2026-01-29T00:00:00"/>
    <d v="2026-02-06T00:00:00"/>
    <s v="2026/RQLC/1414/0001"/>
    <s v="GAMES SPAIN OPERATIONS SOCIEDAD ANONIMA. - A01739457"/>
    <s v="ORES Y BRYAN SL - B29435260"/>
    <s v="Accredited Insurance (Europe) Limited"/>
    <n v="2608.6999999999998"/>
    <n v="0.17499999999999999"/>
    <n v="525"/>
    <n v="289.50135750000004"/>
    <n v="391.3"/>
    <x v="1"/>
    <s v="Performance"/>
    <s v="Nueva producción"/>
    <d v="2026-02-28T00:00:00"/>
    <n v="3000"/>
    <n v="1205.8013575"/>
    <x v="1"/>
    <x v="1"/>
  </r>
  <r>
    <d v="2026-02-06T00:00:00"/>
    <d v="2026-02-06T00:00:00"/>
    <d v="2026-02-06T00:00:00"/>
    <s v="2021/RQLC/0715/0003"/>
    <s v="GAMESYS SPAIN SOCIEDAD ANONIMA. - A01739143"/>
    <s v="ORES Y BRYAN SL - B29435260"/>
    <s v="Accredited Insurance (Europe) Limited"/>
    <n v="2608.6999999999998"/>
    <n v="0.17499999999999999"/>
    <n v="525"/>
    <n v="289.50135750000004"/>
    <n v="391.3"/>
    <x v="1"/>
    <s v="Performance"/>
    <s v="Nueva producción"/>
    <d v="2026-02-28T00:00:00"/>
    <n v="3000"/>
    <n v="1205.8013575"/>
    <x v="7"/>
    <x v="1"/>
  </r>
  <r>
    <d v="2026-02-10T00:00:00"/>
    <d v="2026-02-10T00:00:00"/>
    <d v="2026-02-10T00:00:00"/>
    <s v="2026/RQLC/1417/0001"/>
    <s v="EDNON SL - B36938009"/>
    <s v="ORES Y BRYAN SL - B29435260"/>
    <s v="Accredited Insurance (Europe) Limited"/>
    <n v="453.52"/>
    <n v="0.17500000000000004"/>
    <n v="91.271250000000009"/>
    <n v="50.329032000000012"/>
    <n v="68.03"/>
    <x v="1"/>
    <s v="Performance"/>
    <s v="Nueva producción"/>
    <d v="2026-02-28T00:00:00"/>
    <n v="521.54999999999995"/>
    <n v="209.63028200000002"/>
    <x v="7"/>
    <x v="1"/>
  </r>
  <r>
    <d v="2025-10-19T00:00:00"/>
    <d v="2026-01-23T00:00:00"/>
    <d v="2026-02-27T00:00:00"/>
    <s v="2020/RQLC/0574/0019/R4/EXT1"/>
    <s v="HUMILLADERO HIVE S.L. - B42519991"/>
    <s v="ORES Y BRYAN SL - B29435260"/>
    <s v="Accredited Insurance (Europe) Limited"/>
    <n v="-1166.3599999999999"/>
    <n v="0.17499999999999999"/>
    <n v="-234.72924999999998"/>
    <n v="-127.10478099999995"/>
    <n v="-174.95"/>
    <x v="1"/>
    <s v="Performance"/>
    <s v="Cartera"/>
    <d v="2026-02-28T00:00:00"/>
    <n v="-1341.31"/>
    <n v="-536.78403099999991"/>
    <x v="1"/>
    <x v="1"/>
  </r>
  <r>
    <d v="2025-12-05T00:00:00"/>
    <d v="2026-01-23T00:00:00"/>
    <d v="2026-02-27T00:00:00"/>
    <s v="2020/RQLC/0574/0037/R3/EXT1"/>
    <s v="MAGASQUILLA HIVE, S.L.  - B42568170"/>
    <s v="ORES Y BRYAN SL - B29435260"/>
    <s v="Accredited Insurance (Europe) Limited"/>
    <n v="-1703.4"/>
    <n v="0.17500000000000002"/>
    <n v="-342.80925000000002"/>
    <n v="-185.628015"/>
    <n v="-255.51"/>
    <x v="1"/>
    <s v="Performance"/>
    <s v="Cartera"/>
    <d v="2026-02-28T00:00:00"/>
    <n v="-1958.91"/>
    <n v="-783.94726500000002"/>
    <x v="1"/>
    <x v="1"/>
  </r>
  <r>
    <d v="2026-02-12T00:00:00"/>
    <d v="2026-02-12T00:00:00"/>
    <d v="2026-02-11T00:00:00"/>
    <s v="2025/RQLC/1314/0001"/>
    <s v="IBERALCOHOL SL - B86084977"/>
    <s v="BMS Mediación Iberia Correduría de Seguros y Reaseguros, S.L.U. - B88053186"/>
    <s v="Accredited Insurance (Europe) Limited"/>
    <n v="6086.96"/>
    <n v="0.13500000000000001"/>
    <n v="945.00000000000011"/>
    <n v="955.5010860000001"/>
    <n v="913.04"/>
    <x v="1"/>
    <s v="Performance"/>
    <s v="Nueva producción"/>
    <d v="2026-02-28T00:00:00"/>
    <n v="7000"/>
    <n v="2813.5410860000002"/>
    <x v="7"/>
    <x v="1"/>
  </r>
  <r>
    <d v="2026-02-10T00:00:00"/>
    <d v="2026-02-11T00:00:00"/>
    <d v="2026-02-11T00:00:00"/>
    <s v="2025/RQLC/1403/0002"/>
    <s v="ASYOTA ASFALTOS Y OBRAS SL. - B38420121"/>
    <s v="ORES Y BRYAN SL - B29435260"/>
    <s v="Accredited Insurance (Europe) Limited"/>
    <n v="544.45000000000005"/>
    <n v="0.17499999999999999"/>
    <n v="109.571"/>
    <n v="60.419901250000038"/>
    <n v="81.67"/>
    <x v="1"/>
    <s v="Performance"/>
    <s v="Nueva producción"/>
    <d v="2026-02-28T00:00:00"/>
    <n v="626.12"/>
    <n v="251.66090125000005"/>
    <x v="7"/>
    <x v="1"/>
  </r>
  <r>
    <d v="2024-08-27T00:00:00"/>
    <d v="2025-08-28T00:00:00"/>
    <d v="2026-02-27T00:00:00"/>
    <s v="2024/RQAF/1203/0017/EXT1"/>
    <s v="ABAUCO NERVION SL. - B56479686"/>
    <s v="HOWDEN IBERIA SA - A82473349"/>
    <s v="Accredited Insurance (Europe) Limited"/>
    <n v="-65.489999999999995"/>
    <n v="0.17500000000000002"/>
    <n v="-11.460750000000001"/>
    <n v="-8.7511012499999978"/>
    <n v="0"/>
    <x v="1"/>
    <s v="Advance payment"/>
    <s v="Cartera"/>
    <d v="2026-02-28T00:00:00"/>
    <n v="-65.489999999999995"/>
    <n v="-20.211851249999999"/>
    <x v="8"/>
    <x v="0"/>
  </r>
  <r>
    <d v="2024-07-26T00:00:00"/>
    <d v="2025-09-09T00:00:00"/>
    <d v="2026-02-27T00:00:00"/>
    <s v="2024/RQAF/1203/0014/EXT1"/>
    <s v="ABAUCO NERVION SL. - B56479686"/>
    <s v="HOWDEN IBERIA SA - A82473349"/>
    <s v="Accredited Insurance (Europe) Limited"/>
    <n v="-47.509999999999991"/>
    <n v="0.17500000000000002"/>
    <n v="-8.3142499999999995"/>
    <n v="-6.3485237499999965"/>
    <n v="0"/>
    <x v="1"/>
    <s v="Advance payment"/>
    <s v="Cartera"/>
    <d v="2026-02-28T00:00:00"/>
    <n v="-47.509999999999991"/>
    <n v="-14.662773749999996"/>
    <x v="9"/>
    <x v="0"/>
  </r>
  <r>
    <d v="2024-07-26T00:00:00"/>
    <d v="2025-09-23T00:00:00"/>
    <d v="2026-02-27T00:00:00"/>
    <s v="2024/RQAF/1203/0001/EXT1"/>
    <s v="ABAUCO NERVION SL. - B56479686"/>
    <s v="HOWDEN IBERIA SA - A82473349"/>
    <s v="Accredited Insurance (Europe) Limited"/>
    <n v="-13.689999999999998"/>
    <n v="0.17500000000000004"/>
    <n v="-2.39575"/>
    <n v="-1.8293262499999989"/>
    <n v="0"/>
    <x v="1"/>
    <s v="Advance payment"/>
    <s v="Cartera"/>
    <d v="2026-02-28T00:00:00"/>
    <n v="-13.689999999999998"/>
    <n v="-4.225076249999999"/>
    <x v="9"/>
    <x v="0"/>
  </r>
  <r>
    <d v="2024-07-26T00:00:00"/>
    <d v="2025-07-31T00:00:00"/>
    <d v="2026-02-27T00:00:00"/>
    <s v="2024/RQAF/1203/0008/EXT1"/>
    <s v="ABAUCO NERVION SL. - B56479686"/>
    <s v="HOWDEN IBERIA SA - A82473349"/>
    <s v="Accredited Insurance (Europe) Limited"/>
    <n v="-103.74"/>
    <n v="0.17499999999999999"/>
    <n v="-18.154499999999999"/>
    <n v="-13.862257499999998"/>
    <n v="0"/>
    <x v="1"/>
    <s v="Advance payment"/>
    <s v="Cartera"/>
    <d v="2026-02-28T00:00:00"/>
    <n v="-103.74"/>
    <n v="-32.016757499999997"/>
    <x v="5"/>
    <x v="0"/>
  </r>
  <r>
    <d v="2024-07-26T00:00:00"/>
    <d v="2025-08-15T00:00:00"/>
    <d v="2026-02-27T00:00:00"/>
    <s v="2024/RQAF/1203/0003/EXT1"/>
    <s v="ABAUCO NERVION SL. - B56479686"/>
    <s v="HOWDEN IBERIA SA - A82473349"/>
    <s v="Accredited Insurance (Europe) Limited"/>
    <n v="-81.61"/>
    <n v="0.17499999999999999"/>
    <n v="-14.281749999999999"/>
    <n v="-10.905136249999998"/>
    <n v="0"/>
    <x v="1"/>
    <s v="Advance payment"/>
    <s v="Cartera"/>
    <d v="2026-02-28T00:00:00"/>
    <n v="-81.61"/>
    <n v="-25.186886249999997"/>
    <x v="8"/>
    <x v="0"/>
  </r>
  <r>
    <d v="2024-07-26T00:00:00"/>
    <d v="2025-08-13T00:00:00"/>
    <d v="2026-02-27T00:00:00"/>
    <s v="2024/RQAF/1203/0004/EXT1"/>
    <s v="ABAUCO NERVION SL. - B56479686"/>
    <s v="HOWDEN IBERIA SA - A82473349"/>
    <s v="Accredited Insurance (Europe) Limited"/>
    <n v="-82.75"/>
    <n v="0.17499999999999999"/>
    <n v="-14.481249999999999"/>
    <n v="-11.057468749999998"/>
    <n v="0"/>
    <x v="1"/>
    <s v="Advance payment"/>
    <s v="Cartera"/>
    <d v="2026-02-28T00:00:00"/>
    <n v="-82.75"/>
    <n v="-25.538718749999997"/>
    <x v="8"/>
    <x v="0"/>
  </r>
  <r>
    <d v="2024-07-26T00:00:00"/>
    <d v="2025-07-29T00:00:00"/>
    <d v="2026-03-27T00:00:00"/>
    <s v="2024/RQAF/1203/0012/EXT1"/>
    <s v="ABAUCO NERVION SL. - B56479686"/>
    <s v="HOWDEN IBERIA SA - A82473349"/>
    <s v="Accredited Insurance (Europe) Limited"/>
    <n v="-135.5"/>
    <n v="0.17499999999999999"/>
    <n v="-23.712499999999999"/>
    <n v="-18.106187499999997"/>
    <n v="0"/>
    <x v="1"/>
    <s v="Advance payment"/>
    <s v="Cartera"/>
    <d v="2026-02-28T00:00:00"/>
    <n v="-135.5"/>
    <n v="-41.818687499999996"/>
    <x v="5"/>
    <x v="0"/>
  </r>
  <r>
    <d v="2024-07-26T00:00:00"/>
    <d v="2025-07-24T00:00:00"/>
    <d v="2026-02-27T00:00:00"/>
    <s v="2024/RQAF/1203/0015/EXT1"/>
    <s v="ABAUCO NERVION SL. - B56479686"/>
    <s v="HOWDEN IBERIA SA - A82473349"/>
    <s v="Accredited Insurance (Europe) Limited"/>
    <n v="-174.37"/>
    <n v="0.17499999999999999"/>
    <n v="-30.514749999999999"/>
    <n v="-23.300191249999997"/>
    <n v="0"/>
    <x v="1"/>
    <s v="Advance payment"/>
    <s v="Cartera"/>
    <d v="2026-02-28T00:00:00"/>
    <n v="-174.37"/>
    <n v="-53.814941249999997"/>
    <x v="5"/>
    <x v="0"/>
  </r>
  <r>
    <d v="2024-07-26T00:00:00"/>
    <d v="2025-09-01T00:00:00"/>
    <d v="2026-02-27T00:00:00"/>
    <s v="2024/RQAF/1203/0016/EXT1"/>
    <s v="ABAUCO NERVION SL. - B56479686"/>
    <s v="HOWDEN IBERIA SA - A82473349"/>
    <s v="Accredited Insurance (Europe) Limited"/>
    <n v="-47.47"/>
    <n v="0.17499999999999999"/>
    <n v="-8.3072499999999998"/>
    <n v="-6.3431787499999999"/>
    <n v="0"/>
    <x v="1"/>
    <s v="Advance payment"/>
    <s v="Cartera"/>
    <d v="2026-02-28T00:00:00"/>
    <n v="-47.47"/>
    <n v="-14.65042875"/>
    <x v="9"/>
    <x v="0"/>
  </r>
  <r>
    <d v="2024-07-26T00:00:00"/>
    <d v="2024-07-26T00:00:00"/>
    <d v="2026-02-24T00:00:00"/>
    <s v="2024/RQAF/1203/0002/REG1"/>
    <s v="ABAUCO NERVION SL. - B56479686"/>
    <s v="HOWDEN IBERIA SA - A82473349"/>
    <s v="Accredited Insurance (Europe) Limited"/>
    <n v="172.16"/>
    <n v="0.17500000000000002"/>
    <n v="34.646500000000003"/>
    <n v="18.48637999999999"/>
    <n v="25.819999999999997"/>
    <x v="1"/>
    <s v="Advance payment"/>
    <s v="Nueva producción"/>
    <d v="2026-02-28T00:00:00"/>
    <n v="197.98"/>
    <n v="78.952879999999993"/>
    <x v="5"/>
    <x v="3"/>
  </r>
  <r>
    <d v="2024-07-26T00:00:00"/>
    <d v="2024-07-26T00:00:00"/>
    <d v="2026-02-24T00:00:00"/>
    <s v="2024/RQAF/1203/0007/REG1"/>
    <s v="ABAUCO NERVION SL. - B56479686"/>
    <s v="HOWDEN IBERIA SA - A82473349"/>
    <s v="Accredited Insurance (Europe) Limited"/>
    <n v="57.34"/>
    <n v="0.17499999999999999"/>
    <n v="11.54125"/>
    <n v="6.155307500000001"/>
    <n v="8.61"/>
    <x v="1"/>
    <s v="Advance payment"/>
    <s v="Nueva producción"/>
    <d v="2026-02-28T00:00:00"/>
    <n v="65.95"/>
    <n v="26.3065575"/>
    <x v="5"/>
    <x v="3"/>
  </r>
  <r>
    <d v="2024-12-18T00:00:00"/>
    <d v="2024-12-18T00:00:00"/>
    <d v="2026-02-24T00:00:00"/>
    <s v="2024/RQAF/1203/0018/REG1"/>
    <s v="ABAUCO NERVION SL. - B56479686"/>
    <s v="HOWDEN IBERIA SA - A82473349"/>
    <s v="Accredited Insurance (Europe) Limited"/>
    <n v="50.990000000000009"/>
    <n v="0.17499999999999996"/>
    <n v="10.261999999999999"/>
    <n v="5.4747887500000036"/>
    <n v="7.65"/>
    <x v="1"/>
    <s v="Advance payment"/>
    <s v="Nueva producción"/>
    <d v="2026-02-28T00:00:00"/>
    <n v="58.640000000000008"/>
    <n v="23.386788750000001"/>
    <x v="0"/>
    <x v="3"/>
  </r>
  <r>
    <d v="2024-07-26T00:00:00"/>
    <d v="2025-07-31T00:00:00"/>
    <d v="2026-02-27T00:00:00"/>
    <s v="2024/RQAF/1203/0009/EXT1"/>
    <s v="ABAUCO NERVION SL. - B56479686"/>
    <s v="HOWDEN IBERIA SA - A82473349"/>
    <s v="Accredited Insurance (Europe) Limited"/>
    <n v="-107.47000000000001"/>
    <n v="0.17499999999999999"/>
    <n v="-18.80725"/>
    <n v="-14.360678750000002"/>
    <n v="0"/>
    <x v="1"/>
    <s v="Advance payment"/>
    <s v="Cartera"/>
    <d v="2026-02-28T00:00:00"/>
    <n v="-107.47000000000001"/>
    <n v="-33.167928750000002"/>
    <x v="5"/>
    <x v="0"/>
  </r>
  <r>
    <d v="2026-02-23T00:00:00"/>
    <d v="2026-02-23T00:00:00"/>
    <d v="2026-02-20T00:00:00"/>
    <s v="2024/RQAF/1237/0012"/>
    <s v="DEI HOMES SL. - B93603124"/>
    <s v="Amura 21 Correduría de Seguros S.L. - B87516878"/>
    <s v="Accredited Insurance (Europe) Limited"/>
    <n v="4525.7605049600006"/>
    <n v="1.209393690629764"/>
    <n v="6294.4348499999996"/>
    <n v="-4897.6720141567193"/>
    <n v="678.85970992000023"/>
    <x v="1"/>
    <s v="Advance payment"/>
    <s v="Nueva producción"/>
    <d v="2026-02-28T00:00:00"/>
    <n v="5204.6202148800012"/>
    <n v="2075.6225457632804"/>
    <x v="7"/>
    <x v="1"/>
  </r>
  <r>
    <d v="2025-01-23T00:00:00"/>
    <d v="2026-07-01T00:00:00"/>
    <d v="2026-02-20T00:00:00"/>
    <s v="2024/RQAF/1237/0004/SUP1"/>
    <s v="DEI HOMES SL. - B93603124"/>
    <s v="Amura 21 Correduría de Seguros S.L. - B87516878"/>
    <s v="Accredited Insurance (Europe) Limited"/>
    <n v="43389.99"/>
    <n v="0.16500000000000004"/>
    <n v="8233.2426000000014"/>
    <n v="5227.4170477499974"/>
    <n v="6508.45"/>
    <x v="1"/>
    <s v="Advance payment"/>
    <s v="Cartera"/>
    <d v="2026-02-28T00:00:00"/>
    <n v="49898.439999999995"/>
    <n v="19969.10964775"/>
    <x v="5"/>
    <x v="1"/>
  </r>
  <r>
    <d v="2026-02-19T00:00:00"/>
    <d v="2026-02-19T00:00:00"/>
    <d v="2026-02-19T00:00:00"/>
    <s v="2024/RQAF/1260/0049"/>
    <s v="INVERCHULLERA GESTION, S.L. - B19319219"/>
    <s v="RASHER CORREDURIA DE SEGUROS - B14571434"/>
    <s v="Accredited Insurance (Europe) Limited"/>
    <n v="2923.616271069865"/>
    <n v="0.31332224035844058"/>
    <n v="1053.4384"/>
    <n v="-151.13732834106293"/>
    <n v="438.54020653883168"/>
    <x v="1"/>
    <s v="Advance payment"/>
    <s v="Nueva producción"/>
    <d v="2026-02-28T00:00:00"/>
    <n v="3362.1564776086966"/>
    <n v="1340.8412781977688"/>
    <x v="7"/>
    <x v="1"/>
  </r>
  <r>
    <d v="2026-02-19T00:00:00"/>
    <d v="2026-02-19T00:00:00"/>
    <d v="2026-02-19T00:00:00"/>
    <s v="2024/RQAF/1260/0050"/>
    <s v="INVERCHULLERA GESTION, S.L. - B19319219"/>
    <s v="RASHER CORREDURIA DE SEGUROS - B14571434"/>
    <s v="Accredited Insurance (Europe) Limited"/>
    <n v="3928.7431322838074"/>
    <n v="0.31332224035844064"/>
    <n v="1415.6058"/>
    <n v="-203.09745079891013"/>
    <n v="589.3076718357695"/>
    <x v="1"/>
    <s v="Advance payment"/>
    <s v="Nueva producción"/>
    <d v="2026-02-28T00:00:00"/>
    <n v="4518.0508041195772"/>
    <n v="1801.8160210368594"/>
    <x v="7"/>
    <x v="1"/>
  </r>
  <r>
    <d v="2026-02-17T00:00:00"/>
    <d v="2026-02-17T00:00:00"/>
    <d v="2026-02-18T00:00:00"/>
    <s v="2026/RQLC/1420/0001"/>
    <s v="SONORA POWER SL. - B44616787"/>
    <s v="ORES Y BRYAN SL - B29435260"/>
    <s v="Accredited Insurance (Europe) Limited"/>
    <n v="954.6099999999999"/>
    <n v="0.17499999999999999"/>
    <n v="192.11499999999998"/>
    <n v="105.93810725"/>
    <n v="143.19"/>
    <x v="1"/>
    <s v="Performance"/>
    <s v="Nueva producción"/>
    <d v="2026-02-28T00:00:00"/>
    <n v="1097.8"/>
    <n v="441.24310724999998"/>
    <x v="7"/>
    <x v="1"/>
  </r>
  <r>
    <d v="2025-07-19T00:00:00"/>
    <d v="2026-02-16T00:00:00"/>
    <d v="2026-02-27T00:00:00"/>
    <s v="2024/RQLC/1216/0005/R1/EXT1"/>
    <s v="IRADI ENERGIA S.L. - B56662760"/>
    <s v="RASHER CORREDURIA DE SEGUROS - B14571434"/>
    <s v="Accredited Insurance (Europe) Limited"/>
    <n v="-189.53999999999996"/>
    <n v="0.14000000000000004"/>
    <n v="-30.515800000000002"/>
    <n v="-28.284246499999984"/>
    <n v="-28.430000000000003"/>
    <x v="1"/>
    <s v="Performance"/>
    <s v="Cartera"/>
    <d v="2026-02-28T00:00:00"/>
    <n v="-217.96999999999997"/>
    <n v="-87.230046499999986"/>
    <x v="7"/>
    <x v="1"/>
  </r>
  <r>
    <d v="2026-02-23T00:00:00"/>
    <d v="2026-02-23T00:00:00"/>
    <d v="2026-02-23T00:00:00"/>
    <s v="2024/RQAF/1260/0052"/>
    <s v="INVERCHULLERA GESTION, S.L. - B19319219"/>
    <s v="RASHER CORREDURIA DE SEGUROS - B14571434"/>
    <s v="Accredited Insurance (Europe) Limited"/>
    <n v="1288.2034787516377"/>
    <n v="0.31332224035844058"/>
    <n v="464.16579999999999"/>
    <n v="-66.594001370275805"/>
    <n v="193.22918133975682"/>
    <x v="1"/>
    <s v="Advance payment"/>
    <s v="Nueva producción"/>
    <d v="2026-02-28T00:00:00"/>
    <n v="1481.4326600913946"/>
    <n v="590.80097996948098"/>
    <x v="7"/>
    <x v="1"/>
  </r>
  <r>
    <d v="2026-02-23T00:00:00"/>
    <d v="2026-02-23T00:00:00"/>
    <d v="2026-02-23T00:00:00"/>
    <s v="2024/RQAF/1260/0051"/>
    <s v="INVERCHULLERA GESTION, S.L. - B19319219"/>
    <s v="RASHER CORREDURIA DE SEGUROS - B14571434"/>
    <s v="Accredited Insurance (Europe) Limited"/>
    <n v="3763.7800580351663"/>
    <n v="0.3133222403584407"/>
    <n v="1356.1660000000004"/>
    <n v="-194.56937958889716"/>
    <n v="564.56254046197887"/>
    <x v="1"/>
    <s v="Advance payment"/>
    <s v="Nueva producción"/>
    <d v="2026-02-28T00:00:00"/>
    <n v="4328.3425984971454"/>
    <n v="1726.1591608730821"/>
    <x v="7"/>
    <x v="1"/>
  </r>
  <r>
    <d v="2026-02-24T00:00:00"/>
    <d v="2026-02-24T00:00:00"/>
    <d v="2026-02-26T00:00:00"/>
    <s v="2026/RQLC/1422/0001"/>
    <s v="DESARROLLO RENOVABLE MAHOGANY SL. - B88081336"/>
    <s v="RASHER CORREDURIA DE SEGUROS - B14571434"/>
    <s v="Accredited Insurance (Europe) Limited"/>
    <n v="478261.3"/>
    <n v="0.14000000000000001"/>
    <n v="77000.000000000015"/>
    <n v="72325.134392499996"/>
    <n v="71738.7"/>
    <x v="1"/>
    <s v="Performance"/>
    <s v="Nueva producción"/>
    <d v="2026-02-28T00:00:00"/>
    <n v="550000"/>
    <n v="221063.83439249999"/>
    <x v="7"/>
    <x v="1"/>
  </r>
  <r>
    <d v="2026-02-13T00:00:00"/>
    <d v="2026-02-13T00:00:00"/>
    <d v="2026-02-25T00:00:00"/>
    <s v="2019/RQLC/0202/0001/R7"/>
    <s v="ANALISIS DE METALES AMPCOR SL - B14805501"/>
    <s v="RASHER CORREDURIA DE SEGUROS - B14571434"/>
    <s v="Accredited Insurance (Europe) Limited"/>
    <n v="586.95652173913049"/>
    <n v="0.14000000000000001"/>
    <n v="94.500000000000014"/>
    <n v="88.762500000000031"/>
    <n v="88.043478260869506"/>
    <x v="1"/>
    <s v="Performance"/>
    <s v="Cartera"/>
    <d v="2026-02-28T00:00:00"/>
    <n v="675"/>
    <n v="271.30597826086955"/>
    <x v="7"/>
    <x v="1"/>
  </r>
  <r>
    <d v="2026-02-13T00:00:00"/>
    <d v="2026-02-13T00:00:00"/>
    <d v="2026-02-27T00:00:00"/>
    <s v="2018/RQLC/0029/0004/R7"/>
    <s v="TEMPORAL QUALITY ETT SL - B60732047"/>
    <s v="DIAGONAL RISC Corredoria d’Assegurances,S.L. - B61467353"/>
    <s v="Accredited Insurance (Europe) Limited"/>
    <n v="4660.434782608696"/>
    <n v="0.13500000000000001"/>
    <n v="723.53250000000003"/>
    <n v="731.57175000000029"/>
    <n v="699.06521739130403"/>
    <x v="1"/>
    <s v="Performance"/>
    <s v="Cartera"/>
    <d v="2026-02-28T00:00:00"/>
    <n v="5359.5"/>
    <n v="2154.1694673913044"/>
    <x v="7"/>
    <x v="1"/>
  </r>
  <r>
    <d v="2026-02-13T00:00:00"/>
    <d v="2026-02-13T00:00:00"/>
    <d v="2026-02-27T00:00:00"/>
    <s v="2018/RQLC/0029/0003/R7"/>
    <s v="TEMPORAL QUALITY ETT SL - B60732047"/>
    <s v="DIAGONAL RISC Corredoria d’Assegurances,S.L. - B61467353"/>
    <s v="Accredited Insurance (Europe) Limited"/>
    <n v="4143.9130434782619"/>
    <n v="0.13500000000000001"/>
    <n v="643.3425000000002"/>
    <n v="650.49075000000016"/>
    <n v="621.58695652173901"/>
    <x v="1"/>
    <s v="Performance"/>
    <s v="Cartera"/>
    <d v="2026-02-28T00:00:00"/>
    <n v="4765.5000000000009"/>
    <n v="1915.4202065217394"/>
    <x v="7"/>
    <x v="1"/>
  </r>
  <r>
    <d v="2026-02-04T00:00:00"/>
    <d v="2026-02-04T00:00:00"/>
    <d v="2026-02-25T00:00:00"/>
    <s v="2019/RQLC/0189/0002/R7"/>
    <s v="IMAN TEMPORING EMPRESA DE TRABAJO TEMPOR - B60336989"/>
    <s v="ORES Y BRYAN SL - B29435260"/>
    <s v="Accredited Insurance (Europe) Limited"/>
    <n v="4347.826086956522"/>
    <n v="0.17499999999999999"/>
    <n v="875"/>
    <n v="482.50000000000023"/>
    <n v="652.17391304347802"/>
    <x v="1"/>
    <s v="Performance"/>
    <s v="Cartera"/>
    <d v="2026-02-28T00:00:00"/>
    <n v="5000"/>
    <n v="2009.6739130434783"/>
    <x v="7"/>
    <x v="1"/>
  </r>
  <r>
    <d v="2026-02-04T00:00:00"/>
    <d v="2026-02-04T00:00:00"/>
    <d v="2026-02-25T00:00:00"/>
    <s v="2019/RQLC/0189/0001/R7"/>
    <s v="IMAN TEMPORING EMPRESA DE TRABAJO TEMPOR - B60336989"/>
    <s v="ORES Y BRYAN SL - B29435260"/>
    <s v="Accredited Insurance (Europe) Limited"/>
    <n v="4347.826086956522"/>
    <n v="0.17499999999999999"/>
    <n v="875"/>
    <n v="482.50000000000023"/>
    <n v="652.17391304347802"/>
    <x v="1"/>
    <s v="Performance"/>
    <s v="Cartera"/>
    <d v="2026-02-28T00:00:00"/>
    <n v="5000"/>
    <n v="2009.6739130434783"/>
    <x v="7"/>
    <x v="1"/>
  </r>
  <r>
    <d v="2026-02-05T00:00:00"/>
    <d v="2026-02-05T00:00:00"/>
    <d v="2026-02-25T00:00:00"/>
    <s v="2018/RQLC/0061/0005/R7"/>
    <s v="STV GESTION SL - B30365712"/>
    <s v="ORES Y BRYAN SL - B29435260"/>
    <s v="Accredited Insurance (Europe) Limited"/>
    <n v="86.956521739130437"/>
    <n v="0.17499999999999999"/>
    <n v="17.5"/>
    <n v="9.6500000000000021"/>
    <n v="13.043478260869563"/>
    <x v="1"/>
    <s v="Performance"/>
    <s v="Cartera"/>
    <d v="2026-02-28T00:00:00"/>
    <n v="100"/>
    <n v="40.193478260869568"/>
    <x v="7"/>
    <x v="1"/>
  </r>
  <r>
    <d v="2026-02-13T00:00:00"/>
    <d v="2026-02-13T00:00:00"/>
    <d v="2026-02-25T00:00:00"/>
    <s v="2018/RQLC/0161/0002/R7"/>
    <s v="CAMPUSPORT SL - B41814153"/>
    <s v="HOWDEN IBERIA SA - A82473349"/>
    <s v="Accredited Insurance (Europe) Limited"/>
    <n v="1133.7017391304348"/>
    <n v="0.17499999999999999"/>
    <n v="228.15747500000001"/>
    <n v="125.81255050000001"/>
    <n v="170.05526086956525"/>
    <x v="1"/>
    <s v="Performance"/>
    <s v="Cartera"/>
    <d v="2026-02-28T00:00:00"/>
    <n v="1303.7570000000001"/>
    <n v="524.02528636956526"/>
    <x v="7"/>
    <x v="1"/>
  </r>
  <r>
    <d v="2026-02-13T00:00:00"/>
    <d v="2026-02-13T00:00:00"/>
    <d v="2026-02-25T00:00:00"/>
    <s v="2019/RQLC/0207/0001/R7"/>
    <s v="DESARROLLOS SOVEFIN 16 SL - B88040183"/>
    <s v="INTERNACIONAL INSURANCE BROKER SA CORREDURIA DE SEGUROS - A79325957"/>
    <s v="Accredited Insurance (Europe) Limited"/>
    <n v="816.63916521739145"/>
    <n v="0.15"/>
    <n v="140.87025600000001"/>
    <n v="114.10490736000006"/>
    <n v="122.49587478260867"/>
    <x v="1"/>
    <s v="Performance"/>
    <s v="Cartera"/>
    <d v="2026-02-28T00:00:00"/>
    <n v="939.13504000000012"/>
    <n v="377.47103814260873"/>
    <x v="7"/>
    <x v="1"/>
  </r>
  <r>
    <d v="2026-02-13T00:00:00"/>
    <d v="2026-02-13T00:00:00"/>
    <d v="2026-02-25T00:00:00"/>
    <s v="2019/RQLC/0231/0001/R7"/>
    <s v="AGRO SURESTE EMPLEO ETT S.L. - B05500939"/>
    <s v="ORES Y BRYAN SL - B29435260"/>
    <s v="Accredited Insurance (Europe) Limited"/>
    <n v="741.30434782608688"/>
    <n v="0.17500000000000002"/>
    <n v="149.1875"/>
    <n v="82.266249999999985"/>
    <n v="111.19565217391302"/>
    <x v="1"/>
    <s v="Performance"/>
    <s v="Cartera"/>
    <d v="2026-02-28T00:00:00"/>
    <n v="852.49999999999989"/>
    <n v="342.64940217391302"/>
    <x v="7"/>
    <x v="1"/>
  </r>
  <r>
    <d v="2026-02-27T00:00:00"/>
    <d v="2026-02-27T00:00:00"/>
    <d v="2026-02-25T00:00:00"/>
    <s v="2019/RQLC/0242/0001/R7"/>
    <s v="GRANIOREGA SL - B32262867"/>
    <s v="ORES Y BRYAN SL - B29435260"/>
    <s v="Accredited Insurance (Europe) Limited"/>
    <n v="86.956521739130437"/>
    <n v="0.17499999999999999"/>
    <n v="17.5"/>
    <n v="9.6500000000000021"/>
    <n v="13.043478260869563"/>
    <x v="1"/>
    <s v="Performance"/>
    <s v="Cartera"/>
    <d v="2026-02-28T00:00:00"/>
    <n v="100"/>
    <n v="40.193478260869568"/>
    <x v="7"/>
    <x v="1"/>
  </r>
  <r>
    <d v="2026-02-05T00:00:00"/>
    <d v="2026-02-05T00:00:00"/>
    <d v="2026-02-25T00:00:00"/>
    <s v="2020/RQLC/0535/0002/R6"/>
    <s v="MEDALLON SOLAR SL - B88246038"/>
    <s v="AON IBERIA CORREDURIA DE SEGUROS Y REASEGUROS SOCIEDAD ANONIMA - A28109247"/>
    <s v="Accredited Insurance (Europe) Limited"/>
    <n v="25217.391304347828"/>
    <n v="0.15"/>
    <n v="4350"/>
    <n v="3523.5000000000009"/>
    <n v="3782.6086956521717"/>
    <x v="1"/>
    <s v="Performance"/>
    <s v="Cartera"/>
    <d v="2026-02-28T00:00:00"/>
    <n v="29000"/>
    <n v="11656.108695652172"/>
    <x v="7"/>
    <x v="1"/>
  </r>
  <r>
    <d v="2026-02-11T00:00:00"/>
    <d v="2026-02-11T00:00:00"/>
    <d v="2026-02-25T00:00:00"/>
    <s v="2019/RQLC/0242/0003/R6"/>
    <s v="GRANIOREGA SL - B32262867"/>
    <s v="ORES Y BRYAN SL - B29435260"/>
    <s v="Accredited Insurance (Europe) Limited"/>
    <n v="1413.5439130434784"/>
    <n v="0.17499999999999999"/>
    <n v="284.47571249999999"/>
    <n v="156.8680357500001"/>
    <n v="212.03158695652178"/>
    <x v="1"/>
    <s v="Performance"/>
    <s v="Cartera"/>
    <d v="2026-02-28T00:00:00"/>
    <n v="1625.5755000000001"/>
    <n v="653.37533520652187"/>
    <x v="7"/>
    <x v="1"/>
  </r>
  <r>
    <d v="2026-02-13T00:00:00"/>
    <d v="2026-02-13T00:00:00"/>
    <d v="2026-02-25T00:00:00"/>
    <s v="2019/RQLC/0335/0004/R6"/>
    <s v="ALFANAR ENERGIA ESPAÑA SL. - B87910394"/>
    <s v="B.V.C ARTAI CORREDURIA DE SEGUROS, S.A.  - A36768257"/>
    <s v="Accredited Insurance (Europe) Limited"/>
    <n v="7391.3043478260879"/>
    <n v="0.125"/>
    <n v="1062.5"/>
    <n v="1245.2500000000005"/>
    <n v="1108.6956521739121"/>
    <x v="1"/>
    <s v="Performance"/>
    <s v="Cartera"/>
    <d v="2026-02-28T00:00:00"/>
    <n v="8500"/>
    <n v="3416.4456521739125"/>
    <x v="7"/>
    <x v="1"/>
  </r>
  <r>
    <d v="2026-02-19T00:00:00"/>
    <d v="2026-02-19T00:00:00"/>
    <d v="2026-02-25T00:00:00"/>
    <s v="2019/RQLC/0233/0007/R6"/>
    <s v="FERSITEC PROYECTOS Y TECNOLOGIAS SLL. - B73927022"/>
    <s v="ORES Y BRYAN SL - B29435260"/>
    <s v="Accredited Insurance (Europe) Limited"/>
    <n v="86.956521739130437"/>
    <n v="0.17499999999999999"/>
    <n v="17.5"/>
    <n v="9.6500000000000021"/>
    <n v="13.043478260869563"/>
    <x v="1"/>
    <s v="Performance"/>
    <s v="Cartera"/>
    <d v="2026-02-28T00:00:00"/>
    <n v="100"/>
    <n v="40.193478260869568"/>
    <x v="7"/>
    <x v="1"/>
  </r>
  <r>
    <d v="2026-02-25T00:00:00"/>
    <d v="2026-02-25T00:00:00"/>
    <d v="2026-02-25T00:00:00"/>
    <s v="2019/RQLC/0251/0003/R6"/>
    <s v="WAKEFUL SEGURETAT SL - B67293985"/>
    <s v="ORES Y BRYAN SL - B29435260"/>
    <s v="Accredited Insurance (Europe) Limited"/>
    <n v="86.956521739130437"/>
    <n v="0.17499999999999999"/>
    <n v="17.5"/>
    <n v="9.6500000000000021"/>
    <n v="13.043478260869563"/>
    <x v="1"/>
    <s v="Performance"/>
    <s v="Cartera"/>
    <d v="2026-02-28T00:00:00"/>
    <n v="100"/>
    <n v="40.193478260869568"/>
    <x v="7"/>
    <x v="1"/>
  </r>
  <r>
    <d v="2026-02-03T00:00:00"/>
    <d v="2026-02-03T00:00:00"/>
    <d v="2026-02-25T00:00:00"/>
    <s v="2021/RQLC/0708/0001/R5"/>
    <s v="ALAMILLO DE DORAMAS, S.L. - B70510847"/>
    <s v="B.V.C ARTAI CORREDURIA DE SEGUROS, S.A.  - A36768257"/>
    <s v="Accredited Insurance (Europe) Limited"/>
    <n v="2086.95652173913"/>
    <n v="0.125"/>
    <n v="299.99999999999994"/>
    <n v="351.59999999999997"/>
    <n v="313.04347826086951"/>
    <x v="1"/>
    <s v="Performance"/>
    <s v="Cartera"/>
    <d v="2026-02-28T00:00:00"/>
    <n v="2399.9999999999995"/>
    <n v="964.64347826086941"/>
    <x v="7"/>
    <x v="1"/>
  </r>
  <r>
    <d v="2026-02-22T00:00:00"/>
    <d v="2026-02-22T00:00:00"/>
    <d v="2026-02-06T00:00:00"/>
    <s v="2021/RQLC/0714/0001/R5"/>
    <s v="GAMES SPAIN OPERATIONS SOCIEDAD ANONIMA. - A01739457"/>
    <s v="ORES Y BRYAN SL - B29435260"/>
    <s v="Accredited Insurance (Europe) Limited"/>
    <n v="13043.49"/>
    <n v="0.17499999999999999"/>
    <n v="2625"/>
    <n v="1447.5036652500003"/>
    <n v="1956.51"/>
    <x v="1"/>
    <s v="Performance"/>
    <s v="Cartera"/>
    <d v="2026-02-28T00:00:00"/>
    <n v="15000"/>
    <n v="6029.0136652500005"/>
    <x v="7"/>
    <x v="1"/>
  </r>
  <r>
    <d v="2026-02-10T00:00:00"/>
    <d v="2026-02-10T00:00:00"/>
    <d v="2026-02-25T00:00:00"/>
    <s v="2021/RQLC/0709/0001/R5"/>
    <s v="CONTROL SEGURIDAD Y DOMOTICA SL - B47650114"/>
    <s v="BONDING BROKERS SL - B01824697"/>
    <s v="Accredited Insurance (Europe) Limited"/>
    <n v="1008.6956521739131"/>
    <n v="0.13500000000000001"/>
    <n v="156.60000000000002"/>
    <n v="158.34000000000003"/>
    <n v="151.30434782608688"/>
    <x v="1"/>
    <s v="Performance"/>
    <s v="Cartera"/>
    <d v="2026-02-28T00:00:00"/>
    <n v="1160"/>
    <n v="466.24434782608694"/>
    <x v="7"/>
    <x v="1"/>
  </r>
  <r>
    <d v="2026-02-26T00:00:00"/>
    <d v="2026-02-26T00:00:00"/>
    <d v="2026-02-25T00:00:00"/>
    <s v="2021/RQLC/0727/0002/R5"/>
    <s v="EOLICA DE MEDINACELI SL - B82186925"/>
    <s v="ORES Y BRYAN SL - B29435260"/>
    <s v="Accredited Insurance (Europe) Limited"/>
    <n v="21277.173913043476"/>
    <n v="0.17499999999999999"/>
    <n v="4282.03125"/>
    <n v="2361.234375"/>
    <n v="3191.5760869565233"/>
    <x v="1"/>
    <s v="Performance"/>
    <s v="Cartera"/>
    <d v="2026-02-28T00:00:00"/>
    <n v="24468.75"/>
    <n v="9834.8417119565238"/>
    <x v="7"/>
    <x v="1"/>
  </r>
  <r>
    <d v="2026-02-26T00:00:00"/>
    <d v="2026-02-26T00:00:00"/>
    <d v="2026-02-25T00:00:00"/>
    <s v="2021/RQLC/0727/0001/R5"/>
    <s v="EOLICA DE MEDINACELI SL - B82186925"/>
    <s v="ORES Y BRYAN SL - B29435260"/>
    <s v="Accredited Insurance (Europe) Limited"/>
    <n v="70838.804347826095"/>
    <n v="0.17499999999999999"/>
    <n v="14256.309374999999"/>
    <n v="7861.3363125000051"/>
    <n v="10625.820652173905"/>
    <x v="1"/>
    <s v="Performance"/>
    <s v="Cartera"/>
    <d v="2026-02-28T00:00:00"/>
    <n v="81464.625"/>
    <n v="32743.466339673909"/>
    <x v="7"/>
    <x v="1"/>
  </r>
  <r>
    <d v="2026-02-08T00:00:00"/>
    <d v="2026-02-08T00:00:00"/>
    <d v="2026-02-06T00:00:00"/>
    <s v="2021/RQLC/0715/0002/R4"/>
    <s v="GAMESYS SPAIN SOCIEDAD ANONIMA. - A01739143"/>
    <s v="ORES Y BRYAN SL - B29435260"/>
    <s v="Accredited Insurance (Europe) Limited"/>
    <n v="29478.29"/>
    <n v="0.17499999999999999"/>
    <n v="5932.5"/>
    <n v="3271.3590952500017"/>
    <n v="4421.71"/>
    <x v="1"/>
    <s v="Performance"/>
    <s v="Cartera"/>
    <d v="2026-02-28T00:00:00"/>
    <n v="33900"/>
    <n v="13625.569095250001"/>
    <x v="7"/>
    <x v="1"/>
  </r>
  <r>
    <d v="2026-02-21T00:00:00"/>
    <d v="2026-02-21T00:00:00"/>
    <d v="2026-02-27T00:00:00"/>
    <s v="2022/RQLC/0921/0001/R4"/>
    <s v="TERSAQUA INGENIERIA Y TRATAMIENTO DE AGUAS SL. - B90065640"/>
    <s v="HOWDEN IBERIA SA - A82473349"/>
    <s v="Accredited Insurance (Europe) Limited"/>
    <n v="2257.3857217391305"/>
    <n v="0.17499999999999999"/>
    <n v="454.29887650000001"/>
    <n v="250.51338047000013"/>
    <n v="338.60785826086976"/>
    <x v="1"/>
    <s v="Performance"/>
    <s v="Cartera"/>
    <d v="2026-02-28T00:00:00"/>
    <n v="2595.9935800000003"/>
    <n v="1043.4201152308699"/>
    <x v="7"/>
    <x v="1"/>
  </r>
  <r>
    <d v="2026-02-09T00:00:00"/>
    <d v="2026-02-09T00:00:00"/>
    <d v="2026-02-25T00:00:00"/>
    <s v="2024/RQLC/1166/0001/R2"/>
    <s v="INTERSOLAR DMA SL. - B16935033"/>
    <s v="HOWDEN RISK SOLUTIONS SA - A28098382"/>
    <s v="Accredited Insurance (Europe) Limited"/>
    <n v="1899.1304347826087"/>
    <n v="0.17499999999999999"/>
    <n v="382.2"/>
    <n v="210.75600000000003"/>
    <n v="284.86956521739125"/>
    <x v="1"/>
    <s v="Performance"/>
    <s v="Cartera"/>
    <d v="2026-02-28T00:00:00"/>
    <n v="2184"/>
    <n v="877.82556521739127"/>
    <x v="7"/>
    <x v="1"/>
  </r>
  <r>
    <d v="2026-02-08T00:00:00"/>
    <d v="2026-02-08T00:00:00"/>
    <d v="2026-02-25T00:00:00"/>
    <s v="2019/RQLC/0213/0011/R2"/>
    <s v="SALZILLO SERVICIOS INTEGRALES SL. - B73589814"/>
    <s v="ORES Y BRYAN SL - B29435260"/>
    <s v="Accredited Insurance (Europe) Limited"/>
    <n v="212.39739130434788"/>
    <n v="0.17499999999999996"/>
    <n v="42.744974999999997"/>
    <n v="23.570800500000033"/>
    <n v="31.859608695652152"/>
    <x v="1"/>
    <s v="Performance"/>
    <s v="Cartera"/>
    <d v="2026-02-28T00:00:00"/>
    <n v="244.25700000000003"/>
    <n v="98.175384195652185"/>
    <x v="7"/>
    <x v="1"/>
  </r>
  <r>
    <d v="2026-02-14T00:00:00"/>
    <d v="2026-02-14T00:00:00"/>
    <d v="2026-02-25T00:00:00"/>
    <s v="2024/RQLC/1172/0002/R2"/>
    <s v="SALZILLO SERVICIOS INTEGRALES SL. - B73589814"/>
    <s v="ORES Y BRYAN SL - B29435260"/>
    <s v="Accredited Insurance (Europe) Limited"/>
    <n v="173.91"/>
    <n v="0.17499999999999999"/>
    <n v="35"/>
    <n v="19.299049750000002"/>
    <n v="26.09"/>
    <x v="1"/>
    <s v="Performance"/>
    <s v="Cartera"/>
    <d v="2026-02-28T00:00:00"/>
    <n v="200"/>
    <n v="80.389049749999998"/>
    <x v="7"/>
    <x v="1"/>
  </r>
  <r>
    <d v="2026-02-14T00:00:00"/>
    <d v="2026-02-14T00:00:00"/>
    <d v="2026-02-25T00:00:00"/>
    <s v="2024/RQLC/1172/0001/R2"/>
    <s v="SALZILLO SERVICIOS INTEGRALES SL. - B73589814"/>
    <s v="ORES Y BRYAN SL - B29435260"/>
    <s v="Accredited Insurance (Europe) Limited"/>
    <n v="337.06739130434784"/>
    <n v="0.17499999999999999"/>
    <n v="67.834812499999998"/>
    <n v="37.406053750000012"/>
    <n v="50.560108695652161"/>
    <x v="1"/>
    <s v="Performance"/>
    <s v="Cartera"/>
    <d v="2026-02-28T00:00:00"/>
    <n v="387.6275"/>
    <n v="155.80097494565217"/>
    <x v="7"/>
    <x v="1"/>
  </r>
  <r>
    <d v="2026-02-15T00:00:00"/>
    <d v="2026-02-15T00:00:00"/>
    <d v="2026-02-25T00:00:00"/>
    <s v="2023/RQLC/1155/0001/R2"/>
    <s v="NOVATION SECURITY SYSTEMS S.L. - B87209680"/>
    <s v="ORES Y BRYAN SL - B29435260"/>
    <s v="Accredited Insurance (Europe) Limited"/>
    <n v="1005.6521739130435"/>
    <n v="0.17499999999999999"/>
    <n v="202.38749999999999"/>
    <n v="111.60225000000003"/>
    <n v="150.8478260869565"/>
    <x v="1"/>
    <s v="Performance"/>
    <s v="Cartera"/>
    <d v="2026-02-28T00:00:00"/>
    <n v="1156.5"/>
    <n v="464.83757608695652"/>
    <x v="7"/>
    <x v="1"/>
  </r>
  <r>
    <d v="2026-02-20T00:00:00"/>
    <d v="2026-02-20T00:00:00"/>
    <d v="2026-02-25T00:00:00"/>
    <s v="2021/RQLC/0739/0006/R2"/>
    <s v="DOC 2001 SL - B91106393"/>
    <s v="ORES Y BRYAN SL - B29435260"/>
    <s v="Accredited Insurance (Europe) Limited"/>
    <n v="173.91"/>
    <n v="0.17499999999999999"/>
    <n v="35"/>
    <n v="19.299049750000002"/>
    <n v="26.09"/>
    <x v="1"/>
    <s v="Performance"/>
    <s v="Cartera"/>
    <d v="2026-02-28T00:00:00"/>
    <n v="200"/>
    <n v="80.389049749999998"/>
    <x v="7"/>
    <x v="1"/>
  </r>
  <r>
    <d v="2026-02-20T00:00:00"/>
    <d v="2026-02-20T00:00:00"/>
    <d v="2026-02-25T00:00:00"/>
    <s v="2021/RQLC/0739/0005/R2"/>
    <s v="DOC 2001 SL - B91106393"/>
    <s v="ORES Y BRYAN SL - B29435260"/>
    <s v="Accredited Insurance (Europe) Limited"/>
    <n v="173.91"/>
    <n v="0.17499999999999999"/>
    <n v="35"/>
    <n v="19.299049750000002"/>
    <n v="26.09"/>
    <x v="1"/>
    <s v="Performance"/>
    <s v="Cartera"/>
    <d v="2026-02-28T00:00:00"/>
    <n v="200"/>
    <n v="80.389049749999998"/>
    <x v="7"/>
    <x v="1"/>
  </r>
  <r>
    <d v="2026-02-27T00:00:00"/>
    <d v="2026-02-27T00:00:00"/>
    <d v="2026-02-27T00:00:00"/>
    <s v="2024/RQAF/1220/0006"/>
    <s v="TAYLOR WIMPEY DE ESPAÑA SA - A07248206"/>
    <s v="HOWDEN RISK SOLUTIONS SA - A28098382"/>
    <s v="Accredited Insurance (Europe) Limited"/>
    <n v="1726.9"/>
    <n v="0.17499999999999999"/>
    <n v="347.53949999999998"/>
    <n v="191.64185250000014"/>
    <n v="259.04000000000002"/>
    <x v="1"/>
    <s v="Advance payment"/>
    <s v="Nueva producción"/>
    <d v="2026-02-28T00:00:00"/>
    <n v="1985.94"/>
    <n v="798.22135250000019"/>
    <x v="7"/>
    <x v="1"/>
  </r>
  <r>
    <d v="2026-02-28T00:00:00"/>
    <d v="2026-02-18T00:00:00"/>
    <d v="2026-02-28T00:00:00"/>
    <s v="FU/D90/0000175"/>
    <s v="JUAN FRANCISCO DÍAZ GALLEGO-23237228Y"/>
    <s v="CYC MEDIADORES DE SEGUROS TÉCNICOS, S.L.-B93495729"/>
    <s v="Helvetia Compañía de Seguros, S.A.S.R."/>
    <n v="390"/>
    <n v="0.18"/>
    <n v="80.73"/>
    <n v="42.899999999999991"/>
    <n v="47.970000000000006"/>
    <x v="0"/>
    <s v="PREPOLIZA"/>
    <s v="Nueva producción"/>
    <d v="2026-02-28T00:00:00"/>
    <n v="437.97"/>
    <n v="171.6"/>
    <x v="7"/>
    <x v="1"/>
  </r>
  <r>
    <m/>
    <d v="2022-07-18T00:00:00"/>
    <m/>
    <s v="2018/RQLC/0006/0002/R4"/>
    <s v="BIOTEC ENERGIAS RENOVABLES SL-B02546802"/>
    <s v="HOWDEN"/>
    <s v="Accredited Insurance (Europe) Limited"/>
    <n v="173.91"/>
    <n v="0.15"/>
    <n v="30"/>
    <n v="22.086044999999999"/>
    <n v="26.09"/>
    <x v="1"/>
    <s v="Performance"/>
    <s v="Cartera"/>
    <d v="2022-07-31T00:00:00"/>
    <n v="200"/>
    <n v="78.176045000000002"/>
    <x v="5"/>
    <x v="2"/>
  </r>
  <r>
    <m/>
    <d v="2022-10-22T00:00:00"/>
    <m/>
    <s v="2018/RQLC/0006/0005/R4"/>
    <s v="BIOTEC ENERGIAS RENOVABLES SL-B02546802"/>
    <s v="HOWDEN"/>
    <s v="Accredited Insurance (Europe) Limited"/>
    <n v="538.59"/>
    <n v="0.15"/>
    <n v="92.906999999999996"/>
    <n v="68.400705000000002"/>
    <n v="80.790000000000006"/>
    <x v="1"/>
    <s v="Performance"/>
    <s v="Cartera"/>
    <d v="2022-10-31T00:00:00"/>
    <n v="619.38"/>
    <n v="242.09770500000002"/>
    <x v="3"/>
    <x v="2"/>
  </r>
  <r>
    <m/>
    <d v="2022-10-22T00:00:00"/>
    <m/>
    <s v="2018/RQLC/0006/0006/R4"/>
    <s v="BIOTEC ENERGIAS RENOVABLES SL-B02546802"/>
    <s v="HOWDEN"/>
    <s v="Accredited Insurance (Europe) Limited"/>
    <n v="538.59"/>
    <n v="0.15"/>
    <n v="92.906999999999996"/>
    <n v="68.400705000000002"/>
    <n v="80.790000000000006"/>
    <x v="1"/>
    <s v="Performance"/>
    <s v="Cartera"/>
    <d v="2022-10-31T00:00:00"/>
    <n v="619.38"/>
    <n v="242.09770500000002"/>
    <x v="3"/>
    <x v="2"/>
  </r>
  <r>
    <m/>
    <d v="2023-08-02T00:00:00"/>
    <m/>
    <s v="2018/RQLC/0015/0001/R5"/>
    <s v="OHLIMPIA GLOBAL TALENT ETT, SOCIEDAD LIMITADA.-B76288836"/>
    <s v="DIAGONAL"/>
    <s v="Accredited Insurance (Europe) Limited"/>
    <n v="1487.83"/>
    <n v="0.13500000000000001"/>
    <n v="230.98500000000001"/>
    <n v="214.62008499999996"/>
    <n v="223.17"/>
    <x v="1"/>
    <s v="Performance"/>
    <s v="Cartera"/>
    <d v="2023-08-31T00:00:00"/>
    <n v="1711"/>
    <n v="668.77508499999999"/>
    <x v="8"/>
    <x v="4"/>
  </r>
  <r>
    <m/>
    <d v="2024-08-02T00:00:00"/>
    <m/>
    <s v="2018/RQLC/0015/0001/R6"/>
    <s v="OHLIMPIA GLOBAL TALENT ETT, SOCIEDAD LIMITADA.-B76288836"/>
    <s v="DIAGONAL"/>
    <s v="Accredited Insurance (Europe) Limited"/>
    <n v="1487.83"/>
    <n v="0.13500000000000001"/>
    <n v="230.98500000000001"/>
    <n v="228.19653374999996"/>
    <n v="223.17"/>
    <x v="1"/>
    <s v="Performance"/>
    <s v="Cartera"/>
    <d v="2024-08-31T00:00:00"/>
    <n v="1711"/>
    <n v="682.35153374999993"/>
    <x v="8"/>
    <x v="3"/>
  </r>
  <r>
    <m/>
    <d v="2023-07-03T00:00:00"/>
    <m/>
    <s v="2018/RQLC/0027/0001/R5"/>
    <s v="AVANZA SOLUTIONS &amp; PROJETS S.L.-B14200562"/>
    <s v="ORES"/>
    <s v="Accredited Insurance (Europe) Limited"/>
    <n v="247.48"/>
    <n v="0.17499999999999999"/>
    <n v="49.804999999999993"/>
    <n v="24.315259999999995"/>
    <n v="37.119999999999997"/>
    <x v="1"/>
    <s v="Performance"/>
    <s v="Cartera"/>
    <d v="2023-07-31T00:00:00"/>
    <n v="284.59999999999997"/>
    <n v="111.24025999999998"/>
    <x v="5"/>
    <x v="4"/>
  </r>
  <r>
    <m/>
    <d v="2024-07-03T00:00:00"/>
    <m/>
    <s v="2018/RQLC/0027/0001/R6"/>
    <s v="AVANZA SOLUTIONS &amp; PROJETS S.L.-B14200562"/>
    <s v="ORES"/>
    <s v="Accredited Insurance (Europe) Limited"/>
    <n v="247.48"/>
    <n v="0.17499999999999999"/>
    <n v="49.804999999999993"/>
    <n v="26.573515"/>
    <n v="37.119999999999997"/>
    <x v="1"/>
    <s v="Performance"/>
    <s v="Cartera"/>
    <d v="2024-07-31T00:00:00"/>
    <n v="284.59999999999997"/>
    <n v="113.498515"/>
    <x v="5"/>
    <x v="3"/>
  </r>
  <r>
    <m/>
    <d v="2024-01-21T00:00:00"/>
    <m/>
    <s v="2018/RQLC/0048/0015/R5"/>
    <s v="PROYECTOS Y MONTAJES INGEMONT SA-A91614263"/>
    <s v="ORES"/>
    <s v="Accredited Insurance (Europe) Limited"/>
    <n v="86.96"/>
    <n v="0.17499999999999999"/>
    <n v="17.5"/>
    <n v="9.3380299999999963"/>
    <n v="13.04"/>
    <x v="1"/>
    <s v="Performance"/>
    <s v="Cartera"/>
    <d v="2024-01-31T00:00:00"/>
    <n v="100"/>
    <n v="39.878029999999995"/>
    <x v="1"/>
    <x v="3"/>
  </r>
  <r>
    <m/>
    <d v="2024-03-08T00:00:00"/>
    <m/>
    <s v="2018/RQLC/0048/0018/R5"/>
    <s v="PROYECTOS Y MONTAJES INGEMONT SA-A91614263"/>
    <s v="ORES"/>
    <s v="Accredited Insurance (Europe) Limited"/>
    <n v="86.96"/>
    <n v="0.17499999999999999"/>
    <n v="17.5"/>
    <n v="9.3380299999999963"/>
    <n v="13.04"/>
    <x v="1"/>
    <s v="Performance"/>
    <s v="Cartera"/>
    <d v="2024-03-31T00:00:00"/>
    <n v="100"/>
    <n v="39.878029999999995"/>
    <x v="6"/>
    <x v="3"/>
  </r>
  <r>
    <m/>
    <d v="2023-11-12T00:00:00"/>
    <m/>
    <s v="2018/RQLC/0048/0026/R4"/>
    <s v="PROYECTOS Y MONTAJES INGEMONT SA-A91614263"/>
    <s v="ORES"/>
    <s v="Accredited Insurance (Europe) Limited"/>
    <n v="86.96"/>
    <n v="0.17499999999999999"/>
    <n v="17.5"/>
    <n v="8.5445199999999986"/>
    <n v="13.04"/>
    <x v="1"/>
    <s v="Performance"/>
    <s v="Cartera"/>
    <d v="2023-11-30T00:00:00"/>
    <n v="100"/>
    <n v="39.084519999999998"/>
    <x v="4"/>
    <x v="4"/>
  </r>
  <r>
    <m/>
    <d v="2023-11-19T00:00:00"/>
    <m/>
    <s v="2018/RQLC/0048/0028/R4"/>
    <s v="PROYECTOS Y MONTAJES INGEMONT SA-A91614263"/>
    <s v="ORES"/>
    <s v="Accredited Insurance (Europe) Limited"/>
    <n v="110.02"/>
    <n v="0.17499999999999999"/>
    <n v="22.140999999999998"/>
    <n v="10.809989999999999"/>
    <n v="16.5"/>
    <x v="1"/>
    <s v="Performance"/>
    <s v="Cartera"/>
    <d v="2023-11-30T00:00:00"/>
    <n v="126.52"/>
    <n v="49.450989999999997"/>
    <x v="4"/>
    <x v="4"/>
  </r>
  <r>
    <m/>
    <d v="2024-04-04T00:00:00"/>
    <m/>
    <s v="2018/RQLC/0048/0021/R5"/>
    <s v="PROYECTOS Y MONTAJES INGEMONT SA-A91614263"/>
    <s v="ORES"/>
    <s v="Accredited Insurance (Europe) Limited"/>
    <n v="450.51"/>
    <n v="0.17499999999999999"/>
    <n v="90.665750000000003"/>
    <n v="48.37289874999999"/>
    <n v="67.58"/>
    <x v="1"/>
    <s v="Performance"/>
    <s v="Cartera"/>
    <d v="2024-04-30T00:00:00"/>
    <n v="518.09"/>
    <n v="206.61864874999998"/>
    <x v="10"/>
    <x v="3"/>
  </r>
  <r>
    <m/>
    <d v="2023-11-19T00:00:00"/>
    <m/>
    <s v="2018/RQLC/0048/0027/R4"/>
    <s v="PROYECTOS Y MONTAJES INGEMONT SA-A91614263"/>
    <s v="ORES"/>
    <s v="Accredited Insurance (Europe) Limited"/>
    <n v="86.96"/>
    <n v="0.17499999999999999"/>
    <n v="17.5"/>
    <n v="8.5445199999999986"/>
    <n v="13.04"/>
    <x v="1"/>
    <s v="Performance"/>
    <s v="Cartera"/>
    <d v="2023-11-30T00:00:00"/>
    <n v="100"/>
    <n v="39.084519999999998"/>
    <x v="4"/>
    <x v="4"/>
  </r>
  <r>
    <m/>
    <d v="2024-03-12T00:00:00"/>
    <m/>
    <s v="2018/RQLC/0048/0019/R5"/>
    <s v="PROYECTOS Y MONTAJES INGEMONT SA-A91614263"/>
    <s v="ORES"/>
    <s v="Accredited Insurance (Europe) Limited"/>
    <n v="172.78"/>
    <n v="0.17499999999999999"/>
    <n v="34.772499999999994"/>
    <n v="18.551727500000005"/>
    <n v="25.92"/>
    <x v="1"/>
    <s v="Performance"/>
    <s v="Cartera"/>
    <d v="2024-03-31T00:00:00"/>
    <n v="198.7"/>
    <n v="79.244227499999994"/>
    <x v="6"/>
    <x v="3"/>
  </r>
  <r>
    <m/>
    <d v="2024-04-11T00:00:00"/>
    <m/>
    <s v="2018/RQLC/0048/0023/R5"/>
    <s v="PROYECTOS Y MONTAJES INGEMONT SA-A91614263"/>
    <s v="ORES"/>
    <s v="Accredited Insurance (Europe) Limited"/>
    <n v="86.96"/>
    <n v="0.17499999999999999"/>
    <n v="17.5"/>
    <n v="9.3380299999999963"/>
    <n v="13.04"/>
    <x v="1"/>
    <s v="Performance"/>
    <s v="Cartera"/>
    <d v="2024-04-30T00:00:00"/>
    <n v="100"/>
    <n v="39.878029999999995"/>
    <x v="10"/>
    <x v="3"/>
  </r>
  <r>
    <m/>
    <d v="2024-03-30T00:00:00"/>
    <m/>
    <s v="2018/RQLC/0048/0020/R5"/>
    <s v="PROYECTOS Y MONTAJES INGEMONT SA-A91614263"/>
    <s v="ORES"/>
    <s v="Accredited Insurance (Europe) Limited"/>
    <n v="450.51"/>
    <n v="0.17499999999999999"/>
    <n v="90.665750000000003"/>
    <n v="48.37289874999999"/>
    <n v="67.58"/>
    <x v="1"/>
    <s v="Performance"/>
    <s v="Cartera"/>
    <d v="2024-03-31T00:00:00"/>
    <n v="518.09"/>
    <n v="206.61864874999998"/>
    <x v="6"/>
    <x v="3"/>
  </r>
  <r>
    <m/>
    <d v="2024-01-21T00:00:00"/>
    <m/>
    <s v="2018/RQLC/0048/0016/R5"/>
    <s v="PROYECTOS Y MONTAJES INGEMONT SA-A91614263"/>
    <s v="ORES"/>
    <s v="Accredited Insurance (Europe) Limited"/>
    <n v="86.96"/>
    <n v="0.17499999999999999"/>
    <n v="17.5"/>
    <n v="9.3380299999999963"/>
    <n v="13.04"/>
    <x v="1"/>
    <s v="Performance"/>
    <s v="Cartera"/>
    <d v="2024-01-31T00:00:00"/>
    <n v="100"/>
    <n v="39.878029999999995"/>
    <x v="1"/>
    <x v="3"/>
  </r>
  <r>
    <m/>
    <d v="2023-10-08T00:00:00"/>
    <m/>
    <s v="2018/RQLC/0048/0025/R4"/>
    <s v="PROYECTOS Y MONTAJES INGEMONT SA-A91614263"/>
    <s v="ORES"/>
    <s v="Accredited Insurance (Europe) Limited"/>
    <n v="86.96"/>
    <n v="0.17499999999999999"/>
    <n v="17.5"/>
    <n v="8.5445199999999986"/>
    <n v="13.04"/>
    <x v="1"/>
    <s v="Performance"/>
    <s v="Cartera"/>
    <d v="2023-10-31T00:00:00"/>
    <n v="100"/>
    <n v="39.084519999999998"/>
    <x v="3"/>
    <x v="4"/>
  </r>
  <r>
    <m/>
    <d v="2024-07-30T00:00:00"/>
    <m/>
    <s v="2018/RQLC/0048/0001/R6"/>
    <s v="PROYECTOS Y MONTAJES INGEMONT SA-A91614263"/>
    <s v="ORES"/>
    <s v="Accredited Insurance (Europe) Limited"/>
    <n v="151.47"/>
    <n v="0.17499999999999999"/>
    <n v="30.483249999999998"/>
    <n v="16.264178749999999"/>
    <n v="22.72"/>
    <x v="1"/>
    <s v="Performance"/>
    <s v="Cartera"/>
    <d v="2024-07-31T00:00:00"/>
    <n v="174.19"/>
    <n v="69.467428749999996"/>
    <x v="5"/>
    <x v="3"/>
  </r>
  <r>
    <m/>
    <d v="2024-02-01T00:00:00"/>
    <m/>
    <s v="2018/RQLC/0048/0017/R5"/>
    <s v="PROYECTOS Y MONTAJES INGEMONT SA-A91614263"/>
    <s v="ORES"/>
    <s v="Accredited Insurance (Europe) Limited"/>
    <n v="86.96"/>
    <n v="0.17499999999999999"/>
    <n v="17.5"/>
    <n v="9.3380299999999963"/>
    <n v="13.04"/>
    <x v="1"/>
    <s v="Performance"/>
    <s v="Cartera"/>
    <d v="2024-02-29T00:00:00"/>
    <n v="100"/>
    <n v="39.878029999999995"/>
    <x v="7"/>
    <x v="3"/>
  </r>
  <r>
    <m/>
    <d v="2021-08-22T00:00:00"/>
    <m/>
    <s v="2018/RQLC/0059/0001/R3"/>
    <s v="ESPACIOS INTEGRALES EUROVIP SL.-B87737573"/>
    <s v="VIAFINA"/>
    <s v="Accredited Insurance (Europe) Limited"/>
    <n v="173.91"/>
    <n v="0"/>
    <n v="0"/>
    <n v="51.216494999999995"/>
    <n v="26.09"/>
    <x v="1"/>
    <s v="Performance"/>
    <s v="Cartera"/>
    <d v="2021-08-31T00:00:00"/>
    <n v="200"/>
    <n v="77.306494999999998"/>
    <x v="8"/>
    <x v="5"/>
  </r>
  <r>
    <m/>
    <d v="2021-08-22T00:00:00"/>
    <m/>
    <s v="2018/RQLC/0059/0002/R3"/>
    <s v="ESPACIOS INTEGRALES EUROVIP SL.-B87737573"/>
    <s v="VIAFINA"/>
    <s v="Accredited Insurance (Europe) Limited"/>
    <n v="173.91"/>
    <n v="0"/>
    <n v="0"/>
    <n v="51.216494999999995"/>
    <n v="26.09"/>
    <x v="1"/>
    <s v="Performance"/>
    <s v="Cartera"/>
    <d v="2021-08-31T00:00:00"/>
    <n v="200"/>
    <n v="77.306494999999998"/>
    <x v="8"/>
    <x v="5"/>
  </r>
  <r>
    <m/>
    <d v="2023-02-13T00:00:00"/>
    <m/>
    <s v="2018/RQLC/0051/0003/R4"/>
    <s v="MERSANT VIGILANCIA SOCIEDAD LIMITADA.-B90229790"/>
    <s v="ORES"/>
    <s v="Accredited Insurance (Europe) Limited"/>
    <n v="86.96"/>
    <n v="0.17499999999999999"/>
    <n v="17.5"/>
    <n v="8.5445199999999986"/>
    <n v="13.04"/>
    <x v="1"/>
    <s v="Performance"/>
    <s v="Cartera"/>
    <d v="2023-02-28T00:00:00"/>
    <n v="100"/>
    <n v="39.084519999999998"/>
    <x v="7"/>
    <x v="4"/>
  </r>
  <r>
    <m/>
    <d v="2024-02-13T00:00:00"/>
    <m/>
    <s v="2018/RQLC/0051/0003/R5"/>
    <s v="MERSANT VIGILANCIA SOCIEDAD LIMITADA.-B90229790"/>
    <s v="ORES"/>
    <s v="Accredited Insurance (Europe) Limited"/>
    <n v="86.96"/>
    <n v="0.17499999999999999"/>
    <n v="17.5"/>
    <n v="9.3380299999999963"/>
    <n v="13.04"/>
    <x v="1"/>
    <s v="Performance"/>
    <s v="Cartera"/>
    <d v="2024-02-29T00:00:00"/>
    <n v="100"/>
    <n v="39.878029999999995"/>
    <x v="7"/>
    <x v="3"/>
  </r>
  <r>
    <m/>
    <d v="2024-05-20T00:00:00"/>
    <m/>
    <s v="2018/RQLC/0048/0038/R4"/>
    <s v="PROYECTOS Y MONTAJES INGEMONT SA-A91614263"/>
    <s v="ORES"/>
    <s v="Accredited Insurance (Europe) Limited"/>
    <n v="86.96"/>
    <n v="0.17499999999999999"/>
    <n v="17.5"/>
    <n v="9.3380299999999963"/>
    <n v="13.04"/>
    <x v="1"/>
    <s v="Performance"/>
    <s v="Cartera"/>
    <d v="2024-05-31T00:00:00"/>
    <n v="100"/>
    <n v="39.878029999999995"/>
    <x v="11"/>
    <x v="3"/>
  </r>
  <r>
    <m/>
    <d v="2023-02-13T00:00:00"/>
    <m/>
    <s v="2018/RQLC/0051/0004/R4"/>
    <s v="MERSANT VIGILANCIA SOCIEDAD LIMITADA.-B90229790"/>
    <s v="ORES"/>
    <s v="Accredited Insurance (Europe) Limited"/>
    <n v="86.96"/>
    <n v="0.17499999999999999"/>
    <n v="17.5"/>
    <n v="8.5445199999999986"/>
    <n v="13.04"/>
    <x v="1"/>
    <s v="Performance"/>
    <s v="Cartera"/>
    <d v="2023-02-28T00:00:00"/>
    <n v="100"/>
    <n v="39.084519999999998"/>
    <x v="7"/>
    <x v="4"/>
  </r>
  <r>
    <m/>
    <d v="2024-02-13T00:00:00"/>
    <m/>
    <s v="2018/RQLC/0051/0004/R5"/>
    <s v="MERSANT VIGILANCIA SOCIEDAD LIMITADA.-B90229790"/>
    <s v="ORES"/>
    <s v="Accredited Insurance (Europe) Limited"/>
    <n v="86.96"/>
    <n v="0.17499999999999999"/>
    <n v="17.5"/>
    <n v="9.3380299999999963"/>
    <n v="13.04"/>
    <x v="1"/>
    <s v="Performance"/>
    <s v="Cartera"/>
    <d v="2024-02-29T00:00:00"/>
    <n v="100"/>
    <n v="39.878029999999995"/>
    <x v="7"/>
    <x v="3"/>
  </r>
  <r>
    <m/>
    <d v="2023-11-19T00:00:00"/>
    <m/>
    <s v="2018/RQLC/0048/0029/R4"/>
    <s v="PROYECTOS Y MONTAJES INGEMONT SA-A91614263"/>
    <s v="ORES"/>
    <s v="Accredited Insurance (Europe) Limited"/>
    <n v="124.37"/>
    <n v="0.17499999999999999"/>
    <n v="25.030249999999999"/>
    <n v="12.218565000000002"/>
    <n v="18.66"/>
    <x v="1"/>
    <s v="Performance"/>
    <s v="Cartera"/>
    <d v="2023-11-30T00:00:00"/>
    <n v="143.03"/>
    <n v="55.908815000000004"/>
    <x v="4"/>
    <x v="4"/>
  </r>
  <r>
    <m/>
    <d v="2024-06-08T00:00:00"/>
    <m/>
    <s v="2018/RQLC/0048/0039/R4"/>
    <s v="PROYECTOS Y MONTAJES INGEMONT SA-A91614263"/>
    <s v="ORES"/>
    <s v="Accredited Insurance (Europe) Limited"/>
    <n v="86.96"/>
    <n v="0.17499999999999999"/>
    <n v="17.5"/>
    <n v="9.3380299999999963"/>
    <n v="13.04"/>
    <x v="1"/>
    <s v="Performance"/>
    <s v="Cartera"/>
    <d v="2024-06-30T00:00:00"/>
    <n v="100"/>
    <n v="39.878029999999995"/>
    <x v="2"/>
    <x v="3"/>
  </r>
  <r>
    <m/>
    <d v="2022-12-05T00:00:00"/>
    <m/>
    <s v="2018/RQLC/0051/0001/R4"/>
    <s v="MERSANT VIGILANCIA SOCIEDAD LIMITADA.-B90229790"/>
    <s v="ORES"/>
    <s v="Accredited Insurance (Europe) Limited"/>
    <n v="187.51"/>
    <n v="0.17499999999999999"/>
    <n v="37.736999999999995"/>
    <n v="18.422245000000004"/>
    <n v="28.13"/>
    <x v="1"/>
    <s v="Performance"/>
    <s v="Cartera"/>
    <d v="2022-12-31T00:00:00"/>
    <n v="215.64"/>
    <n v="84.289244999999994"/>
    <x v="0"/>
    <x v="2"/>
  </r>
  <r>
    <m/>
    <d v="2023-12-05T00:00:00"/>
    <m/>
    <s v="2018/RQLC/0051/0001/R5"/>
    <s v="MERSANT VIGILANCIA SOCIEDAD LIMITADA.-B90229790"/>
    <s v="ORES"/>
    <s v="Accredited Insurance (Europe) Limited"/>
    <n v="187.51"/>
    <n v="0.17499999999999999"/>
    <n v="37.736999999999995"/>
    <n v="18.422245000000004"/>
    <n v="28.13"/>
    <x v="1"/>
    <s v="Performance"/>
    <s v="Cartera"/>
    <d v="2023-12-31T00:00:00"/>
    <n v="215.64"/>
    <n v="84.289244999999994"/>
    <x v="0"/>
    <x v="4"/>
  </r>
  <r>
    <m/>
    <d v="2022-03-23T00:00:00"/>
    <m/>
    <s v="2018/RQLC/0051/0005/R2"/>
    <s v="MERSANT VIGILANCIA SOCIEDAD LIMITADA.-B90229790"/>
    <s v="ORES"/>
    <s v="Accredited Insurance (Europe) Limited"/>
    <n v="86.96"/>
    <n v="0.17499999999999999"/>
    <n v="17.5"/>
    <n v="8.5445199999999986"/>
    <n v="13.04"/>
    <x v="1"/>
    <s v="Performance"/>
    <s v="Cartera"/>
    <d v="2022-03-31T00:00:00"/>
    <n v="100"/>
    <n v="39.084519999999998"/>
    <x v="6"/>
    <x v="2"/>
  </r>
  <r>
    <m/>
    <d v="2023-03-23T00:00:00"/>
    <m/>
    <s v="2018/RQLC/0051/0005/R3"/>
    <s v="MERSANT VIGILANCIA SOCIEDAD LIMITADA.-B90229790"/>
    <s v="ORES"/>
    <s v="Accredited Insurance (Europe) Limited"/>
    <n v="86.96"/>
    <n v="0.17499999999999999"/>
    <n v="17.5"/>
    <n v="8.5445199999999986"/>
    <n v="13.04"/>
    <x v="1"/>
    <s v="Performance"/>
    <s v="Cartera"/>
    <d v="2023-03-31T00:00:00"/>
    <n v="100"/>
    <n v="39.084519999999998"/>
    <x v="6"/>
    <x v="4"/>
  </r>
  <r>
    <m/>
    <d v="2023-11-19T00:00:00"/>
    <m/>
    <s v="2018/RQLC/0048/0030/R4"/>
    <s v="PROYECTOS Y MONTAJES INGEMONT SA-A91614263"/>
    <s v="ORES"/>
    <s v="Accredited Insurance (Europe) Limited"/>
    <n v="86.96"/>
    <n v="0.17499999999999999"/>
    <n v="17.5"/>
    <n v="8.5445199999999986"/>
    <n v="13.04"/>
    <x v="1"/>
    <s v="Performance"/>
    <s v="Cartera"/>
    <d v="2023-11-30T00:00:00"/>
    <n v="100"/>
    <n v="39.084519999999998"/>
    <x v="4"/>
    <x v="4"/>
  </r>
  <r>
    <m/>
    <d v="2024-06-09T00:00:00"/>
    <m/>
    <s v="2018/RQLC/0048/0040/R4"/>
    <s v="PROYECTOS Y MONTAJES INGEMONT SA-A91614263"/>
    <s v="ORES"/>
    <s v="Accredited Insurance (Europe) Limited"/>
    <n v="86.96"/>
    <n v="0.17499999999999999"/>
    <n v="17.5"/>
    <n v="9.3380299999999963"/>
    <n v="13.04"/>
    <x v="1"/>
    <s v="Performance"/>
    <s v="Cartera"/>
    <d v="2024-06-30T00:00:00"/>
    <n v="100"/>
    <n v="39.878029999999995"/>
    <x v="2"/>
    <x v="3"/>
  </r>
  <r>
    <m/>
    <d v="2024-03-23T00:00:00"/>
    <m/>
    <s v="2018/RQLC/0051/0005/R4"/>
    <s v="MERSANT VIGILANCIA SOCIEDAD LIMITADA.-B90229790"/>
    <s v="ORES"/>
    <s v="Accredited Insurance (Europe) Limited"/>
    <n v="86.96"/>
    <n v="0.17499999999999999"/>
    <n v="17.5"/>
    <n v="9.3380299999999963"/>
    <n v="13.04"/>
    <x v="1"/>
    <s v="Performance"/>
    <s v="Cartera"/>
    <d v="2024-03-31T00:00:00"/>
    <n v="100"/>
    <n v="39.878029999999995"/>
    <x v="6"/>
    <x v="3"/>
  </r>
  <r>
    <m/>
    <d v="2022-01-29T00:00:00"/>
    <m/>
    <s v="2018/RQLC/0051/0002/R3"/>
    <s v="MERSANT VIGILANCIA SOCIEDAD LIMITADA.-B90229790"/>
    <s v="ORES"/>
    <s v="Accredited Insurance (Europe) Limited"/>
    <n v="419.95"/>
    <n v="0.17499999999999999"/>
    <n v="84.514499999999998"/>
    <n v="41.260524999999987"/>
    <n v="62.99"/>
    <x v="1"/>
    <s v="Performance"/>
    <s v="Cartera"/>
    <d v="2022-01-31T00:00:00"/>
    <n v="482.94"/>
    <n v="188.76502499999998"/>
    <x v="1"/>
    <x v="2"/>
  </r>
  <r>
    <m/>
    <d v="2023-01-29T00:00:00"/>
    <m/>
    <s v="2018/RQLC/0051/0002/R4"/>
    <s v="MERSANT VIGILANCIA SOCIEDAD LIMITADA.-B90229790"/>
    <s v="ORES"/>
    <s v="Accredited Insurance (Europe) Limited"/>
    <n v="419.95"/>
    <n v="0.17499999999999999"/>
    <n v="84.514499999999998"/>
    <n v="41.260524999999987"/>
    <n v="62.99"/>
    <x v="1"/>
    <s v="Performance"/>
    <s v="Cartera"/>
    <d v="2023-01-31T00:00:00"/>
    <n v="482.94"/>
    <n v="188.76502499999998"/>
    <x v="1"/>
    <x v="4"/>
  </r>
  <r>
    <m/>
    <d v="2024-01-29T00:00:00"/>
    <m/>
    <s v="2018/RQLC/0051/0002/R5"/>
    <s v="MERSANT VIGILANCIA SOCIEDAD LIMITADA.-B90229790"/>
    <s v="ORES"/>
    <s v="Accredited Insurance (Europe) Limited"/>
    <n v="419.95"/>
    <n v="0.17499999999999999"/>
    <n v="84.514499999999998"/>
    <n v="45.092568749999998"/>
    <n v="62.99"/>
    <x v="1"/>
    <s v="Performance"/>
    <s v="Cartera"/>
    <d v="2024-01-31T00:00:00"/>
    <n v="482.94"/>
    <n v="192.59706875000001"/>
    <x v="1"/>
    <x v="3"/>
  </r>
  <r>
    <m/>
    <d v="2023-11-26T00:00:00"/>
    <m/>
    <s v="2018/RQLC/0048/0031/R4"/>
    <s v="PROYECTOS Y MONTAJES INGEMONT SA-A91614263"/>
    <s v="ORES"/>
    <s v="Accredited Insurance (Europe) Limited"/>
    <n v="140.22999999999999"/>
    <n v="0.17499999999999999"/>
    <n v="28.220499999999998"/>
    <n v="13.778384999999997"/>
    <n v="21.03"/>
    <x v="1"/>
    <s v="Performance"/>
    <s v="Cartera"/>
    <d v="2023-11-30T00:00:00"/>
    <n v="161.26"/>
    <n v="63.028884999999995"/>
    <x v="4"/>
    <x v="4"/>
  </r>
  <r>
    <m/>
    <d v="2024-06-30T00:00:00"/>
    <m/>
    <s v="2018/RQLC/0048/0041/R4"/>
    <s v="PROYECTOS Y MONTAJES INGEMONT SA-A91614263"/>
    <s v="ORES"/>
    <s v="Accredited Insurance (Europe) Limited"/>
    <n v="86.96"/>
    <n v="0.17499999999999999"/>
    <n v="17.5"/>
    <n v="9.3380299999999963"/>
    <n v="13.04"/>
    <x v="1"/>
    <s v="Performance"/>
    <s v="Cartera"/>
    <d v="2024-06-30T00:00:00"/>
    <n v="100"/>
    <n v="39.878029999999995"/>
    <x v="2"/>
    <x v="3"/>
  </r>
  <r>
    <m/>
    <d v="2021-09-18T00:00:00"/>
    <m/>
    <s v="2018/RQLC/0065/0001/R3"/>
    <s v="VEGA OIL ESTACIONES SL-B56079775"/>
    <s v="VIAFINA"/>
    <s v="Accredited Insurance (Europe) Limited"/>
    <n v="352.17"/>
    <n v="0"/>
    <n v="0"/>
    <n v="103.71406500000001"/>
    <n v="52.83"/>
    <x v="1"/>
    <s v="Performance"/>
    <s v="Cartera"/>
    <d v="2021-09-30T00:00:00"/>
    <n v="405"/>
    <n v="156.54406499999999"/>
    <x v="9"/>
    <x v="5"/>
  </r>
  <r>
    <m/>
    <d v="2022-09-18T00:00:00"/>
    <m/>
    <s v="2018/RQLC/0065/0001/R4"/>
    <s v="VEGA OIL ESTACIONES SL-B56079775"/>
    <s v="VIAFINA"/>
    <s v="Accredited Insurance (Europe) Limited"/>
    <n v="352.17"/>
    <n v="0"/>
    <n v="0"/>
    <n v="105.474915"/>
    <n v="52.83"/>
    <x v="1"/>
    <s v="Performance"/>
    <s v="Cartera"/>
    <d v="2022-09-30T00:00:00"/>
    <n v="405"/>
    <n v="158.30491499999999"/>
    <x v="9"/>
    <x v="2"/>
  </r>
  <r>
    <m/>
    <d v="2023-09-18T00:00:00"/>
    <m/>
    <s v="2018/RQLC/0065/0001/R5"/>
    <s v="VEGA OIL ESTACIONES SL-B56079775"/>
    <s v="VIAFINA"/>
    <s v="Accredited Insurance (Europe) Limited"/>
    <n v="352.17"/>
    <n v="0"/>
    <n v="0"/>
    <n v="105.474915"/>
    <n v="52.83"/>
    <x v="1"/>
    <s v="Performance"/>
    <s v="Cartera"/>
    <d v="2023-09-30T00:00:00"/>
    <n v="405"/>
    <n v="158.30491499999999"/>
    <x v="9"/>
    <x v="4"/>
  </r>
  <r>
    <m/>
    <d v="2020-09-17T00:00:00"/>
    <m/>
    <s v="2018/RQLC/0065/0001/R2"/>
    <s v="VEGA OIL ESTACIONES SL-B56079775"/>
    <s v="VIAFINA"/>
    <s v="Accredited Insurance (Europe) Limited"/>
    <n v="352.17"/>
    <n v="0"/>
    <n v="0"/>
    <n v="106.531425"/>
    <n v="52.83"/>
    <x v="1"/>
    <s v="Performance"/>
    <s v="Cartera"/>
    <d v="2020-09-30T00:00:00"/>
    <n v="405"/>
    <n v="159.361425"/>
    <x v="9"/>
    <x v="6"/>
  </r>
  <r>
    <m/>
    <d v="2019-11-14T00:00:00"/>
    <m/>
    <s v="2018/RQLC/0110/0002/R1"/>
    <s v="TEMPO FACILITY SERVICES SL.-B66226234"/>
    <s v="ORES"/>
    <s v="Accredited Insurance (Europe) Limited"/>
    <n v="191.14"/>
    <n v="0.17499999999999999"/>
    <n v="38.466749999999998"/>
    <n v="19.544239999999995"/>
    <n v="28.67"/>
    <x v="1"/>
    <s v="Performance"/>
    <s v="Cartera"/>
    <d v="2019-11-30T00:00:00"/>
    <n v="219.81"/>
    <n v="86.680989999999994"/>
    <x v="4"/>
    <x v="7"/>
  </r>
  <r>
    <m/>
    <d v="2020-11-14T00:00:00"/>
    <m/>
    <s v="2018/RQLC/0110/0002/R2"/>
    <s v="TEMPO FACILITY SERVICES SL.-B66226234"/>
    <s v="ORES"/>
    <s v="Accredited Insurance (Europe) Limited"/>
    <n v="191.14"/>
    <n v="0.17499999999999999"/>
    <n v="38.466749999999998"/>
    <n v="19.353099999999998"/>
    <n v="28.67"/>
    <x v="1"/>
    <s v="Performance"/>
    <s v="Cartera"/>
    <d v="2020-11-30T00:00:00"/>
    <n v="219.81"/>
    <n v="86.48984999999999"/>
    <x v="4"/>
    <x v="6"/>
  </r>
  <r>
    <m/>
    <d v="2019-11-23T00:00:00"/>
    <m/>
    <s v="2018/RQLC/0110/0011/R1"/>
    <s v="TEMPO FACILITY SERVICES SL.-B66226234"/>
    <s v="ORES"/>
    <s v="Accredited Insurance (Europe) Limited"/>
    <n v="67.930000000000007"/>
    <n v="0.17499999999999999"/>
    <n v="13.670999999999999"/>
    <n v="6.9457550000000019"/>
    <n v="10.19"/>
    <x v="1"/>
    <s v="Performance"/>
    <s v="Cartera"/>
    <d v="2019-11-30T00:00:00"/>
    <n v="78.12"/>
    <n v="30.806755000000003"/>
    <x v="4"/>
    <x v="7"/>
  </r>
  <r>
    <m/>
    <d v="2021-11-14T00:00:00"/>
    <m/>
    <s v="2018/RQLC/0110/0002/R3"/>
    <s v="TEMPO FACILITY SERVICES SL.-B66226234"/>
    <s v="ORES"/>
    <s v="Accredited Insurance (Europe) Limited"/>
    <n v="191.14"/>
    <n v="0.17499999999999999"/>
    <n v="38.466749999999998"/>
    <n v="17.823979999999999"/>
    <n v="28.67"/>
    <x v="1"/>
    <s v="Performance"/>
    <s v="Cartera"/>
    <d v="2021-11-30T00:00:00"/>
    <n v="219.81"/>
    <n v="84.960729999999998"/>
    <x v="4"/>
    <x v="5"/>
  </r>
  <r>
    <m/>
    <d v="2019-11-19T00:00:00"/>
    <m/>
    <s v="2018/RQLC/0110/0003/R1"/>
    <s v="TEMPO FACILITY SERVICES SL.-B66226234"/>
    <s v="ORES"/>
    <s v="Accredited Insurance (Europe) Limited"/>
    <n v="180.26"/>
    <n v="0.17499999999999999"/>
    <n v="36.277499999999996"/>
    <n v="18.43141"/>
    <n v="27.04"/>
    <x v="1"/>
    <s v="Performance"/>
    <s v="Cartera"/>
    <d v="2019-11-30T00:00:00"/>
    <n v="207.29999999999998"/>
    <n v="81.748909999999995"/>
    <x v="4"/>
    <x v="7"/>
  </r>
  <r>
    <m/>
    <d v="2020-11-19T00:00:00"/>
    <m/>
    <s v="2018/RQLC/0110/0003/R2"/>
    <s v="TEMPO FACILITY SERVICES SL.-B66226234"/>
    <s v="ORES"/>
    <s v="Accredited Insurance (Europe) Limited"/>
    <n v="180.26"/>
    <n v="0.17499999999999999"/>
    <n v="36.277499999999996"/>
    <n v="18.251150000000003"/>
    <n v="27.04"/>
    <x v="1"/>
    <s v="Performance"/>
    <s v="Cartera"/>
    <d v="2020-11-30T00:00:00"/>
    <n v="207.29999999999998"/>
    <n v="81.568649999999991"/>
    <x v="4"/>
    <x v="6"/>
  </r>
  <r>
    <m/>
    <d v="2020-11-23T00:00:00"/>
    <m/>
    <s v="2018/RQLC/0110/0011/R2"/>
    <s v="TEMPO FACILITY SERVICES SL.-B66226234"/>
    <s v="ORES"/>
    <s v="Accredited Insurance (Europe) Limited"/>
    <n v="67.930000000000007"/>
    <n v="0.17499999999999999"/>
    <n v="13.670999999999999"/>
    <n v="6.8778250000000014"/>
    <n v="10.19"/>
    <x v="1"/>
    <s v="Performance"/>
    <s v="Cartera"/>
    <d v="2020-11-30T00:00:00"/>
    <n v="78.12"/>
    <n v="30.738824999999999"/>
    <x v="4"/>
    <x v="6"/>
  </r>
  <r>
    <m/>
    <d v="2021-11-23T00:00:00"/>
    <m/>
    <s v="2018/RQLC/0110/0011/R3"/>
    <s v="TEMPO FACILITY SERVICES SL.-B66226234"/>
    <s v="ORES"/>
    <s v="Accredited Insurance (Europe) Limited"/>
    <n v="86.96"/>
    <n v="0.17499999999999999"/>
    <n v="17.5"/>
    <n v="8.1097199999999958"/>
    <n v="13.04"/>
    <x v="1"/>
    <s v="Performance"/>
    <s v="Cartera"/>
    <d v="2021-11-30T00:00:00"/>
    <n v="100"/>
    <n v="38.649719999999995"/>
    <x v="4"/>
    <x v="5"/>
  </r>
  <r>
    <m/>
    <d v="2021-11-19T00:00:00"/>
    <m/>
    <s v="2018/RQLC/0110/0003/R3"/>
    <s v="TEMPO FACILITY SERVICES SL.-B66226234"/>
    <s v="ORES"/>
    <s v="Accredited Insurance (Europe) Limited"/>
    <n v="180.26"/>
    <n v="0.17499999999999999"/>
    <n v="36.277499999999996"/>
    <n v="16.809069999999998"/>
    <n v="27.04"/>
    <x v="1"/>
    <s v="Performance"/>
    <s v="Cartera"/>
    <d v="2021-11-30T00:00:00"/>
    <n v="207.29999999999998"/>
    <n v="80.126569999999987"/>
    <x v="4"/>
    <x v="5"/>
  </r>
  <r>
    <m/>
    <d v="2019-11-23T00:00:00"/>
    <m/>
    <s v="2018/RQLC/0110/0012/R1"/>
    <s v="TEMPO FACILITY SERVICES SL.-B66226234"/>
    <s v="ORES"/>
    <s v="Accredited Insurance (Europe) Limited"/>
    <n v="65"/>
    <n v="0.17499999999999999"/>
    <n v="11.375"/>
    <n v="8.3524999999999991"/>
    <n v="0"/>
    <x v="1"/>
    <s v="Performance"/>
    <s v="Cartera"/>
    <d v="2019-11-30T00:00:00"/>
    <n v="65"/>
    <n v="19.727499999999999"/>
    <x v="4"/>
    <x v="7"/>
  </r>
  <r>
    <m/>
    <d v="2019-11-23T00:00:00"/>
    <m/>
    <s v="2018/RQLC/0110/0004/R1"/>
    <s v="TEMPO FACILITY SERVICES SL.-B66226234"/>
    <s v="ORES"/>
    <s v="Accredited Insurance (Europe) Limited"/>
    <n v="65"/>
    <n v="0.17499999999999999"/>
    <n v="11.375"/>
    <n v="8.3524999999999991"/>
    <n v="0"/>
    <x v="1"/>
    <s v="Performance"/>
    <s v="Cartera"/>
    <d v="2019-11-30T00:00:00"/>
    <n v="65"/>
    <n v="19.727499999999999"/>
    <x v="4"/>
    <x v="7"/>
  </r>
  <r>
    <m/>
    <d v="2020-11-23T00:00:00"/>
    <m/>
    <s v="2018/RQLC/0110/0004/R2"/>
    <s v="TEMPO FACILITY SERVICES SL.-B66226234"/>
    <s v="ORES"/>
    <s v="Accredited Insurance (Europe) Limited"/>
    <n v="65"/>
    <n v="0.17499999999999999"/>
    <n v="11.375"/>
    <n v="8.2874999999999979"/>
    <n v="0"/>
    <x v="1"/>
    <s v="Performance"/>
    <s v="Cartera"/>
    <d v="2020-11-30T00:00:00"/>
    <n v="65"/>
    <n v="19.662499999999998"/>
    <x v="4"/>
    <x v="6"/>
  </r>
  <r>
    <m/>
    <d v="2020-11-23T00:00:00"/>
    <m/>
    <s v="2018/RQLC/0110/0012/R2"/>
    <s v="TEMPO FACILITY SERVICES SL.-B66226234"/>
    <s v="ORES"/>
    <s v="Accredited Insurance (Europe) Limited"/>
    <n v="65"/>
    <n v="0.17499999999999999"/>
    <n v="11.375"/>
    <n v="8.2874999999999979"/>
    <n v="0"/>
    <x v="1"/>
    <s v="Performance"/>
    <s v="Cartera"/>
    <d v="2020-11-30T00:00:00"/>
    <n v="65"/>
    <n v="19.662499999999998"/>
    <x v="4"/>
    <x v="6"/>
  </r>
  <r>
    <m/>
    <d v="2021-11-23T00:00:00"/>
    <m/>
    <s v="2018/RQLC/0110/0012/R3"/>
    <s v="TEMPO FACILITY SERVICES SL.-B66226234"/>
    <s v="ORES"/>
    <s v="Accredited Insurance (Europe) Limited"/>
    <n v="86.96"/>
    <n v="0.17499999999999999"/>
    <n v="17.5"/>
    <n v="8.1097199999999958"/>
    <n v="13.04"/>
    <x v="1"/>
    <s v="Performance"/>
    <s v="Cartera"/>
    <d v="2021-11-30T00:00:00"/>
    <n v="100"/>
    <n v="38.649719999999995"/>
    <x v="4"/>
    <x v="5"/>
  </r>
  <r>
    <m/>
    <d v="2019-11-23T00:00:00"/>
    <m/>
    <s v="2018/RQLC/0110/0005/R1"/>
    <s v="TEMPO FACILITY SERVICES SL.-B66226234"/>
    <s v="ORES"/>
    <s v="Accredited Insurance (Europe) Limited"/>
    <n v="65"/>
    <n v="0.17499999999999999"/>
    <n v="11.375"/>
    <n v="8.3524999999999991"/>
    <n v="0"/>
    <x v="1"/>
    <s v="Performance"/>
    <s v="Cartera"/>
    <d v="2019-11-30T00:00:00"/>
    <n v="65"/>
    <n v="19.727499999999999"/>
    <x v="4"/>
    <x v="7"/>
  </r>
  <r>
    <m/>
    <d v="2019-11-26T00:00:00"/>
    <m/>
    <s v="2018/RQLC/0110/0013/R1"/>
    <s v="TEMPO FACILITY SERVICES SL.-B66226234"/>
    <s v="ORES"/>
    <s v="Accredited Insurance (Europe) Limited"/>
    <n v="65"/>
    <n v="0.17499999999999999"/>
    <n v="11.375"/>
    <n v="8.3524999999999991"/>
    <n v="0"/>
    <x v="1"/>
    <s v="Performance"/>
    <s v="Cartera"/>
    <d v="2019-11-30T00:00:00"/>
    <n v="65"/>
    <n v="19.727499999999999"/>
    <x v="4"/>
    <x v="7"/>
  </r>
  <r>
    <m/>
    <d v="2020-11-23T00:00:00"/>
    <m/>
    <s v="2018/RQLC/0110/0005/R2"/>
    <s v="TEMPO FACILITY SERVICES SL.-B66226234"/>
    <s v="ORES"/>
    <s v="Accredited Insurance (Europe) Limited"/>
    <n v="65"/>
    <n v="0.17499999999999999"/>
    <n v="11.375"/>
    <n v="8.2874999999999979"/>
    <n v="0"/>
    <x v="1"/>
    <s v="Performance"/>
    <s v="Cartera"/>
    <d v="2020-11-30T00:00:00"/>
    <n v="65"/>
    <n v="19.662499999999998"/>
    <x v="4"/>
    <x v="6"/>
  </r>
  <r>
    <m/>
    <d v="2021-11-23T00:00:00"/>
    <m/>
    <s v="2018/RQLC/0110/0005/R3"/>
    <s v="TEMPO FACILITY SERVICES SL.-B66226234"/>
    <s v="ORES"/>
    <s v="Accredited Insurance (Europe) Limited"/>
    <n v="86.96"/>
    <n v="0.17499999999999999"/>
    <n v="17.5"/>
    <n v="8.1097199999999958"/>
    <n v="13.04"/>
    <x v="1"/>
    <s v="Performance"/>
    <s v="Cartera"/>
    <d v="2021-11-30T00:00:00"/>
    <n v="100"/>
    <n v="38.649719999999995"/>
    <x v="4"/>
    <x v="5"/>
  </r>
  <r>
    <m/>
    <d v="2020-11-26T00:00:00"/>
    <m/>
    <s v="2018/RQLC/0110/0013/R2"/>
    <s v="TEMPO FACILITY SERVICES SL.-B66226234"/>
    <s v="ORES"/>
    <s v="Accredited Insurance (Europe) Limited"/>
    <n v="65"/>
    <n v="0.17499999999999999"/>
    <n v="11.375"/>
    <n v="8.2874999999999979"/>
    <n v="0"/>
    <x v="1"/>
    <s v="Performance"/>
    <s v="Cartera"/>
    <d v="2020-11-30T00:00:00"/>
    <n v="65"/>
    <n v="19.662499999999998"/>
    <x v="4"/>
    <x v="6"/>
  </r>
  <r>
    <m/>
    <d v="2021-11-26T00:00:00"/>
    <m/>
    <s v="2018/RQLC/0110/0013/R3"/>
    <s v="TEMPO FACILITY SERVICES SL.-B66226234"/>
    <s v="ORES"/>
    <s v="Accredited Insurance (Europe) Limited"/>
    <n v="86.96"/>
    <n v="0.17499999999999999"/>
    <n v="17.5"/>
    <n v="8.1097199999999958"/>
    <n v="13.04"/>
    <x v="1"/>
    <s v="Performance"/>
    <s v="Cartera"/>
    <d v="2021-11-30T00:00:00"/>
    <n v="100"/>
    <n v="38.649719999999995"/>
    <x v="4"/>
    <x v="5"/>
  </r>
  <r>
    <m/>
    <d v="2019-11-23T00:00:00"/>
    <m/>
    <s v="2018/RQLC/0110/0006/R1"/>
    <s v="TEMPO FACILITY SERVICES SL.-B66226234"/>
    <s v="ORES"/>
    <s v="Accredited Insurance (Europe) Limited"/>
    <n v="65"/>
    <n v="0.17499999999999999"/>
    <n v="11.375"/>
    <n v="8.3524999999999991"/>
    <n v="0"/>
    <x v="1"/>
    <s v="Performance"/>
    <s v="Cartera"/>
    <d v="2019-11-30T00:00:00"/>
    <n v="65"/>
    <n v="19.727499999999999"/>
    <x v="4"/>
    <x v="7"/>
  </r>
  <r>
    <m/>
    <d v="2019-11-26T00:00:00"/>
    <m/>
    <s v="2018/RQLC/0110/0014/R1"/>
    <s v="TEMPO FACILITY SERVICES SL.-B66226234"/>
    <s v="ORES"/>
    <s v="Accredited Insurance (Europe) Limited"/>
    <n v="147.75"/>
    <n v="0.17499999999999999"/>
    <n v="29.734249999999996"/>
    <n v="15.107875"/>
    <n v="22.16"/>
    <x v="1"/>
    <s v="Performance"/>
    <s v="Cartera"/>
    <d v="2019-11-30T00:00:00"/>
    <n v="169.91"/>
    <n v="67.002124999999992"/>
    <x v="4"/>
    <x v="7"/>
  </r>
  <r>
    <m/>
    <d v="2020-11-23T00:00:00"/>
    <m/>
    <s v="2018/RQLC/0110/0006/R2"/>
    <s v="TEMPO FACILITY SERVICES SL.-B66226234"/>
    <s v="ORES"/>
    <s v="Accredited Insurance (Europe) Limited"/>
    <n v="65"/>
    <n v="0.17499999999999999"/>
    <n v="11.375"/>
    <n v="8.2874999999999979"/>
    <n v="0"/>
    <x v="1"/>
    <s v="Performance"/>
    <s v="Cartera"/>
    <d v="2020-11-30T00:00:00"/>
    <n v="65"/>
    <n v="19.662499999999998"/>
    <x v="4"/>
    <x v="6"/>
  </r>
  <r>
    <m/>
    <d v="2021-11-23T00:00:00"/>
    <m/>
    <s v="2018/RQLC/0110/0006/R3"/>
    <s v="TEMPO FACILITY SERVICES SL.-B66226234"/>
    <s v="ORES"/>
    <s v="Accredited Insurance (Europe) Limited"/>
    <n v="86.96"/>
    <n v="0.17499999999999999"/>
    <n v="17.5"/>
    <n v="8.1097199999999958"/>
    <n v="13.04"/>
    <x v="1"/>
    <s v="Performance"/>
    <s v="Cartera"/>
    <d v="2021-11-30T00:00:00"/>
    <n v="100"/>
    <n v="38.649719999999995"/>
    <x v="4"/>
    <x v="5"/>
  </r>
  <r>
    <m/>
    <d v="2020-11-26T00:00:00"/>
    <m/>
    <s v="2018/RQLC/0110/0014/R2"/>
    <s v="TEMPO FACILITY SERVICES SL.-B66226234"/>
    <s v="ORES"/>
    <s v="Accredited Insurance (Europe) Limited"/>
    <n v="147.75"/>
    <n v="0.17499999999999999"/>
    <n v="29.734249999999996"/>
    <n v="14.960125000000005"/>
    <n v="22.16"/>
    <x v="1"/>
    <s v="Performance"/>
    <s v="Cartera"/>
    <d v="2020-11-30T00:00:00"/>
    <n v="169.91"/>
    <n v="66.854375000000005"/>
    <x v="4"/>
    <x v="6"/>
  </r>
  <r>
    <m/>
    <d v="2021-11-26T00:00:00"/>
    <m/>
    <s v="2018/RQLC/0110/0014/R3"/>
    <s v="TEMPO FACILITY SERVICES SL.-B66226234"/>
    <s v="ORES"/>
    <s v="Accredited Insurance (Europe) Limited"/>
    <n v="147.75"/>
    <n v="0.17499999999999999"/>
    <n v="29.734249999999996"/>
    <n v="13.778125000000003"/>
    <n v="22.16"/>
    <x v="1"/>
    <s v="Performance"/>
    <s v="Cartera"/>
    <d v="2021-11-30T00:00:00"/>
    <n v="169.91"/>
    <n v="65.672375000000002"/>
    <x v="4"/>
    <x v="5"/>
  </r>
  <r>
    <m/>
    <d v="2019-11-23T00:00:00"/>
    <m/>
    <s v="2018/RQLC/0110/0007/R1"/>
    <s v="TEMPO FACILITY SERVICES SL.-B66226234"/>
    <s v="ORES"/>
    <s v="Accredited Insurance (Europe) Limited"/>
    <n v="65"/>
    <n v="0.17499999999999999"/>
    <n v="11.375"/>
    <n v="8.3524999999999991"/>
    <n v="0"/>
    <x v="1"/>
    <s v="Performance"/>
    <s v="Cartera"/>
    <d v="2019-11-30T00:00:00"/>
    <n v="65"/>
    <n v="19.727499999999999"/>
    <x v="4"/>
    <x v="7"/>
  </r>
  <r>
    <m/>
    <d v="2019-12-10T00:00:00"/>
    <m/>
    <s v="2018/RQLC/0110/0015/R1"/>
    <s v="TEMPO FACILITY SERVICES SL.-B66226234"/>
    <s v="ORES"/>
    <s v="Accredited Insurance (Europe) Limited"/>
    <n v="184.92"/>
    <n v="0.17499999999999999"/>
    <n v="37.215499999999999"/>
    <n v="18.907719999999998"/>
    <n v="27.74"/>
    <x v="1"/>
    <s v="Performance"/>
    <s v="Cartera"/>
    <d v="2019-12-31T00:00:00"/>
    <n v="212.66"/>
    <n v="83.863219999999998"/>
    <x v="0"/>
    <x v="7"/>
  </r>
  <r>
    <m/>
    <d v="2020-11-23T00:00:00"/>
    <m/>
    <s v="2018/RQLC/0110/0007/R2"/>
    <s v="TEMPO FACILITY SERVICES SL.-B66226234"/>
    <s v="ORES"/>
    <s v="Accredited Insurance (Europe) Limited"/>
    <n v="65"/>
    <n v="0.17499999999999999"/>
    <n v="11.375"/>
    <n v="8.2874999999999979"/>
    <n v="0"/>
    <x v="1"/>
    <s v="Performance"/>
    <s v="Cartera"/>
    <d v="2020-11-30T00:00:00"/>
    <n v="65"/>
    <n v="19.662499999999998"/>
    <x v="4"/>
    <x v="6"/>
  </r>
  <r>
    <m/>
    <d v="2021-11-23T00:00:00"/>
    <m/>
    <s v="2018/RQLC/0110/0007/R3"/>
    <s v="TEMPO FACILITY SERVICES SL.-B66226234"/>
    <s v="ORES"/>
    <s v="Accredited Insurance (Europe) Limited"/>
    <n v="86.96"/>
    <n v="0.17499999999999999"/>
    <n v="17.5"/>
    <n v="8.1097199999999958"/>
    <n v="13.04"/>
    <x v="1"/>
    <s v="Performance"/>
    <s v="Cartera"/>
    <d v="2021-11-30T00:00:00"/>
    <n v="100"/>
    <n v="38.649719999999995"/>
    <x v="4"/>
    <x v="5"/>
  </r>
  <r>
    <m/>
    <d v="2020-12-10T00:00:00"/>
    <m/>
    <s v="2018/RQLC/0110/0015/R2"/>
    <s v="TEMPO FACILITY SERVICES SL.-B66226234"/>
    <s v="ORES"/>
    <s v="Accredited Insurance (Europe) Limited"/>
    <n v="203.41"/>
    <n v="0.17499999999999999"/>
    <n v="40.935999999999993"/>
    <n v="20.595525000000002"/>
    <n v="30.51"/>
    <x v="1"/>
    <s v="Performance"/>
    <s v="Cartera"/>
    <d v="2020-12-31T00:00:00"/>
    <n v="233.92"/>
    <n v="92.041524999999993"/>
    <x v="0"/>
    <x v="6"/>
  </r>
  <r>
    <m/>
    <d v="2021-12-10T00:00:00"/>
    <m/>
    <s v="2018/RQLC/0110/0015/R3"/>
    <s v="TEMPO FACILITY SERVICES SL.-B66226234"/>
    <s v="ORES"/>
    <s v="Accredited Insurance (Europe) Limited"/>
    <n v="184.92"/>
    <n v="0.17499999999999999"/>
    <n v="37.215499999999999"/>
    <n v="17.243439999999993"/>
    <n v="27.74"/>
    <x v="1"/>
    <s v="Performance"/>
    <s v="Cartera"/>
    <d v="2021-12-31T00:00:00"/>
    <n v="212.66"/>
    <n v="82.198939999999993"/>
    <x v="0"/>
    <x v="5"/>
  </r>
  <r>
    <m/>
    <d v="2019-11-23T00:00:00"/>
    <m/>
    <s v="2018/RQLC/0110/0008/R1"/>
    <s v="TEMPO FACILITY SERVICES SL.-B66226234"/>
    <s v="ORES"/>
    <s v="Accredited Insurance (Europe) Limited"/>
    <n v="65"/>
    <n v="0.17499999999999999"/>
    <n v="11.375"/>
    <n v="8.3524999999999991"/>
    <n v="0"/>
    <x v="1"/>
    <s v="Performance"/>
    <s v="Cartera"/>
    <d v="2019-11-30T00:00:00"/>
    <n v="65"/>
    <n v="19.727499999999999"/>
    <x v="4"/>
    <x v="7"/>
  </r>
  <r>
    <m/>
    <d v="2019-12-10T00:00:00"/>
    <m/>
    <s v="2018/RQLC/0110/0016/R1"/>
    <s v="TEMPO FACILITY SERVICES SL.-B66226234"/>
    <s v="ORES"/>
    <s v="Accredited Insurance (Europe) Limited"/>
    <n v="114.24"/>
    <n v="0.17499999999999999"/>
    <n v="22.991499999999998"/>
    <n v="11.680339999999998"/>
    <n v="17.14"/>
    <x v="1"/>
    <s v="Performance"/>
    <s v="Cartera"/>
    <d v="2019-12-31T00:00:00"/>
    <n v="131.38"/>
    <n v="51.811839999999997"/>
    <x v="0"/>
    <x v="7"/>
  </r>
  <r>
    <m/>
    <d v="2020-11-23T00:00:00"/>
    <m/>
    <s v="2018/RQLC/0110/0008/R2"/>
    <s v="TEMPO FACILITY SERVICES SL.-B66226234"/>
    <s v="ORES"/>
    <s v="Accredited Insurance (Europe) Limited"/>
    <n v="65"/>
    <n v="0.17499999999999999"/>
    <n v="11.375"/>
    <n v="8.2874999999999979"/>
    <n v="0"/>
    <x v="1"/>
    <s v="Performance"/>
    <s v="Cartera"/>
    <d v="2020-11-30T00:00:00"/>
    <n v="65"/>
    <n v="19.662499999999998"/>
    <x v="4"/>
    <x v="6"/>
  </r>
  <r>
    <m/>
    <d v="2021-11-23T00:00:00"/>
    <m/>
    <s v="2018/RQLC/0110/0008/R3"/>
    <s v="TEMPO FACILITY SERVICES SL.-B66226234"/>
    <s v="ORES"/>
    <s v="Accredited Insurance (Europe) Limited"/>
    <n v="86.96"/>
    <n v="0.17499999999999999"/>
    <n v="17.5"/>
    <n v="8.1097199999999958"/>
    <n v="13.04"/>
    <x v="1"/>
    <s v="Performance"/>
    <s v="Cartera"/>
    <d v="2021-11-30T00:00:00"/>
    <n v="100"/>
    <n v="38.649719999999995"/>
    <x v="4"/>
    <x v="5"/>
  </r>
  <r>
    <m/>
    <d v="2020-12-10T00:00:00"/>
    <m/>
    <s v="2018/RQLC/0110/0016/R2"/>
    <s v="TEMPO FACILITY SERVICES SL.-B66226234"/>
    <s v="ORES"/>
    <s v="Accredited Insurance (Europe) Limited"/>
    <n v="125.67"/>
    <n v="0.17499999999999999"/>
    <n v="25.291"/>
    <n v="12.724174999999999"/>
    <n v="18.850000000000001"/>
    <x v="1"/>
    <s v="Performance"/>
    <s v="Cartera"/>
    <d v="2020-12-31T00:00:00"/>
    <n v="144.52000000000001"/>
    <n v="56.865175000000001"/>
    <x v="0"/>
    <x v="6"/>
  </r>
  <r>
    <m/>
    <d v="2019-11-23T00:00:00"/>
    <m/>
    <s v="2018/RQLC/0110/0010/R1"/>
    <s v="TEMPO FACILITY SERVICES SL.-B66226234"/>
    <s v="ORES"/>
    <s v="Accredited Insurance (Europe) Limited"/>
    <n v="65"/>
    <n v="0.17499999999999999"/>
    <n v="11.375"/>
    <n v="8.3524999999999991"/>
    <n v="0"/>
    <x v="1"/>
    <s v="Performance"/>
    <s v="Cartera"/>
    <d v="2019-11-30T00:00:00"/>
    <n v="65"/>
    <n v="19.727499999999999"/>
    <x v="4"/>
    <x v="7"/>
  </r>
  <r>
    <m/>
    <d v="2019-11-16T00:00:00"/>
    <m/>
    <s v="2018/RQLC/0110/0001/R1"/>
    <s v="TEMPO FACILITY SERVICES SL.-B66226234"/>
    <s v="ORES"/>
    <s v="Accredited Insurance (Europe) Limited"/>
    <n v="850.39"/>
    <n v="0.17499999999999999"/>
    <n v="171.14124999999999"/>
    <n v="86.95211500000002"/>
    <n v="127.56"/>
    <x v="1"/>
    <s v="Performance"/>
    <s v="Cartera"/>
    <d v="2019-11-30T00:00:00"/>
    <n v="977.95"/>
    <n v="385.65336500000001"/>
    <x v="4"/>
    <x v="7"/>
  </r>
  <r>
    <m/>
    <d v="2020-11-23T00:00:00"/>
    <m/>
    <s v="2018/RQLC/0110/0010/R2"/>
    <s v="TEMPO FACILITY SERVICES SL.-B66226234"/>
    <s v="ORES"/>
    <s v="Accredited Insurance (Europe) Limited"/>
    <n v="65"/>
    <n v="0.17499999999999999"/>
    <n v="11.375"/>
    <n v="8.2874999999999979"/>
    <n v="0"/>
    <x v="1"/>
    <s v="Performance"/>
    <s v="Cartera"/>
    <d v="2020-11-30T00:00:00"/>
    <n v="65"/>
    <n v="19.662499999999998"/>
    <x v="4"/>
    <x v="6"/>
  </r>
  <r>
    <m/>
    <d v="2021-11-23T00:00:00"/>
    <m/>
    <s v="2018/RQLC/0110/0010/R3"/>
    <s v="TEMPO FACILITY SERVICES SL.-B66226234"/>
    <s v="ORES"/>
    <s v="Accredited Insurance (Europe) Limited"/>
    <n v="86.96"/>
    <n v="0.17499999999999999"/>
    <n v="17.5"/>
    <n v="8.1097199999999958"/>
    <n v="13.04"/>
    <x v="1"/>
    <s v="Performance"/>
    <s v="Cartera"/>
    <d v="2021-11-30T00:00:00"/>
    <n v="100"/>
    <n v="38.649719999999995"/>
    <x v="4"/>
    <x v="5"/>
  </r>
  <r>
    <m/>
    <d v="2020-11-16T00:00:00"/>
    <m/>
    <s v="2018/RQLC/0110/0001/R2"/>
    <s v="TEMPO FACILITY SERVICES SL.-B66226234"/>
    <s v="ORES"/>
    <s v="Accredited Insurance (Europe) Limited"/>
    <n v="850.39"/>
    <n v="0.17499999999999999"/>
    <n v="171.14124999999999"/>
    <n v="86.101725000000016"/>
    <n v="127.56"/>
    <x v="1"/>
    <s v="Performance"/>
    <s v="Cartera"/>
    <d v="2020-11-30T00:00:00"/>
    <n v="977.95"/>
    <n v="384.802975"/>
    <x v="4"/>
    <x v="6"/>
  </r>
  <r>
    <m/>
    <d v="2020-11-22T00:00:00"/>
    <m/>
    <s v="2018/RQLC/0126/0001/R2"/>
    <s v="INGENIERIA SIMANCAS SL-B06418503"/>
    <s v="HOWDEN"/>
    <s v="Accredited Insurance (Europe) Limited"/>
    <n v="904.35"/>
    <n v="0.15"/>
    <n v="156"/>
    <n v="117.56587500000001"/>
    <n v="135.65"/>
    <x v="1"/>
    <s v="Performance"/>
    <s v="Cartera"/>
    <d v="2020-11-30T00:00:00"/>
    <n v="1040"/>
    <n v="409.21587499999998"/>
    <x v="4"/>
    <x v="6"/>
  </r>
  <r>
    <m/>
    <d v="2020-05-15T00:00:00"/>
    <m/>
    <s v="2018/RQLC/0128/0005/R1"/>
    <s v="INVERSION Y EDIFICACIONES SODELOR SL-B30473599"/>
    <s v="ORES"/>
    <s v="Accredited Insurance (Europe) Limited"/>
    <n v="65"/>
    <n v="0.17499999999999999"/>
    <n v="11.375"/>
    <n v="8.2874999999999979"/>
    <n v="0"/>
    <x v="1"/>
    <s v="Performance"/>
    <s v="Cartera"/>
    <d v="2020-05-31T00:00:00"/>
    <n v="65"/>
    <n v="19.662499999999998"/>
    <x v="11"/>
    <x v="6"/>
  </r>
  <r>
    <m/>
    <d v="2020-05-15T00:00:00"/>
    <m/>
    <s v="2018/RQLC/0128/0006/R1"/>
    <s v="INVERSION Y EDIFICACIONES SODELOR SL-B30473599"/>
    <s v="ORES"/>
    <s v="Accredited Insurance (Europe) Limited"/>
    <n v="65"/>
    <n v="0.17499999999999999"/>
    <n v="11.375"/>
    <n v="8.2874999999999979"/>
    <n v="0"/>
    <x v="1"/>
    <s v="Performance"/>
    <s v="Cartera"/>
    <d v="2020-05-31T00:00:00"/>
    <n v="65"/>
    <n v="19.662499999999998"/>
    <x v="11"/>
    <x v="6"/>
  </r>
  <r>
    <m/>
    <d v="2021-05-16T00:00:00"/>
    <m/>
    <s v="2018/RQLC/0128/0006/R2"/>
    <s v="INVERSION Y EDIFICACIONES SODELOR SL-B30473599"/>
    <s v="ORES"/>
    <s v="Accredited Insurance (Europe) Limited"/>
    <n v="86.96"/>
    <n v="0.17499999999999999"/>
    <n v="17.5"/>
    <n v="8.1097199999999958"/>
    <n v="13.04"/>
    <x v="1"/>
    <s v="Performance"/>
    <s v="Cartera"/>
    <d v="2021-05-31T00:00:00"/>
    <n v="100"/>
    <n v="38.649719999999995"/>
    <x v="11"/>
    <x v="5"/>
  </r>
  <r>
    <m/>
    <d v="2022-05-16T00:00:00"/>
    <m/>
    <s v="2018/RQLC/0128/0006/R3"/>
    <s v="INVERSION Y EDIFICACIONES SODELOR SL-B30473599"/>
    <s v="ORES"/>
    <s v="Accredited Insurance (Europe) Limited"/>
    <n v="86.96"/>
    <n v="0.17499999999999999"/>
    <n v="17.5"/>
    <n v="8.5445199999999986"/>
    <n v="13.04"/>
    <x v="1"/>
    <s v="Performance"/>
    <s v="Cartera"/>
    <d v="2022-05-31T00:00:00"/>
    <n v="100"/>
    <n v="39.084519999999998"/>
    <x v="11"/>
    <x v="2"/>
  </r>
  <r>
    <m/>
    <d v="2020-05-15T00:00:00"/>
    <m/>
    <s v="2018/RQLC/0128/0007/R1"/>
    <s v="INVERSION Y EDIFICACIONES SODELOR SL-B30473599"/>
    <s v="ORES"/>
    <s v="Accredited Insurance (Europe) Limited"/>
    <n v="65"/>
    <n v="0.17499999999999999"/>
    <n v="11.375"/>
    <n v="8.2874999999999979"/>
    <n v="0"/>
    <x v="1"/>
    <s v="Performance"/>
    <s v="Cartera"/>
    <d v="2020-05-31T00:00:00"/>
    <n v="65"/>
    <n v="19.662499999999998"/>
    <x v="11"/>
    <x v="6"/>
  </r>
  <r>
    <m/>
    <d v="2021-05-16T00:00:00"/>
    <m/>
    <s v="2018/RQLC/0128/0007/R2"/>
    <s v="INVERSION Y EDIFICACIONES SODELOR SL-B30473599"/>
    <s v="ORES"/>
    <s v="Accredited Insurance (Europe) Limited"/>
    <n v="86.96"/>
    <n v="0.17499999999999999"/>
    <n v="17.5"/>
    <n v="8.1097199999999958"/>
    <n v="13.04"/>
    <x v="1"/>
    <s v="Performance"/>
    <s v="Cartera"/>
    <d v="2021-05-31T00:00:00"/>
    <n v="100"/>
    <n v="38.649719999999995"/>
    <x v="11"/>
    <x v="5"/>
  </r>
  <r>
    <m/>
    <d v="2022-05-16T00:00:00"/>
    <m/>
    <s v="2018/RQLC/0128/0007/R3"/>
    <s v="INVERSION Y EDIFICACIONES SODELOR SL-B30473599"/>
    <s v="ORES"/>
    <s v="Accredited Insurance (Europe) Limited"/>
    <n v="86.96"/>
    <n v="0.17499999999999999"/>
    <n v="17.5"/>
    <n v="8.5445199999999986"/>
    <n v="13.04"/>
    <x v="1"/>
    <s v="Performance"/>
    <s v="Cartera"/>
    <d v="2022-05-31T00:00:00"/>
    <n v="100"/>
    <n v="39.084519999999998"/>
    <x v="11"/>
    <x v="2"/>
  </r>
  <r>
    <m/>
    <d v="2020-05-15T00:00:00"/>
    <m/>
    <s v="2018/RQLC/0128/0008/R1"/>
    <s v="INVERSION Y EDIFICACIONES SODELOR SL-B30473599"/>
    <s v="ORES"/>
    <s v="Accredited Insurance (Europe) Limited"/>
    <n v="65"/>
    <n v="0.17499999999999999"/>
    <n v="11.375"/>
    <n v="8.2874999999999979"/>
    <n v="0"/>
    <x v="1"/>
    <s v="Performance"/>
    <s v="Cartera"/>
    <d v="2020-05-31T00:00:00"/>
    <n v="65"/>
    <n v="19.662499999999998"/>
    <x v="11"/>
    <x v="6"/>
  </r>
  <r>
    <m/>
    <d v="2021-05-16T00:00:00"/>
    <m/>
    <s v="2018/RQLC/0128/0008/R2"/>
    <s v="INVERSION Y EDIFICACIONES SODELOR SL-B30473599"/>
    <s v="ORES"/>
    <s v="Accredited Insurance (Europe) Limited"/>
    <n v="86.96"/>
    <n v="0.17499999999999999"/>
    <n v="17.5"/>
    <n v="8.1097199999999958"/>
    <n v="13.04"/>
    <x v="1"/>
    <s v="Performance"/>
    <s v="Cartera"/>
    <d v="2021-05-31T00:00:00"/>
    <n v="100"/>
    <n v="38.649719999999995"/>
    <x v="11"/>
    <x v="5"/>
  </r>
  <r>
    <m/>
    <d v="2022-05-16T00:00:00"/>
    <m/>
    <s v="2018/RQLC/0128/0008/R3"/>
    <s v="INVERSION Y EDIFICACIONES SODELOR SL-B30473599"/>
    <s v="ORES"/>
    <s v="Accredited Insurance (Europe) Limited"/>
    <n v="86.96"/>
    <n v="0.17499999999999999"/>
    <n v="17.5"/>
    <n v="8.5445199999999986"/>
    <n v="13.04"/>
    <x v="1"/>
    <s v="Performance"/>
    <s v="Cartera"/>
    <d v="2022-05-31T00:00:00"/>
    <n v="100"/>
    <n v="39.084519999999998"/>
    <x v="11"/>
    <x v="2"/>
  </r>
  <r>
    <m/>
    <d v="2021-11-22T00:00:00"/>
    <m/>
    <s v="2018/RQLC/0126/0001/R3"/>
    <s v="INGENIERIA SIMANCAS SL-B06418503"/>
    <s v="HOWDEN"/>
    <s v="Accredited Insurance (Europe) Limited"/>
    <n v="904.35"/>
    <n v="0.15"/>
    <n v="156"/>
    <n v="110.331075"/>
    <n v="135.65"/>
    <x v="1"/>
    <s v="Performance"/>
    <s v="Cartera"/>
    <d v="2021-11-30T00:00:00"/>
    <n v="1040"/>
    <n v="401.98107500000003"/>
    <x v="4"/>
    <x v="5"/>
  </r>
  <r>
    <m/>
    <d v="2019-12-17T00:00:00"/>
    <m/>
    <s v="2018/RQLC/0126/0002/R1"/>
    <s v="INGENIERIA SIMANCAS SL-B06418503"/>
    <s v="HOWDEN"/>
    <s v="Accredited Insurance (Europe) Limited"/>
    <n v="904.35"/>
    <n v="0.15"/>
    <n v="156"/>
    <n v="118.47022500000003"/>
    <n v="135.65"/>
    <x v="1"/>
    <s v="Performance"/>
    <s v="Cartera"/>
    <d v="2019-12-31T00:00:00"/>
    <n v="1040"/>
    <n v="410.120225"/>
    <x v="0"/>
    <x v="7"/>
  </r>
  <r>
    <m/>
    <d v="2020-12-17T00:00:00"/>
    <m/>
    <s v="2018/RQLC/0126/0002/R2"/>
    <s v="INGENIERIA SIMANCAS SL-B06418503"/>
    <s v="HOWDEN"/>
    <s v="Accredited Insurance (Europe) Limited"/>
    <n v="994.78"/>
    <n v="0.15"/>
    <n v="171.6"/>
    <n v="129.32095000000001"/>
    <n v="149.22"/>
    <x v="1"/>
    <s v="Performance"/>
    <s v="Cartera"/>
    <d v="2020-12-31T00:00:00"/>
    <n v="1144"/>
    <n v="450.14094999999998"/>
    <x v="0"/>
    <x v="6"/>
  </r>
  <r>
    <m/>
    <d v="2021-12-17T00:00:00"/>
    <m/>
    <s v="2018/RQLC/0126/0002/R3"/>
    <s v="INGENIERIA SIMANCAS SL-B06418503"/>
    <s v="HOWDEN"/>
    <s v="Accredited Insurance (Europe) Limited"/>
    <n v="904.35"/>
    <n v="0.15"/>
    <n v="156"/>
    <n v="110.331075"/>
    <n v="135.65"/>
    <x v="1"/>
    <s v="Performance"/>
    <s v="Cartera"/>
    <d v="2021-12-31T00:00:00"/>
    <n v="1040"/>
    <n v="401.98107500000003"/>
    <x v="0"/>
    <x v="5"/>
  </r>
  <r>
    <m/>
    <d v="2021-02-27T00:00:00"/>
    <m/>
    <s v="2018/RQLC/0126/0003/R2"/>
    <s v="INGENIERIA SIMANCAS SL-B06418503"/>
    <s v="HOWDEN"/>
    <s v="Accredited Insurance (Europe) Limited"/>
    <n v="497.39"/>
    <n v="0.15"/>
    <n v="85.8"/>
    <n v="60.681354999999982"/>
    <n v="74.61"/>
    <x v="1"/>
    <s v="Performance"/>
    <s v="Cartera"/>
    <d v="2021-02-28T00:00:00"/>
    <n v="572"/>
    <n v="221.09135499999996"/>
    <x v="7"/>
    <x v="5"/>
  </r>
  <r>
    <m/>
    <d v="2022-02-27T00:00:00"/>
    <m/>
    <s v="2018/RQLC/0126/0003/R3"/>
    <s v="INGENIERIA SIMANCAS SL-B06418503"/>
    <s v="HOWDEN"/>
    <s v="Accredited Insurance (Europe) Limited"/>
    <n v="452.17"/>
    <n v="0.15"/>
    <n v="78"/>
    <n v="57.424914999999999"/>
    <n v="67.83"/>
    <x v="1"/>
    <s v="Performance"/>
    <s v="Cartera"/>
    <d v="2022-02-28T00:00:00"/>
    <n v="520"/>
    <n v="203.25491499999998"/>
    <x v="7"/>
    <x v="2"/>
  </r>
  <r>
    <m/>
    <d v="2023-02-27T00:00:00"/>
    <m/>
    <s v="2018/RQLC/0126/0003/R4"/>
    <s v="INGENIERIA SIMANCAS SL-B06418503"/>
    <s v="HOWDEN"/>
    <s v="Accredited Insurance (Europe) Limited"/>
    <n v="452.17"/>
    <n v="0.15"/>
    <n v="78"/>
    <n v="57.424914999999999"/>
    <n v="67.83"/>
    <x v="1"/>
    <s v="Performance"/>
    <s v="Cartera"/>
    <d v="2023-02-28T00:00:00"/>
    <n v="520"/>
    <n v="203.25491499999998"/>
    <x v="7"/>
    <x v="4"/>
  </r>
  <r>
    <m/>
    <d v="2021-05-16T00:00:00"/>
    <m/>
    <s v="2018/RQLC/0128/0005/R2"/>
    <s v="INVERSION Y EDIFICACIONES SODELOR SL-B30473599"/>
    <s v="ORES"/>
    <s v="Accredited Insurance (Europe) Limited"/>
    <n v="86.96"/>
    <n v="0.17499999999999999"/>
    <n v="17.5"/>
    <n v="8.1097199999999958"/>
    <n v="13.04"/>
    <x v="1"/>
    <s v="Performance"/>
    <s v="Cartera"/>
    <d v="2021-05-31T00:00:00"/>
    <n v="100"/>
    <n v="38.649719999999995"/>
    <x v="11"/>
    <x v="5"/>
  </r>
  <r>
    <m/>
    <d v="2022-05-16T00:00:00"/>
    <m/>
    <s v="2018/RQLC/0128/0005/R3"/>
    <s v="INVERSION Y EDIFICACIONES SODELOR SL-B30473599"/>
    <s v="ORES"/>
    <s v="Accredited Insurance (Europe) Limited"/>
    <n v="86.96"/>
    <n v="0.17499999999999999"/>
    <n v="17.5"/>
    <n v="8.5445199999999986"/>
    <n v="13.04"/>
    <x v="1"/>
    <s v="Performance"/>
    <s v="Cartera"/>
    <d v="2022-05-31T00:00:00"/>
    <n v="100"/>
    <n v="39.084519999999998"/>
    <x v="11"/>
    <x v="2"/>
  </r>
  <r>
    <m/>
    <d v="2024-01-15T00:00:00"/>
    <m/>
    <s v="2018/RQLC/0146/0001/R5"/>
    <s v="FEDERMAN GLOBAL WORK ETT-A64778061"/>
    <s v="ORES"/>
    <s v="Accredited Insurance (Europe) Limited"/>
    <n v="1490.87"/>
    <n v="0.17499999999999999"/>
    <n v="300.03749999999997"/>
    <n v="160.08225374999995"/>
    <n v="223.63"/>
    <x v="1"/>
    <s v="Performance"/>
    <s v="Cartera"/>
    <d v="2024-01-31T00:00:00"/>
    <n v="1714.5"/>
    <n v="683.74975374999985"/>
    <x v="1"/>
    <x v="3"/>
  </r>
  <r>
    <m/>
    <d v="2019-12-27T00:00:00"/>
    <m/>
    <s v="2018/RQLC/0163/0001/R1"/>
    <s v="MOTION TEAM CONCRETIA SL-B91517169"/>
    <s v="ORES"/>
    <s v="Accredited Insurance (Europe) Limited"/>
    <n v="1069.58"/>
    <n v="0.17499999999999999"/>
    <n v="215.25349999999997"/>
    <n v="109.36403000000001"/>
    <n v="160.44"/>
    <x v="1"/>
    <s v="Performance"/>
    <s v="Cartera"/>
    <d v="2019-12-31T00:00:00"/>
    <n v="1230.02"/>
    <n v="485.05752999999999"/>
    <x v="0"/>
    <x v="7"/>
  </r>
  <r>
    <m/>
    <d v="2020-12-27T00:00:00"/>
    <m/>
    <s v="2018/RQLC/0163/0001/R2"/>
    <s v="MOTION TEAM CONCRETIA SL-B91517169"/>
    <s v="ORES"/>
    <s v="Accredited Insurance (Europe) Limited"/>
    <n v="1176.54"/>
    <n v="0.17499999999999999"/>
    <n v="236.77849999999998"/>
    <n v="119.12485000000001"/>
    <n v="176.48"/>
    <x v="1"/>
    <s v="Performance"/>
    <s v="Cartera"/>
    <d v="2020-12-31T00:00:00"/>
    <n v="1353.02"/>
    <n v="532.38334999999995"/>
    <x v="0"/>
    <x v="6"/>
  </r>
  <r>
    <m/>
    <d v="2021-12-27T00:00:00"/>
    <m/>
    <s v="2018/RQLC/0163/0001/R3"/>
    <s v="MOTION TEAM CONCRETIA SL-B91517169"/>
    <s v="ORES"/>
    <s v="Accredited Insurance (Europe) Limited"/>
    <n v="1069.58"/>
    <n v="0.17499999999999999"/>
    <n v="215.25349999999997"/>
    <n v="99.737809999999968"/>
    <n v="160.44"/>
    <x v="1"/>
    <s v="Performance"/>
    <s v="Cartera"/>
    <d v="2021-12-31T00:00:00"/>
    <n v="1230.02"/>
    <n v="475.43130999999994"/>
    <x v="0"/>
    <x v="5"/>
  </r>
  <r>
    <m/>
    <d v="2020-03-26T00:00:00"/>
    <m/>
    <s v="2018/RQLC/0163/0002/R1"/>
    <s v="MOTION TEAM CONCRETIA SL-B91517169"/>
    <s v="ORES"/>
    <s v="Accredited Insurance (Europe) Limited"/>
    <n v="75.14"/>
    <n v="0.17499999999999999"/>
    <n v="15.121749999999999"/>
    <n v="7.6081000000000003"/>
    <n v="11.27"/>
    <x v="1"/>
    <s v="Performance"/>
    <s v="Cartera"/>
    <d v="2020-03-31T00:00:00"/>
    <n v="86.41"/>
    <n v="33.999849999999995"/>
    <x v="6"/>
    <x v="6"/>
  </r>
  <r>
    <m/>
    <d v="2021-03-27T00:00:00"/>
    <m/>
    <s v="2018/RQLC/0163/0002/R2"/>
    <s v="MOTION TEAM CONCRETIA SL-B91517169"/>
    <s v="ORES"/>
    <s v="Accredited Insurance (Europe) Limited"/>
    <n v="82.65"/>
    <n v="0.17499999999999999"/>
    <n v="16.633750000000003"/>
    <n v="7.7066749999999971"/>
    <n v="12.4"/>
    <x v="1"/>
    <s v="Performance"/>
    <s v="Cartera"/>
    <d v="2021-03-31T00:00:00"/>
    <n v="95.050000000000011"/>
    <n v="36.740425000000002"/>
    <x v="6"/>
    <x v="5"/>
  </r>
  <r>
    <m/>
    <d v="2022-03-27T00:00:00"/>
    <m/>
    <s v="2018/RQLC/0163/0002/R3"/>
    <s v="MOTION TEAM CONCRETIA SL-B91517169"/>
    <s v="ORES"/>
    <s v="Accredited Insurance (Europe) Limited"/>
    <n v="86.96"/>
    <n v="0.17499999999999999"/>
    <n v="17.5"/>
    <n v="8.5445199999999986"/>
    <n v="13.04"/>
    <x v="1"/>
    <s v="Performance"/>
    <s v="Cartera"/>
    <d v="2022-03-31T00:00:00"/>
    <n v="100"/>
    <n v="39.084519999999998"/>
    <x v="6"/>
    <x v="2"/>
  </r>
  <r>
    <m/>
    <d v="2023-03-27T00:00:00"/>
    <m/>
    <s v="2018/RQLC/0163/0002/R4"/>
    <s v="MOTION TEAM CONCRETIA SL-B91517169"/>
    <s v="ORES"/>
    <s v="Accredited Insurance (Europe) Limited"/>
    <n v="86.96"/>
    <n v="0.17499999999999999"/>
    <n v="17.5"/>
    <n v="8.5445199999999986"/>
    <n v="13.04"/>
    <x v="1"/>
    <s v="Performance"/>
    <s v="Cartera"/>
    <d v="2023-03-31T00:00:00"/>
    <n v="100"/>
    <n v="39.084519999999998"/>
    <x v="6"/>
    <x v="4"/>
  </r>
  <r>
    <m/>
    <d v="2020-03-23T00:00:00"/>
    <m/>
    <s v="2018/RQLC/0163/0003/R1"/>
    <s v="MOTION TEAM CONCRETIA SL-B91517169"/>
    <s v="ORES"/>
    <s v="Accredited Insurance (Europe) Limited"/>
    <n v="75.14"/>
    <n v="0.17499999999999999"/>
    <n v="15.121749999999999"/>
    <n v="7.6081000000000003"/>
    <n v="11.27"/>
    <x v="1"/>
    <s v="Performance"/>
    <s v="Cartera"/>
    <d v="2020-03-31T00:00:00"/>
    <n v="86.41"/>
    <n v="33.999849999999995"/>
    <x v="6"/>
    <x v="6"/>
  </r>
  <r>
    <m/>
    <d v="2021-03-24T00:00:00"/>
    <m/>
    <s v="2018/RQLC/0163/0003/R2"/>
    <s v="MOTION TEAM CONCRETIA SL-B91517169"/>
    <s v="ORES"/>
    <s v="Accredited Insurance (Europe) Limited"/>
    <n v="82.65"/>
    <n v="0.17499999999999999"/>
    <n v="16.633750000000003"/>
    <n v="7.7066749999999971"/>
    <n v="12.4"/>
    <x v="1"/>
    <s v="Performance"/>
    <s v="Cartera"/>
    <d v="2021-03-31T00:00:00"/>
    <n v="95.050000000000011"/>
    <n v="36.740425000000002"/>
    <x v="6"/>
    <x v="5"/>
  </r>
  <r>
    <m/>
    <d v="2022-03-24T00:00:00"/>
    <m/>
    <s v="2018/RQLC/0163/0003/R3"/>
    <s v="MOTION TEAM CONCRETIA SL-B91517169"/>
    <s v="ORES"/>
    <s v="Accredited Insurance (Europe) Limited"/>
    <n v="86.96"/>
    <n v="0.17499999999999999"/>
    <n v="17.5"/>
    <n v="8.5445199999999986"/>
    <n v="13.04"/>
    <x v="1"/>
    <s v="Performance"/>
    <s v="Cartera"/>
    <d v="2022-03-31T00:00:00"/>
    <n v="100"/>
    <n v="39.084519999999998"/>
    <x v="6"/>
    <x v="2"/>
  </r>
  <r>
    <m/>
    <d v="2023-03-24T00:00:00"/>
    <m/>
    <s v="2018/RQLC/0163/0003/R4"/>
    <s v="MOTION TEAM CONCRETIA SL-B91517169"/>
    <s v="ORES"/>
    <s v="Accredited Insurance (Europe) Limited"/>
    <n v="86.96"/>
    <n v="0.17499999999999999"/>
    <n v="17.5"/>
    <n v="8.5445199999999986"/>
    <n v="13.04"/>
    <x v="1"/>
    <s v="Performance"/>
    <s v="Cartera"/>
    <d v="2023-03-31T00:00:00"/>
    <n v="100"/>
    <n v="39.084519999999998"/>
    <x v="6"/>
    <x v="4"/>
  </r>
  <r>
    <m/>
    <d v="2023-01-10T00:00:00"/>
    <m/>
    <s v="2019/RQLC/0188/0001/R4"/>
    <s v="BIOTEC ENERGIAS RENOVABLES SL-B02546802"/>
    <s v="HOWDEN"/>
    <s v="Accredited Insurance (Europe) Limited"/>
    <n v="538.59"/>
    <n v="0.15"/>
    <n v="92.906999999999996"/>
    <n v="68.400705000000002"/>
    <n v="80.790000000000006"/>
    <x v="1"/>
    <s v="Performance"/>
    <s v="Cartera"/>
    <d v="2023-01-31T00:00:00"/>
    <n v="619.38"/>
    <n v="242.09770500000002"/>
    <x v="1"/>
    <x v="4"/>
  </r>
  <r>
    <m/>
    <d v="2020-01-29T00:00:00"/>
    <m/>
    <s v="2019/RQLC/0199/0001/R1"/>
    <s v="DESARROLLO DE MEDIOS Y SISTEMAS SL-B84278118"/>
    <s v="FILHET"/>
    <s v="Accredited Insurance (Europe) Limited"/>
    <n v="1454.43"/>
    <n v="0.15"/>
    <n v="250.88850000000002"/>
    <n v="189.07657499999999"/>
    <n v="218.16"/>
    <x v="1"/>
    <s v="Performance"/>
    <s v="Cartera"/>
    <d v="2020-01-31T00:00:00"/>
    <n v="1672.5900000000001"/>
    <n v="658.12507500000004"/>
    <x v="1"/>
    <x v="6"/>
  </r>
  <r>
    <m/>
    <d v="2021-01-23T00:00:00"/>
    <m/>
    <s v="2019/RQLC/0199/0001/R2"/>
    <s v="DESARROLLO DE MEDIOS Y SISTEMAS SL-B84278118"/>
    <s v="FILHET"/>
    <s v="Accredited Insurance (Europe) Limited"/>
    <n v="1599.87"/>
    <n v="0.15"/>
    <n v="275.97749999999996"/>
    <n v="195.18421499999999"/>
    <n v="239.98"/>
    <x v="1"/>
    <s v="Performance"/>
    <s v="Cartera"/>
    <d v="2021-01-31T00:00:00"/>
    <n v="1839.85"/>
    <n v="711.14171499999998"/>
    <x v="1"/>
    <x v="5"/>
  </r>
  <r>
    <m/>
    <d v="2022-01-23T00:00:00"/>
    <m/>
    <s v="2019/RQLC/0199/0001/R3"/>
    <s v="DESARROLLO DE MEDIOS Y SISTEMAS SL-B84278118"/>
    <s v="FILHET"/>
    <s v="Accredited Insurance (Europe) Limited"/>
    <n v="1454.43"/>
    <n v="0.15"/>
    <n v="250.88850000000002"/>
    <n v="184.71328499999998"/>
    <n v="218.16"/>
    <x v="1"/>
    <s v="Performance"/>
    <s v="Cartera"/>
    <d v="2022-01-31T00:00:00"/>
    <n v="1672.5900000000001"/>
    <n v="653.76178500000003"/>
    <x v="1"/>
    <x v="2"/>
  </r>
  <r>
    <m/>
    <d v="2023-01-23T00:00:00"/>
    <m/>
    <s v="2019/RQLC/0199/0001/R4"/>
    <s v="DESARROLLO DE MEDIOS Y SISTEMAS SL-B84278118"/>
    <s v="FILHET"/>
    <s v="Accredited Insurance (Europe) Limited"/>
    <n v="1454.43"/>
    <n v="0.15"/>
    <n v="250.88850000000002"/>
    <n v="184.71328499999998"/>
    <n v="218.16"/>
    <x v="1"/>
    <s v="Performance"/>
    <s v="Cartera"/>
    <d v="2023-01-31T00:00:00"/>
    <n v="1672.5900000000001"/>
    <n v="653.76178500000003"/>
    <x v="1"/>
    <x v="4"/>
  </r>
  <r>
    <m/>
    <d v="2020-01-29T00:00:00"/>
    <m/>
    <s v="2019/RQLC/0199/0002/R1"/>
    <s v="DESARROLLO DE MEDIOS Y SISTEMAS SL-B84278118"/>
    <s v="FILHET"/>
    <s v="Accredited Insurance (Europe) Limited"/>
    <n v="991.31"/>
    <n v="0.15"/>
    <n v="171"/>
    <n v="128.87127499999997"/>
    <n v="148.69"/>
    <x v="1"/>
    <s v="Performance"/>
    <s v="Cartera"/>
    <d v="2020-01-31T00:00:00"/>
    <n v="1140"/>
    <n v="448.56127499999997"/>
    <x v="1"/>
    <x v="6"/>
  </r>
  <r>
    <m/>
    <d v="2021-01-23T00:00:00"/>
    <m/>
    <s v="2019/RQLC/0199/0002/R2"/>
    <s v="DESARROLLO DE MEDIOS Y SISTEMAS SL-B84278118"/>
    <s v="FILHET"/>
    <s v="Accredited Insurance (Europe) Limited"/>
    <n v="1090.43"/>
    <n v="0.15"/>
    <n v="188.1"/>
    <n v="133.03163500000002"/>
    <n v="163.57"/>
    <x v="1"/>
    <s v="Performance"/>
    <s v="Cartera"/>
    <d v="2021-01-31T00:00:00"/>
    <n v="1254"/>
    <n v="484.70163500000001"/>
    <x v="1"/>
    <x v="5"/>
  </r>
  <r>
    <m/>
    <d v="2022-01-23T00:00:00"/>
    <m/>
    <s v="2019/RQLC/0199/0002/R3"/>
    <s v="DESARROLLO DE MEDIOS Y SISTEMAS SL-B84278118"/>
    <s v="FILHET"/>
    <s v="Accredited Insurance (Europe) Limited"/>
    <n v="991.3"/>
    <n v="0.15"/>
    <n v="171"/>
    <n v="125.89434999999997"/>
    <n v="148.69999999999999"/>
    <x v="1"/>
    <s v="Performance"/>
    <s v="Cartera"/>
    <d v="2022-01-31T00:00:00"/>
    <n v="1140"/>
    <n v="445.59434999999996"/>
    <x v="1"/>
    <x v="2"/>
  </r>
  <r>
    <m/>
    <d v="2023-01-23T00:00:00"/>
    <m/>
    <s v="2019/RQLC/0199/0002/R4"/>
    <s v="DESARROLLO DE MEDIOS Y SISTEMAS SL-B84278118"/>
    <s v="FILHET"/>
    <s v="Accredited Insurance (Europe) Limited"/>
    <n v="991.3"/>
    <n v="0.15"/>
    <n v="171"/>
    <n v="125.89434999999997"/>
    <n v="148.69999999999999"/>
    <x v="1"/>
    <s v="Performance"/>
    <s v="Cartera"/>
    <d v="2023-01-31T00:00:00"/>
    <n v="1140"/>
    <n v="445.59434999999996"/>
    <x v="1"/>
    <x v="4"/>
  </r>
  <r>
    <m/>
    <d v="2023-11-26T00:00:00"/>
    <m/>
    <s v="2019/RQLC/0200/0011/R4"/>
    <s v="REALAN SERVICES .L.-B76121078"/>
    <s v="BRUZON"/>
    <s v="Accredited Insurance (Europe) Limited"/>
    <n v="173.91"/>
    <n v="0.16"/>
    <n v="32"/>
    <n v="20.086044999999999"/>
    <n v="26.09"/>
    <x v="1"/>
    <s v="Performance"/>
    <s v="Cartera"/>
    <d v="2023-11-30T00:00:00"/>
    <n v="200"/>
    <n v="78.176045000000002"/>
    <x v="4"/>
    <x v="4"/>
  </r>
  <r>
    <m/>
    <d v="2024-03-14T00:00:00"/>
    <m/>
    <s v="2019/RQLC/0200/0002/R5"/>
    <s v="REALAN SERVICES .L.-B76121078"/>
    <s v="BRUZON"/>
    <s v="Accredited Insurance (Europe) Limited"/>
    <n v="173.91"/>
    <n v="0.16"/>
    <n v="32"/>
    <n v="21.672973749999997"/>
    <n v="26.09"/>
    <x v="1"/>
    <s v="Performance"/>
    <s v="Cartera"/>
    <d v="2024-03-31T00:00:00"/>
    <n v="200"/>
    <n v="79.76297375"/>
    <x v="6"/>
    <x v="3"/>
  </r>
  <r>
    <m/>
    <d v="2020-03-07T00:00:00"/>
    <m/>
    <s v="2019/RQLC/0243/0001/R1"/>
    <s v="SOCIEDAD ANONIMA DE RIEGOS CAMINOS Y OBRAS-A30237028"/>
    <s v="ORES"/>
    <s v="Accredited Insurance (Europe) Limited"/>
    <n v="65"/>
    <n v="0.17499999999999999"/>
    <n v="11.375"/>
    <n v="8.2874999999999979"/>
    <n v="0"/>
    <x v="1"/>
    <s v="Performance"/>
    <s v="Cartera"/>
    <d v="2020-03-31T00:00:00"/>
    <n v="65"/>
    <n v="19.662499999999998"/>
    <x v="6"/>
    <x v="6"/>
  </r>
  <r>
    <m/>
    <d v="2021-03-08T00:00:00"/>
    <m/>
    <s v="2019/RQLC/0243/0001/R2"/>
    <s v="SOCIEDAD ANONIMA DE RIEGOS CAMINOS Y OBRAS-A30237028"/>
    <s v="ORES"/>
    <s v="Accredited Insurance (Europe) Limited"/>
    <n v="65"/>
    <n v="0.17499999999999999"/>
    <n v="11.375"/>
    <n v="7.7674999999999983"/>
    <n v="0"/>
    <x v="1"/>
    <s v="Performance"/>
    <s v="Cartera"/>
    <d v="2021-03-31T00:00:00"/>
    <n v="65"/>
    <n v="19.142499999999998"/>
    <x v="6"/>
    <x v="5"/>
  </r>
  <r>
    <m/>
    <d v="2022-03-08T00:00:00"/>
    <m/>
    <s v="2019/RQLC/0243/0001/R3"/>
    <s v="SOCIEDAD ANONIMA DE RIEGOS CAMINOS Y OBRAS-A30237028"/>
    <s v="ORES"/>
    <s v="Accredited Insurance (Europe) Limited"/>
    <n v="86.96"/>
    <n v="0.17499999999999999"/>
    <n v="17.5"/>
    <n v="8.5445199999999986"/>
    <n v="13.04"/>
    <x v="1"/>
    <s v="Performance"/>
    <s v="Cartera"/>
    <d v="2022-03-31T00:00:00"/>
    <n v="100"/>
    <n v="39.084519999999998"/>
    <x v="6"/>
    <x v="2"/>
  </r>
  <r>
    <m/>
    <d v="2023-03-08T00:00:00"/>
    <m/>
    <s v="2019/RQLC/0243/0001/R4"/>
    <s v="SOCIEDAD ANONIMA DE RIEGOS CAMINOS Y OBRAS-A30237028"/>
    <s v="ORES"/>
    <s v="Accredited Insurance (Europe) Limited"/>
    <n v="86.96"/>
    <n v="0.17499999999999999"/>
    <n v="17.5"/>
    <n v="8.5445199999999986"/>
    <n v="13.04"/>
    <x v="1"/>
    <s v="Performance"/>
    <s v="Cartera"/>
    <d v="2023-03-31T00:00:00"/>
    <n v="100"/>
    <n v="39.084519999999998"/>
    <x v="6"/>
    <x v="4"/>
  </r>
  <r>
    <m/>
    <d v="2020-02-27T00:00:00"/>
    <m/>
    <s v="2019/RQLC/0248/0001/R1"/>
    <s v="DUNAS VIVAS SL.-B94049939"/>
    <s v="ORES"/>
    <s v="Accredited Insurance (Europe) Limited"/>
    <n v="65"/>
    <n v="0.17499999999999999"/>
    <n v="11.375"/>
    <n v="8.2874999999999979"/>
    <n v="0"/>
    <x v="1"/>
    <s v="Performance"/>
    <s v="Cartera"/>
    <d v="2020-02-29T00:00:00"/>
    <n v="65"/>
    <n v="19.662499999999998"/>
    <x v="7"/>
    <x v="6"/>
  </r>
  <r>
    <m/>
    <d v="2021-02-27T00:00:00"/>
    <m/>
    <s v="2019/RQLC/0248/0001/R2"/>
    <s v="DUNAS VIVAS SL.-B94049939"/>
    <s v="ORES"/>
    <s v="Accredited Insurance (Europe) Limited"/>
    <n v="65"/>
    <n v="0.17499999999999999"/>
    <n v="11.375"/>
    <n v="7.7674999999999983"/>
    <n v="0"/>
    <x v="1"/>
    <s v="Performance"/>
    <s v="Cartera"/>
    <d v="2021-02-28T00:00:00"/>
    <n v="65"/>
    <n v="19.142499999999998"/>
    <x v="7"/>
    <x v="5"/>
  </r>
  <r>
    <m/>
    <d v="2022-02-27T00:00:00"/>
    <m/>
    <s v="2019/RQLC/0248/0001/R3"/>
    <s v="DUNAS VIVAS SL.-B94049939"/>
    <s v="ORES"/>
    <s v="Accredited Insurance (Europe) Limited"/>
    <n v="86.96"/>
    <n v="0.17499999999999999"/>
    <n v="17.5"/>
    <n v="8.5445199999999986"/>
    <n v="13.04"/>
    <x v="1"/>
    <s v="Performance"/>
    <s v="Cartera"/>
    <d v="2022-02-28T00:00:00"/>
    <n v="100"/>
    <n v="39.084519999999998"/>
    <x v="7"/>
    <x v="2"/>
  </r>
  <r>
    <m/>
    <d v="2023-02-27T00:00:00"/>
    <m/>
    <s v="2019/RQLC/0248/0001/R4"/>
    <s v="DUNAS VIVAS SL.-B94049939"/>
    <s v="ORES"/>
    <s v="Accredited Insurance (Europe) Limited"/>
    <n v="86.96"/>
    <n v="0.17499999999999999"/>
    <n v="17.5"/>
    <n v="8.5445199999999986"/>
    <n v="13.04"/>
    <x v="1"/>
    <s v="Performance"/>
    <s v="Cartera"/>
    <d v="2023-02-28T00:00:00"/>
    <n v="100"/>
    <n v="39.084519999999998"/>
    <x v="7"/>
    <x v="4"/>
  </r>
  <r>
    <m/>
    <d v="2020-02-27T00:00:00"/>
    <m/>
    <s v="2019/RQLC/0248/0002/R1"/>
    <s v="DUNAS VIVAS SL.-B94049939"/>
    <s v="ORES"/>
    <s v="Accredited Insurance (Europe) Limited"/>
    <n v="65"/>
    <n v="0.17499999999999999"/>
    <n v="11.375"/>
    <n v="8.2874999999999979"/>
    <n v="0"/>
    <x v="1"/>
    <s v="Performance"/>
    <s v="Cartera"/>
    <d v="2020-02-29T00:00:00"/>
    <n v="65"/>
    <n v="19.662499999999998"/>
    <x v="7"/>
    <x v="6"/>
  </r>
  <r>
    <m/>
    <d v="2021-02-27T00:00:00"/>
    <m/>
    <s v="2019/RQLC/0248/0002/R2"/>
    <s v="DUNAS VIVAS SL.-B94049939"/>
    <s v="ORES"/>
    <s v="Accredited Insurance (Europe) Limited"/>
    <n v="65"/>
    <n v="0.17499999999999999"/>
    <n v="11.375"/>
    <n v="7.7674999999999983"/>
    <n v="0"/>
    <x v="1"/>
    <s v="Performance"/>
    <s v="Cartera"/>
    <d v="2021-02-28T00:00:00"/>
    <n v="65"/>
    <n v="19.142499999999998"/>
    <x v="7"/>
    <x v="5"/>
  </r>
  <r>
    <m/>
    <d v="2022-02-27T00:00:00"/>
    <m/>
    <s v="2019/RQLC/0248/0002/R3"/>
    <s v="DUNAS VIVAS SL.-B94049939"/>
    <s v="ORES"/>
    <s v="Accredited Insurance (Europe) Limited"/>
    <n v="86.96"/>
    <n v="0.17499999999999999"/>
    <n v="17.5"/>
    <n v="8.5445199999999986"/>
    <n v="13.04"/>
    <x v="1"/>
    <s v="Performance"/>
    <s v="Cartera"/>
    <d v="2022-02-28T00:00:00"/>
    <n v="100"/>
    <n v="39.084519999999998"/>
    <x v="7"/>
    <x v="2"/>
  </r>
  <r>
    <m/>
    <d v="2023-02-27T00:00:00"/>
    <m/>
    <s v="2019/RQLC/0248/0002/R4"/>
    <s v="DUNAS VIVAS SL.-B94049939"/>
    <s v="ORES"/>
    <s v="Accredited Insurance (Europe) Limited"/>
    <n v="86.96"/>
    <n v="0.17499999999999999"/>
    <n v="17.5"/>
    <n v="8.5445199999999986"/>
    <n v="13.04"/>
    <x v="1"/>
    <s v="Performance"/>
    <s v="Cartera"/>
    <d v="2023-02-28T00:00:00"/>
    <n v="100"/>
    <n v="39.084519999999998"/>
    <x v="7"/>
    <x v="4"/>
  </r>
  <r>
    <m/>
    <d v="2022-01-20T00:00:00"/>
    <m/>
    <s v="2019/RQLC/0280/0006/R2"/>
    <s v="GCL CASTILLA FOTOVOLTAICA ENERGÍA SL-B88288170"/>
    <s v="ORES"/>
    <s v="Accredited Insurance (Europe) Limited"/>
    <n v="40000"/>
    <n v="0.17499999999999999"/>
    <n v="8049.9999999999991"/>
    <n v="3930.0000000000009"/>
    <n v="6000"/>
    <x v="1"/>
    <s v="Performance"/>
    <s v="Cartera"/>
    <d v="2022-01-31T00:00:00"/>
    <n v="46000"/>
    <n v="17980"/>
    <x v="1"/>
    <x v="2"/>
  </r>
  <r>
    <m/>
    <d v="2023-01-20T00:00:00"/>
    <m/>
    <s v="2019/RQLC/0280/0006/R3"/>
    <s v="GCL CASTILLA FOTOVOLTAICA ENERGÍA SL-B88288170"/>
    <s v="ORES"/>
    <s v="Accredited Insurance (Europe) Limited"/>
    <n v="40000"/>
    <n v="0.17499999999999999"/>
    <n v="8049.9999999999991"/>
    <n v="3930.0000000000009"/>
    <n v="6000"/>
    <x v="1"/>
    <s v="Performance"/>
    <s v="Cartera"/>
    <d v="2023-01-31T00:00:00"/>
    <n v="46000"/>
    <n v="17980"/>
    <x v="1"/>
    <x v="4"/>
  </r>
  <r>
    <m/>
    <d v="2024-01-20T00:00:00"/>
    <m/>
    <s v="2019/RQLC/0280/0006/R4"/>
    <s v="GCL CASTILLA FOTOVOLTAICA ENERGÍA SL-B88288170"/>
    <s v="ORES"/>
    <s v="Accredited Insurance (Europe) Limited"/>
    <n v="40000"/>
    <n v="0.17499999999999999"/>
    <n v="8049.9999999999991"/>
    <n v="4295.0000000000009"/>
    <n v="6000"/>
    <x v="1"/>
    <s v="Performance"/>
    <s v="Cartera"/>
    <d v="2024-01-31T00:00:00"/>
    <n v="46000"/>
    <n v="18345"/>
    <x v="1"/>
    <x v="3"/>
  </r>
  <r>
    <m/>
    <d v="2024-05-06T00:00:00"/>
    <m/>
    <s v="2019/RQLC/0283/0004/R5"/>
    <s v="DIAZ CUBERO SA-A41658022"/>
    <s v="ORES"/>
    <s v="Accredited Insurance (Europe) Limited"/>
    <n v="197.65"/>
    <n v="0.17499999999999999"/>
    <n v="39.777499999999996"/>
    <n v="21.22223125"/>
    <n v="29.65"/>
    <x v="1"/>
    <s v="Performance"/>
    <s v="Cartera"/>
    <d v="2024-05-31T00:00:00"/>
    <n v="227.3"/>
    <n v="90.649731250000002"/>
    <x v="11"/>
    <x v="3"/>
  </r>
  <r>
    <m/>
    <d v="2024-06-25T00:00:00"/>
    <m/>
    <s v="2019/RQLC/0283/0011/R5"/>
    <s v="DIAZ CUBERO SA-A41658022"/>
    <s v="ORES"/>
    <s v="Accredited Insurance (Europe) Limited"/>
    <n v="106.36"/>
    <n v="0.17499999999999999"/>
    <n v="21.404249999999998"/>
    <n v="11.421104999999997"/>
    <n v="15.95"/>
    <x v="1"/>
    <s v="Performance"/>
    <s v="Cartera"/>
    <d v="2024-06-30T00:00:00"/>
    <n v="122.31"/>
    <n v="48.77535499999999"/>
    <x v="2"/>
    <x v="3"/>
  </r>
  <r>
    <m/>
    <d v="2024-05-20T00:00:00"/>
    <m/>
    <s v="2019/RQLC/0283/0006/R5"/>
    <s v="DIAZ CUBERO SA-A41658022"/>
    <s v="ORES"/>
    <s v="Accredited Insurance (Europe) Limited"/>
    <n v="86.96"/>
    <n v="0.17499999999999999"/>
    <n v="17.5"/>
    <n v="9.3380299999999963"/>
    <n v="13.04"/>
    <x v="1"/>
    <s v="Performance"/>
    <s v="Cartera"/>
    <d v="2024-05-31T00:00:00"/>
    <n v="100"/>
    <n v="39.878029999999995"/>
    <x v="11"/>
    <x v="3"/>
  </r>
  <r>
    <m/>
    <d v="2021-03-28T00:00:00"/>
    <m/>
    <s v="2019/RQLC/0281/0001/R2"/>
    <s v="LABORUM TEMPORAL-EMPRESA DE TRABAJO TEMPORAL SL-B29851748"/>
    <s v="ORES"/>
    <s v="Accredited Insurance (Europe) Limited"/>
    <n v="714.19"/>
    <n v="0.17499999999999999"/>
    <n v="143.73099999999999"/>
    <n v="66.597955000000013"/>
    <n v="107.13"/>
    <x v="1"/>
    <s v="Performance"/>
    <s v="Cartera"/>
    <d v="2021-03-31T00:00:00"/>
    <n v="821.32"/>
    <n v="317.458955"/>
    <x v="6"/>
    <x v="5"/>
  </r>
  <r>
    <m/>
    <d v="2022-03-28T00:00:00"/>
    <m/>
    <s v="2019/RQLC/0281/0001/R3"/>
    <s v="LABORUM TEMPORAL-EMPRESA DE TRABAJO TEMPORAL SL-B29851748"/>
    <s v="ORES"/>
    <s v="Accredited Insurance (Europe) Limited"/>
    <n v="649.27"/>
    <n v="0.17499999999999999"/>
    <n v="130.66549999999998"/>
    <n v="63.790864999999997"/>
    <n v="97.39"/>
    <x v="1"/>
    <s v="Performance"/>
    <s v="Cartera"/>
    <d v="2022-03-31T00:00:00"/>
    <n v="746.66"/>
    <n v="291.84636499999999"/>
    <x v="6"/>
    <x v="2"/>
  </r>
  <r>
    <m/>
    <d v="2023-03-28T00:00:00"/>
    <m/>
    <s v="2019/RQLC/0281/0001/R4"/>
    <s v="LABORUM TEMPORAL-EMPRESA DE TRABAJO TEMPORAL SL-B29851748"/>
    <s v="ORES"/>
    <s v="Accredited Insurance (Europe) Limited"/>
    <n v="649.27"/>
    <n v="0.17499999999999999"/>
    <n v="130.66549999999998"/>
    <n v="63.790864999999997"/>
    <n v="97.39"/>
    <x v="1"/>
    <s v="Performance"/>
    <s v="Cartera"/>
    <d v="2023-03-31T00:00:00"/>
    <n v="746.66"/>
    <n v="291.84636499999999"/>
    <x v="6"/>
    <x v="4"/>
  </r>
  <r>
    <m/>
    <d v="2024-03-28T00:00:00"/>
    <m/>
    <s v="2019/RQLC/0281/0001/R5"/>
    <s v="LABORUM TEMPORAL-EMPRESA DE TRABAJO TEMPORAL SL-B29851748"/>
    <s v="ORES"/>
    <s v="Accredited Insurance (Europe) Limited"/>
    <n v="649.27"/>
    <n v="0.17499999999999999"/>
    <n v="130.66549999999998"/>
    <n v="69.715453749999995"/>
    <n v="97.39"/>
    <x v="1"/>
    <s v="Performance"/>
    <s v="Cartera"/>
    <d v="2024-03-31T00:00:00"/>
    <n v="746.66"/>
    <n v="297.77095374999999"/>
    <x v="6"/>
    <x v="3"/>
  </r>
  <r>
    <m/>
    <d v="2024-05-20T00:00:00"/>
    <m/>
    <s v="2019/RQLC/0283/0008/R5"/>
    <s v="DIAZ CUBERO SA-A41658022"/>
    <s v="ORES"/>
    <s v="Accredited Insurance (Europe) Limited"/>
    <n v="86.96"/>
    <n v="0.17499999999999999"/>
    <n v="17.5"/>
    <n v="9.3380299999999963"/>
    <n v="13.04"/>
    <x v="1"/>
    <s v="Performance"/>
    <s v="Cartera"/>
    <d v="2024-05-31T00:00:00"/>
    <n v="100"/>
    <n v="39.878029999999995"/>
    <x v="11"/>
    <x v="3"/>
  </r>
  <r>
    <m/>
    <d v="2023-03-28T00:00:00"/>
    <m/>
    <s v="2019/RQLC/0282/0001/R4"/>
    <s v="SELYCO CONTRATACION ETT S.L.-B67157669"/>
    <s v="ORES"/>
    <s v="Accredited Insurance (Europe) Limited"/>
    <n v="791.3"/>
    <n v="0.17499999999999999"/>
    <n v="159.25"/>
    <n v="77.744349999999969"/>
    <n v="118.7"/>
    <x v="1"/>
    <s v="Performance"/>
    <s v="Cartera"/>
    <d v="2023-03-31T00:00:00"/>
    <n v="910"/>
    <n v="355.69434999999999"/>
    <x v="6"/>
    <x v="4"/>
  </r>
  <r>
    <m/>
    <d v="2024-03-28T00:00:00"/>
    <m/>
    <s v="2019/RQLC/0282/0001/R5"/>
    <s v="SELYCO CONTRATACION ETT S.L.-B67157669"/>
    <s v="ORES"/>
    <s v="Accredited Insurance (Europe) Limited"/>
    <n v="791.3"/>
    <n v="0.17499999999999999"/>
    <n v="159.25"/>
    <n v="84.964962499999984"/>
    <n v="118.7"/>
    <x v="1"/>
    <s v="Performance"/>
    <s v="Cartera"/>
    <d v="2024-03-31T00:00:00"/>
    <n v="910"/>
    <n v="362.9149625"/>
    <x v="6"/>
    <x v="3"/>
  </r>
  <r>
    <m/>
    <d v="2024-05-14T00:00:00"/>
    <m/>
    <s v="2019/RQLC/0336/0001/R5"/>
    <s v="AVANZA SOLUTIONS &amp; PROJETS S.L.-B14200562"/>
    <s v="ORES"/>
    <s v="Accredited Insurance (Europe) Limited"/>
    <n v="86.96"/>
    <n v="0.17499999999999999"/>
    <n v="17.5"/>
    <n v="9.3380299999999963"/>
    <n v="13.04"/>
    <x v="1"/>
    <s v="Performance"/>
    <s v="Cartera"/>
    <d v="2024-05-31T00:00:00"/>
    <n v="100"/>
    <n v="39.878029999999995"/>
    <x v="11"/>
    <x v="3"/>
  </r>
  <r>
    <m/>
    <d v="2024-06-12T00:00:00"/>
    <m/>
    <s v="2019/RQLC/0364/0001/R5"/>
    <s v="EUROIL ENERGIA 2000 SL.-B12883666"/>
    <s v="ORES"/>
    <s v="Accredited Insurance (Europe) Limited"/>
    <n v="350.43"/>
    <n v="0.17499999999999999"/>
    <n v="70.524999999999991"/>
    <n v="37.626458749999998"/>
    <n v="52.57"/>
    <x v="1"/>
    <s v="Performance"/>
    <s v="Cartera"/>
    <d v="2024-06-30T00:00:00"/>
    <n v="403"/>
    <n v="160.72145874999998"/>
    <x v="2"/>
    <x v="3"/>
  </r>
  <r>
    <m/>
    <d v="2023-10-23T00:00:00"/>
    <m/>
    <s v="2019/RQLC/0450/0018/R3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10-31T00:00:00"/>
    <n v="100"/>
    <n v="39.084519999999998"/>
    <x v="3"/>
    <x v="4"/>
  </r>
  <r>
    <m/>
    <d v="2023-10-10T00:00:00"/>
    <m/>
    <s v="2019/RQLC/0450/0001/R4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10-31T00:00:00"/>
    <n v="100"/>
    <n v="39.084519999999998"/>
    <x v="3"/>
    <x v="4"/>
  </r>
  <r>
    <m/>
    <d v="2023-09-29T00:00:00"/>
    <m/>
    <s v="2019/RQLC/0450/0009/R3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09-30T00:00:00"/>
    <n v="100"/>
    <n v="39.084519999999998"/>
    <x v="9"/>
    <x v="4"/>
  </r>
  <r>
    <m/>
    <d v="2023-10-10T00:00:00"/>
    <m/>
    <s v="2019/RQLC/0450/0002/R4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10-31T00:00:00"/>
    <n v="100"/>
    <n v="39.084519999999998"/>
    <x v="3"/>
    <x v="4"/>
  </r>
  <r>
    <m/>
    <d v="2023-10-10T00:00:00"/>
    <m/>
    <s v="2019/RQLC/0450/0003/R4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10-31T00:00:00"/>
    <n v="100"/>
    <n v="39.084519999999998"/>
    <x v="3"/>
    <x v="4"/>
  </r>
  <r>
    <m/>
    <d v="2023-09-29T00:00:00"/>
    <m/>
    <s v="2019/RQLC/0450/0010/R3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09-30T00:00:00"/>
    <n v="100"/>
    <n v="39.084519999999998"/>
    <x v="9"/>
    <x v="4"/>
  </r>
  <r>
    <m/>
    <d v="2023-09-29T00:00:00"/>
    <m/>
    <s v="2019/RQLC/0450/0011/R3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09-30T00:00:00"/>
    <n v="100"/>
    <n v="39.084519999999998"/>
    <x v="9"/>
    <x v="4"/>
  </r>
  <r>
    <m/>
    <d v="2023-10-23T00:00:00"/>
    <m/>
    <s v="2019/RQLC/0450/0019/R3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10-31T00:00:00"/>
    <n v="100"/>
    <n v="39.084519999999998"/>
    <x v="3"/>
    <x v="4"/>
  </r>
  <r>
    <m/>
    <d v="2023-10-10T00:00:00"/>
    <m/>
    <s v="2019/RQLC/0450/0004/R4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10-31T00:00:00"/>
    <n v="100"/>
    <n v="39.084519999999998"/>
    <x v="3"/>
    <x v="4"/>
  </r>
  <r>
    <m/>
    <d v="2023-09-29T00:00:00"/>
    <m/>
    <s v="2019/RQLC/0450/0012/R3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09-30T00:00:00"/>
    <n v="100"/>
    <n v="39.084519999999998"/>
    <x v="9"/>
    <x v="4"/>
  </r>
  <r>
    <m/>
    <d v="2023-10-10T00:00:00"/>
    <m/>
    <s v="2019/RQLC/0450/0005/R4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10-31T00:00:00"/>
    <n v="100"/>
    <n v="39.084519999999998"/>
    <x v="3"/>
    <x v="4"/>
  </r>
  <r>
    <m/>
    <d v="2023-09-29T00:00:00"/>
    <m/>
    <s v="2019/RQLC/0450/0014/R3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09-30T00:00:00"/>
    <n v="100"/>
    <n v="39.084519999999998"/>
    <x v="9"/>
    <x v="4"/>
  </r>
  <r>
    <m/>
    <d v="2020-10-14T00:00:00"/>
    <m/>
    <s v="2019/RQLC/0454/0001/R1"/>
    <s v="RENOVABLES ALCOLEA 11 SL-B40616971"/>
    <s v="HOWDEN"/>
    <s v="Accredited Insurance (Europe) Limited"/>
    <n v="19960"/>
    <n v="0.15"/>
    <n v="3443.1"/>
    <n v="2594.7999999999997"/>
    <n v="2994"/>
    <x v="1"/>
    <s v="Performance"/>
    <s v="Cartera"/>
    <d v="2020-10-31T00:00:00"/>
    <n v="22954"/>
    <n v="9031.9"/>
    <x v="3"/>
    <x v="6"/>
  </r>
  <r>
    <m/>
    <d v="2023-10-10T00:00:00"/>
    <m/>
    <s v="2019/RQLC/0450/0006/R4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10-31T00:00:00"/>
    <n v="100"/>
    <n v="39.084519999999998"/>
    <x v="3"/>
    <x v="4"/>
  </r>
  <r>
    <m/>
    <d v="2023-09-29T00:00:00"/>
    <m/>
    <s v="2019/RQLC/0450/0015/R3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09-30T00:00:00"/>
    <n v="100"/>
    <n v="39.084519999999998"/>
    <x v="9"/>
    <x v="4"/>
  </r>
  <r>
    <m/>
    <d v="2021-10-14T00:00:00"/>
    <m/>
    <s v="2019/RQLC/0454/0001/R2"/>
    <s v="RENOVABLES ALCOLEA 11 SL-B40616971"/>
    <s v="HOWDEN"/>
    <s v="Accredited Insurance (Europe) Limited"/>
    <n v="1749.92"/>
    <n v="0.15"/>
    <n v="301.86149999999998"/>
    <n v="213.48994000000005"/>
    <n v="262.49"/>
    <x v="1"/>
    <s v="Performance"/>
    <s v="Cartera"/>
    <d v="2021-10-31T00:00:00"/>
    <n v="2012.41"/>
    <n v="777.84144000000003"/>
    <x v="3"/>
    <x v="5"/>
  </r>
  <r>
    <m/>
    <d v="2023-10-07T00:00:00"/>
    <m/>
    <s v="2019/RQLC/0450/0016/R3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10-31T00:00:00"/>
    <n v="100"/>
    <n v="39.084519999999998"/>
    <x v="3"/>
    <x v="4"/>
  </r>
  <r>
    <m/>
    <d v="2020-10-14T00:00:00"/>
    <m/>
    <s v="2019/RQLC/0454/0002/R1"/>
    <s v="RENOVABLES ALCOLEA 12 SL-B40616963"/>
    <s v="HOWDEN"/>
    <s v="Accredited Insurance (Europe) Limited"/>
    <n v="19960"/>
    <n v="0.15"/>
    <n v="3443.1"/>
    <n v="2594.7999999999997"/>
    <n v="2994"/>
    <x v="1"/>
    <s v="Performance"/>
    <s v="Cartera"/>
    <d v="2020-10-31T00:00:00"/>
    <n v="22954"/>
    <n v="9031.9"/>
    <x v="3"/>
    <x v="6"/>
  </r>
  <r>
    <m/>
    <d v="2021-10-14T00:00:00"/>
    <m/>
    <s v="2019/RQLC/0454/0002/R2"/>
    <s v="RENOVABLES ALCOLEA 12 SL-B40616963"/>
    <s v="HOWDEN"/>
    <s v="Accredited Insurance (Europe) Limited"/>
    <n v="1749.92"/>
    <n v="0.15"/>
    <n v="301.86149999999998"/>
    <n v="213.48994000000005"/>
    <n v="262.49"/>
    <x v="1"/>
    <s v="Performance"/>
    <s v="Cartera"/>
    <d v="2021-10-31T00:00:00"/>
    <n v="2012.41"/>
    <n v="777.84144000000003"/>
    <x v="3"/>
    <x v="5"/>
  </r>
  <r>
    <m/>
    <d v="2023-10-10T00:00:00"/>
    <m/>
    <s v="2019/RQLC/0450/0007/R4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10-31T00:00:00"/>
    <n v="100"/>
    <n v="39.084519999999998"/>
    <x v="3"/>
    <x v="4"/>
  </r>
  <r>
    <m/>
    <d v="2020-10-14T00:00:00"/>
    <m/>
    <s v="2019/RQLC/0454/0003/R1"/>
    <s v="RENOVABLES ALCOLEA 13 SLU-B40616955"/>
    <s v="HOWDEN"/>
    <s v="Accredited Insurance (Europe) Limited"/>
    <n v="19960"/>
    <n v="0.15"/>
    <n v="3443.1"/>
    <n v="2594.7999999999997"/>
    <n v="2994"/>
    <x v="1"/>
    <s v="Performance"/>
    <s v="Cartera"/>
    <d v="2020-10-31T00:00:00"/>
    <n v="22954"/>
    <n v="9031.9"/>
    <x v="3"/>
    <x v="6"/>
  </r>
  <r>
    <m/>
    <d v="2023-10-07T00:00:00"/>
    <m/>
    <s v="2019/RQLC/0450/0017/R3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10-31T00:00:00"/>
    <n v="100"/>
    <n v="39.084519999999998"/>
    <x v="3"/>
    <x v="4"/>
  </r>
  <r>
    <m/>
    <d v="2021-10-14T00:00:00"/>
    <m/>
    <s v="2019/RQLC/0454/0003/R2"/>
    <s v="RENOVABLES ALCOLEA 13 SLU-B40616955"/>
    <s v="HOWDEN"/>
    <s v="Accredited Insurance (Europe) Limited"/>
    <n v="1749.92"/>
    <n v="0.15"/>
    <n v="301.86149999999998"/>
    <n v="213.48994000000005"/>
    <n v="262.49"/>
    <x v="1"/>
    <s v="Performance"/>
    <s v="Cartera"/>
    <d v="2021-10-31T00:00:00"/>
    <n v="2012.41"/>
    <n v="777.84144000000003"/>
    <x v="3"/>
    <x v="5"/>
  </r>
  <r>
    <m/>
    <d v="2023-09-29T00:00:00"/>
    <m/>
    <s v="2019/RQLC/0450/0008/R3"/>
    <s v="OTERO BUILDERS SL.-B93539310"/>
    <s v="ORES"/>
    <s v="Accredited Insurance (Europe) Limited"/>
    <n v="86.96"/>
    <n v="0.17499999999999999"/>
    <n v="17.5"/>
    <n v="8.5445199999999986"/>
    <n v="13.04"/>
    <x v="1"/>
    <s v="Performance"/>
    <s v="Cartera"/>
    <d v="2023-09-30T00:00:00"/>
    <n v="100"/>
    <n v="39.084519999999998"/>
    <x v="9"/>
    <x v="4"/>
  </r>
  <r>
    <m/>
    <d v="2020-10-14T00:00:00"/>
    <m/>
    <s v="2019/RQLC/0454/0004/R1"/>
    <s v="RENOVABLES ALCOLEA 14 SL-B40616948"/>
    <s v="HOWDEN"/>
    <s v="Accredited Insurance (Europe) Limited"/>
    <n v="19960"/>
    <n v="0.15"/>
    <n v="3443.1"/>
    <n v="2594.7999999999997"/>
    <n v="2994"/>
    <x v="1"/>
    <s v="Performance"/>
    <s v="Cartera"/>
    <d v="2020-10-31T00:00:00"/>
    <n v="22954"/>
    <n v="9031.9"/>
    <x v="3"/>
    <x v="6"/>
  </r>
  <r>
    <m/>
    <d v="2021-10-14T00:00:00"/>
    <m/>
    <s v="2019/RQLC/0454/0004/R2"/>
    <s v="RENOVABLES ALCOLEA 14 SL-B40616948"/>
    <s v="HOWDEN"/>
    <s v="Accredited Insurance (Europe) Limited"/>
    <n v="1749.92"/>
    <n v="0.15"/>
    <n v="301.86149999999998"/>
    <n v="213.48994000000005"/>
    <n v="262.49"/>
    <x v="1"/>
    <s v="Performance"/>
    <s v="Cartera"/>
    <d v="2021-10-31T00:00:00"/>
    <n v="2012.41"/>
    <n v="777.84144000000003"/>
    <x v="3"/>
    <x v="5"/>
  </r>
  <r>
    <m/>
    <d v="2021-11-13T00:00:00"/>
    <m/>
    <s v="2019/RQLC/0478/0001/R2"/>
    <s v="INGENIERIA SIMANCAS SL-B06418503"/>
    <s v="HOWDEN"/>
    <s v="Accredited Insurance (Europe) Limited"/>
    <n v="904.35"/>
    <n v="0.15"/>
    <n v="156"/>
    <n v="110.331075"/>
    <n v="135.65"/>
    <x v="1"/>
    <s v="Performance"/>
    <s v="Cartera"/>
    <d v="2021-11-30T00:00:00"/>
    <n v="1040"/>
    <n v="401.98107500000003"/>
    <x v="4"/>
    <x v="5"/>
  </r>
  <r>
    <m/>
    <d v="2022-11-13T00:00:00"/>
    <m/>
    <s v="2019/RQLC/0478/0001/R3"/>
    <s v="INGENIERIA SIMANCAS SL-B06418503"/>
    <s v="HOWDEN"/>
    <s v="Accredited Insurance (Europe) Limited"/>
    <n v="904.35"/>
    <n v="0.15"/>
    <n v="156"/>
    <n v="114.852825"/>
    <n v="135.65"/>
    <x v="1"/>
    <s v="Performance"/>
    <s v="Cartera"/>
    <d v="2022-11-30T00:00:00"/>
    <n v="1040"/>
    <n v="406.50282500000003"/>
    <x v="4"/>
    <x v="2"/>
  </r>
  <r>
    <m/>
    <d v="2021-03-25T00:00:00"/>
    <m/>
    <s v="2019/RQLC/0464/0001/R1"/>
    <s v="CONSPAI OBRAS Y SERVICIOS DEL VALLES SL.-B66888645"/>
    <s v="DIAGONAL"/>
    <s v="Accredited Insurance (Europe) Limited"/>
    <n v="173.91"/>
    <n v="0.13500000000000001"/>
    <n v="27"/>
    <n v="24.216494999999995"/>
    <n v="26.09"/>
    <x v="1"/>
    <s v="Performance"/>
    <s v="Cartera"/>
    <d v="2021-03-31T00:00:00"/>
    <n v="200"/>
    <n v="77.306494999999998"/>
    <x v="6"/>
    <x v="5"/>
  </r>
  <r>
    <m/>
    <d v="2020-11-13T00:00:00"/>
    <m/>
    <s v="2019/RQLC/0478/0001/R1"/>
    <s v="INGENIERIA SIMANCAS SL-B06418503"/>
    <s v="HOWDEN"/>
    <s v="Accredited Insurance (Europe) Limited"/>
    <n v="904.35"/>
    <n v="0.15"/>
    <n v="156"/>
    <n v="117.56587500000001"/>
    <n v="135.65"/>
    <x v="1"/>
    <s v="Performance"/>
    <s v="Cartera"/>
    <d v="2020-11-30T00:00:00"/>
    <n v="1040"/>
    <n v="409.21587499999998"/>
    <x v="4"/>
    <x v="6"/>
  </r>
  <r>
    <m/>
    <d v="2022-03-25T00:00:00"/>
    <m/>
    <s v="2019/RQLC/0464/0001/R2"/>
    <s v="CONSPAI OBRAS Y SERVICIOS DEL VALLES SL.-B66888645"/>
    <s v="DIAGONAL"/>
    <s v="Accredited Insurance (Europe) Limited"/>
    <n v="173.91"/>
    <n v="0.13500000000000001"/>
    <n v="27"/>
    <n v="25.086044999999999"/>
    <n v="26.09"/>
    <x v="1"/>
    <s v="Performance"/>
    <s v="Cartera"/>
    <d v="2022-03-31T00:00:00"/>
    <n v="200"/>
    <n v="78.176045000000002"/>
    <x v="6"/>
    <x v="2"/>
  </r>
  <r>
    <m/>
    <d v="2023-03-25T00:00:00"/>
    <m/>
    <s v="2019/RQLC/0464/0001/R3"/>
    <s v="CONSPAI OBRAS Y SERVICIOS DEL VALLES SL.-B66888645"/>
    <s v="DIAGONAL"/>
    <s v="Accredited Insurance (Europe) Limited"/>
    <n v="173.91"/>
    <n v="0.13500000000000001"/>
    <n v="27"/>
    <n v="25.086044999999999"/>
    <n v="26.09"/>
    <x v="1"/>
    <s v="Performance"/>
    <s v="Cartera"/>
    <d v="2023-03-31T00:00:00"/>
    <n v="200"/>
    <n v="78.176045000000002"/>
    <x v="6"/>
    <x v="4"/>
  </r>
  <r>
    <m/>
    <d v="2024-03-25T00:00:00"/>
    <m/>
    <s v="2019/RQLC/0464/0001/R4"/>
    <s v="CONSPAI OBRAS Y SERVICIOS DEL VALLES SL.-B66888645"/>
    <s v="DIAGONAL"/>
    <s v="Accredited Insurance (Europe) Limited"/>
    <n v="173.91"/>
    <n v="0.13500000000000001"/>
    <n v="27"/>
    <n v="26.672973749999997"/>
    <n v="26.09"/>
    <x v="1"/>
    <s v="Performance"/>
    <s v="Cartera"/>
    <d v="2024-03-31T00:00:00"/>
    <n v="200"/>
    <n v="79.76297375"/>
    <x v="6"/>
    <x v="3"/>
  </r>
  <r>
    <m/>
    <d v="2021-04-06T00:00:00"/>
    <m/>
    <s v="2019/RQLC/0464/0002/R1"/>
    <s v="CONSPAI OBRAS Y SERVICIOS DEL VALLES SL.-B66888645"/>
    <s v="DIAGONAL"/>
    <s v="Accredited Insurance (Europe) Limited"/>
    <n v="173.91"/>
    <n v="0.13500000000000001"/>
    <n v="27"/>
    <n v="24.216494999999995"/>
    <n v="26.09"/>
    <x v="1"/>
    <s v="Performance"/>
    <s v="Cartera"/>
    <d v="2021-04-30T00:00:00"/>
    <n v="200"/>
    <n v="77.306494999999998"/>
    <x v="10"/>
    <x v="5"/>
  </r>
  <r>
    <m/>
    <d v="2022-04-06T00:00:00"/>
    <m/>
    <s v="2019/RQLC/0464/0002/R2"/>
    <s v="CONSPAI OBRAS Y SERVICIOS DEL VALLES SL.-B66888645"/>
    <s v="DIAGONAL"/>
    <s v="Accredited Insurance (Europe) Limited"/>
    <n v="173.91"/>
    <n v="0.13500000000000001"/>
    <n v="27"/>
    <n v="25.086044999999999"/>
    <n v="26.09"/>
    <x v="1"/>
    <s v="Performance"/>
    <s v="Cartera"/>
    <d v="2022-04-30T00:00:00"/>
    <n v="200"/>
    <n v="78.176045000000002"/>
    <x v="10"/>
    <x v="2"/>
  </r>
  <r>
    <m/>
    <d v="2023-04-06T00:00:00"/>
    <m/>
    <s v="2019/RQLC/0464/0002/R3"/>
    <s v="CONSPAI OBRAS Y SERVICIOS DEL VALLES SL.-B66888645"/>
    <s v="DIAGONAL"/>
    <s v="Accredited Insurance (Europe) Limited"/>
    <n v="173.91"/>
    <n v="0.13500000000000001"/>
    <n v="27"/>
    <n v="25.086044999999999"/>
    <n v="26.09"/>
    <x v="1"/>
    <s v="Performance"/>
    <s v="Cartera"/>
    <d v="2023-04-30T00:00:00"/>
    <n v="200"/>
    <n v="78.176045000000002"/>
    <x v="10"/>
    <x v="4"/>
  </r>
  <r>
    <m/>
    <d v="2024-04-06T00:00:00"/>
    <m/>
    <s v="2019/RQLC/0464/0002/R4"/>
    <s v="CONSPAI OBRAS Y SERVICIOS DEL VALLES SL.-B66888645"/>
    <s v="DIAGONAL"/>
    <s v="Accredited Insurance (Europe) Limited"/>
    <n v="173.91"/>
    <n v="0.13500000000000001"/>
    <n v="27"/>
    <n v="26.672973749999997"/>
    <n v="26.09"/>
    <x v="1"/>
    <s v="Performance"/>
    <s v="Cartera"/>
    <d v="2024-04-30T00:00:00"/>
    <n v="200"/>
    <n v="79.76297375"/>
    <x v="10"/>
    <x v="3"/>
  </r>
  <r>
    <m/>
    <d v="2023-03-13T00:00:00"/>
    <m/>
    <s v="2019/RQLC/0496/0004/R3"/>
    <s v="GESTION Y DESARROLLO DE SERVICIOS URBANOS INTEGRADOS SL-B91694588"/>
    <s v="ORES"/>
    <s v="Accredited Insurance (Europe) Limited"/>
    <n v="86.96"/>
    <n v="0.17499999999999999"/>
    <n v="17.5"/>
    <n v="8.5445199999999986"/>
    <n v="13.04"/>
    <x v="1"/>
    <s v="Performance"/>
    <s v="Cartera"/>
    <d v="2023-03-31T00:00:00"/>
    <n v="100"/>
    <n v="39.084519999999998"/>
    <x v="6"/>
    <x v="4"/>
  </r>
  <r>
    <m/>
    <d v="2024-03-13T00:00:00"/>
    <m/>
    <s v="2019/RQLC/0496/0004/R4"/>
    <s v="GESTION Y DESARROLLO DE SERVICIOS URBANOS INTEGRADOS SL-B91694588"/>
    <s v="ORES"/>
    <s v="Accredited Insurance (Europe) Limited"/>
    <n v="86.96"/>
    <n v="0.17499999999999999"/>
    <n v="17.5"/>
    <n v="9.3380299999999963"/>
    <n v="13.04"/>
    <x v="1"/>
    <s v="Performance"/>
    <s v="Cartera"/>
    <d v="2024-03-31T00:00:00"/>
    <n v="100"/>
    <n v="39.878029999999995"/>
    <x v="6"/>
    <x v="3"/>
  </r>
  <r>
    <m/>
    <d v="2022-02-13T00:00:00"/>
    <m/>
    <s v="2019/RQLC/0496/0001/R2"/>
    <s v="GESTION Y DESARROLLO DE SERVICIOS URBANOS INTEGRADOS SL-B91694588"/>
    <s v="ORES"/>
    <s v="Accredited Insurance (Europe) Limited"/>
    <n v="86.96"/>
    <n v="0.17499999999999999"/>
    <n v="17.5"/>
    <n v="8.5445199999999986"/>
    <n v="13.04"/>
    <x v="1"/>
    <s v="Performance"/>
    <s v="Cartera"/>
    <d v="2022-02-28T00:00:00"/>
    <n v="100"/>
    <n v="39.084519999999998"/>
    <x v="7"/>
    <x v="2"/>
  </r>
  <r>
    <m/>
    <d v="2023-02-13T00:00:00"/>
    <m/>
    <s v="2019/RQLC/0496/0001/R3"/>
    <s v="GESTION Y DESARROLLO DE SERVICIOS URBANOS INTEGRADOS SL-B91694588"/>
    <s v="ORES"/>
    <s v="Accredited Insurance (Europe) Limited"/>
    <n v="86.96"/>
    <n v="0.17499999999999999"/>
    <n v="17.5"/>
    <n v="8.5445199999999986"/>
    <n v="13.04"/>
    <x v="1"/>
    <s v="Performance"/>
    <s v="Cartera"/>
    <d v="2023-02-28T00:00:00"/>
    <n v="100"/>
    <n v="39.084519999999998"/>
    <x v="7"/>
    <x v="4"/>
  </r>
  <r>
    <m/>
    <d v="2024-02-13T00:00:00"/>
    <m/>
    <s v="2019/RQLC/0496/0001/R4"/>
    <s v="GESTION Y DESARROLLO DE SERVICIOS URBANOS INTEGRADOS SL-B91694588"/>
    <s v="ORES"/>
    <s v="Accredited Insurance (Europe) Limited"/>
    <n v="86.96"/>
    <n v="0.17499999999999999"/>
    <n v="17.5"/>
    <n v="9.3380299999999963"/>
    <n v="13.04"/>
    <x v="1"/>
    <s v="Performance"/>
    <s v="Cartera"/>
    <d v="2024-02-29T00:00:00"/>
    <n v="100"/>
    <n v="39.878029999999995"/>
    <x v="7"/>
    <x v="3"/>
  </r>
  <r>
    <m/>
    <d v="2021-03-13T00:00:00"/>
    <m/>
    <s v="2019/RQLC/0496/0003/R1"/>
    <s v="GESTION Y DESARROLLO DE SERVICIOS URBANOS INTEGRADOS SL-B91694588"/>
    <s v="ORES"/>
    <s v="Accredited Insurance (Europe) Limited"/>
    <n v="167.21"/>
    <n v="0.17499999999999999"/>
    <n v="33.650750000000002"/>
    <n v="15.592594999999996"/>
    <n v="25.08"/>
    <x v="1"/>
    <s v="Performance"/>
    <s v="Cartera"/>
    <d v="2021-03-31T00:00:00"/>
    <n v="192.29000000000002"/>
    <n v="74.323344999999989"/>
    <x v="6"/>
    <x v="5"/>
  </r>
  <r>
    <m/>
    <d v="2022-03-13T00:00:00"/>
    <m/>
    <s v="2019/RQLC/0496/0003/R2"/>
    <s v="GESTION Y DESARROLLO DE SERVICIOS URBANOS INTEGRADOS SL-B91694588"/>
    <s v="ORES"/>
    <s v="Accredited Insurance (Europe) Limited"/>
    <n v="152.01"/>
    <n v="0.17499999999999999"/>
    <n v="30.591749999999998"/>
    <n v="14.935244999999995"/>
    <n v="22.8"/>
    <x v="1"/>
    <s v="Performance"/>
    <s v="Cartera"/>
    <d v="2022-03-31T00:00:00"/>
    <n v="174.81"/>
    <n v="68.326994999999997"/>
    <x v="6"/>
    <x v="2"/>
  </r>
  <r>
    <m/>
    <d v="2023-03-13T00:00:00"/>
    <m/>
    <s v="2019/RQLC/0496/0003/R3"/>
    <s v="GESTION Y DESARROLLO DE SERVICIOS URBANOS INTEGRADOS SL-B91694588"/>
    <s v="ORES"/>
    <s v="Accredited Insurance (Europe) Limited"/>
    <n v="152.01"/>
    <n v="0.17499999999999999"/>
    <n v="30.591749999999998"/>
    <n v="14.935244999999995"/>
    <n v="22.8"/>
    <x v="1"/>
    <s v="Performance"/>
    <s v="Cartera"/>
    <d v="2023-03-31T00:00:00"/>
    <n v="174.81"/>
    <n v="68.326994999999997"/>
    <x v="6"/>
    <x v="4"/>
  </r>
  <r>
    <m/>
    <d v="2024-03-13T00:00:00"/>
    <m/>
    <s v="2019/RQLC/0496/0003/R4"/>
    <s v="GESTION Y DESARROLLO DE SERVICIOS URBANOS INTEGRADOS SL-B91694588"/>
    <s v="ORES"/>
    <s v="Accredited Insurance (Europe) Limited"/>
    <n v="152.01"/>
    <n v="0.17499999999999999"/>
    <n v="30.591749999999998"/>
    <n v="16.322336249999999"/>
    <n v="22.8"/>
    <x v="1"/>
    <s v="Performance"/>
    <s v="Cartera"/>
    <d v="2024-03-31T00:00:00"/>
    <n v="174.81"/>
    <n v="69.714086249999994"/>
    <x v="6"/>
    <x v="3"/>
  </r>
  <r>
    <m/>
    <d v="2022-03-13T00:00:00"/>
    <m/>
    <s v="2019/RQLC/0496/0004/R2"/>
    <s v="GESTION Y DESARROLLO DE SERVICIOS URBANOS INTEGRADOS SL-B91694588"/>
    <s v="ORES"/>
    <s v="Accredited Insurance (Europe) Limited"/>
    <n v="86.96"/>
    <n v="0.17499999999999999"/>
    <n v="17.5"/>
    <n v="8.5445199999999986"/>
    <n v="13.04"/>
    <x v="1"/>
    <s v="Performance"/>
    <s v="Cartera"/>
    <d v="2022-03-31T00:00:00"/>
    <n v="100"/>
    <n v="39.084519999999998"/>
    <x v="6"/>
    <x v="2"/>
  </r>
  <r>
    <m/>
    <d v="2021-03-13T00:00:00"/>
    <m/>
    <s v="2019/RQLC/0496/0004/R1"/>
    <s v="GESTION Y DESARROLLO DE SERVICIOS URBANOS INTEGRADOS SL-B91694588"/>
    <s v="ORES"/>
    <s v="Accredited Insurance (Europe) Limited"/>
    <n v="65"/>
    <n v="0.17499999999999999"/>
    <n v="11.375"/>
    <n v="7.7674999999999983"/>
    <n v="0"/>
    <x v="1"/>
    <s v="Performance"/>
    <s v="Cartera"/>
    <d v="2021-03-31T00:00:00"/>
    <n v="65"/>
    <n v="19.142499999999998"/>
    <x v="6"/>
    <x v="5"/>
  </r>
  <r>
    <m/>
    <d v="2023-06-23T00:00:00"/>
    <m/>
    <s v="2020/RQLC/0525/0001/R3"/>
    <s v="HISPANOSEGUR SEGURIDAD SL.-B56065980"/>
    <s v="ORES"/>
    <s v="Accredited Insurance (Europe) Limited"/>
    <n v="146.69999999999999"/>
    <n v="0.17499999999999999"/>
    <n v="29.522499999999997"/>
    <n v="14.414149999999996"/>
    <n v="22"/>
    <x v="1"/>
    <s v="Performance"/>
    <s v="Cartera"/>
    <d v="2023-06-30T00:00:00"/>
    <n v="168.7"/>
    <n v="65.936649999999986"/>
    <x v="2"/>
    <x v="4"/>
  </r>
  <r>
    <m/>
    <d v="2024-06-23T00:00:00"/>
    <m/>
    <s v="2020/RQLC/0525/0001/R4"/>
    <s v="HISPANOSEGUR SEGURIDAD SL.-B56065980"/>
    <s v="ORES"/>
    <s v="Accredited Insurance (Europe) Limited"/>
    <n v="146.69999999999999"/>
    <n v="0.17499999999999999"/>
    <n v="29.522499999999997"/>
    <n v="15.7527875"/>
    <n v="22"/>
    <x v="1"/>
    <s v="Performance"/>
    <s v="Cartera"/>
    <d v="2024-06-30T00:00:00"/>
    <n v="168.7"/>
    <n v="67.27528749999999"/>
    <x v="2"/>
    <x v="3"/>
  </r>
  <r>
    <m/>
    <d v="2022-06-23T00:00:00"/>
    <m/>
    <s v="2020/RQLC/0525/0001/R2"/>
    <s v="HISPANOSEGUR SEGURIDAD SL.-B56065980"/>
    <s v="ORES"/>
    <s v="Accredited Insurance (Europe) Limited"/>
    <n v="146.69999999999999"/>
    <n v="0.17499999999999999"/>
    <n v="29.522499999999997"/>
    <n v="14.414149999999996"/>
    <n v="22"/>
    <x v="1"/>
    <s v="Performance"/>
    <s v="Cartera"/>
    <d v="2022-06-30T00:00:00"/>
    <n v="168.7"/>
    <n v="65.936649999999986"/>
    <x v="2"/>
    <x v="2"/>
  </r>
  <r>
    <m/>
    <d v="2021-06-23T00:00:00"/>
    <m/>
    <s v="2020/RQLC/0525/0001/R1"/>
    <s v="HISPANOSEGUR SEGURIDAD SL.-B56065980"/>
    <s v="ORES"/>
    <s v="Accredited Insurance (Europe) Limited"/>
    <n v="146.69999999999999"/>
    <n v="0.17499999999999999"/>
    <n v="29.522499999999997"/>
    <n v="13.680649999999996"/>
    <n v="22"/>
    <x v="1"/>
    <s v="Performance"/>
    <s v="Cartera"/>
    <d v="2021-06-30T00:00:00"/>
    <n v="168.7"/>
    <n v="65.203149999999994"/>
    <x v="2"/>
    <x v="5"/>
  </r>
  <r>
    <m/>
    <d v="2023-01-07T00:00:00"/>
    <m/>
    <s v="2020/RQLC/0514/0001/R3"/>
    <s v="ACCEDA SERVICIOS Y SOLUCIONES INTEGRALES SL.-B90226671"/>
    <s v="ii-BROKER"/>
    <s v="Accredited Insurance (Europe) Limited"/>
    <n v="173.91"/>
    <n v="0.15"/>
    <n v="30"/>
    <n v="22.086044999999999"/>
    <n v="26.09"/>
    <x v="1"/>
    <s v="Performance"/>
    <s v="Cartera"/>
    <d v="2023-01-31T00:00:00"/>
    <n v="200"/>
    <n v="78.176045000000002"/>
    <x v="1"/>
    <x v="4"/>
  </r>
  <r>
    <m/>
    <d v="2024-01-07T00:00:00"/>
    <m/>
    <s v="2020/RQLC/0514/0001/R4"/>
    <s v="ACCEDA SERVICIOS Y SOLUCIONES INTEGRALES SL.-B90226671"/>
    <s v="ii-BROKER"/>
    <s v="Accredited Insurance (Europe) Limited"/>
    <n v="173.91"/>
    <n v="0.15"/>
    <n v="30"/>
    <n v="23.672973749999997"/>
    <n v="26.09"/>
    <x v="1"/>
    <s v="Performance"/>
    <s v="Cartera"/>
    <d v="2024-01-31T00:00:00"/>
    <n v="200"/>
    <n v="79.76297375"/>
    <x v="1"/>
    <x v="3"/>
  </r>
  <r>
    <m/>
    <d v="2023-03-04T00:00:00"/>
    <m/>
    <s v="2020/RQLC/0562/0001/R3"/>
    <s v="TRABEMOS E.T.T SOCIEDAD LIMITADA.-B02601144"/>
    <s v="ORES"/>
    <s v="Accredited Insurance (Europe) Limited"/>
    <n v="205.43"/>
    <n v="0.17499999999999999"/>
    <n v="41.34375"/>
    <n v="20.182535000000001"/>
    <n v="30.82"/>
    <x v="1"/>
    <s v="Performance"/>
    <s v="Cartera"/>
    <d v="2023-03-31T00:00:00"/>
    <n v="236.25"/>
    <n v="92.346284999999995"/>
    <x v="6"/>
    <x v="4"/>
  </r>
  <r>
    <m/>
    <d v="2024-03-04T00:00:00"/>
    <m/>
    <s v="2020/RQLC/0562/0001/R4"/>
    <s v="TRABEMOS E.T.T SOCIEDAD LIMITADA.-B02601144"/>
    <s v="ORES"/>
    <s v="Accredited Insurance (Europe) Limited"/>
    <n v="205.43"/>
    <n v="0.17499999999999999"/>
    <n v="41.34375"/>
    <n v="22.057083749999997"/>
    <n v="30.82"/>
    <x v="1"/>
    <s v="Performance"/>
    <s v="Cartera"/>
    <d v="2024-03-31T00:00:00"/>
    <n v="236.25"/>
    <n v="94.220833749999997"/>
    <x v="6"/>
    <x v="3"/>
  </r>
  <r>
    <m/>
    <d v="2021-10-02T00:00:00"/>
    <m/>
    <s v="2020/RQLC/0613/0004/R1"/>
    <s v="ESPACIOS INTEGRALES EUROVIP SL.-B87737573"/>
    <s v="VIAFINA"/>
    <s v="Accredited Insurance (Europe) Limited"/>
    <n v="173.91"/>
    <n v="0"/>
    <n v="0"/>
    <n v="51.216494999999995"/>
    <n v="26.09"/>
    <x v="1"/>
    <s v="Performance"/>
    <s v="Cartera"/>
    <d v="2021-10-31T00:00:00"/>
    <n v="200"/>
    <n v="77.306494999999998"/>
    <x v="3"/>
    <x v="5"/>
  </r>
  <r>
    <m/>
    <d v="2022-10-02T00:00:00"/>
    <m/>
    <s v="2020/RQLC/0613/0004/R2"/>
    <s v="ESPACIOS INTEGRALES EUROVIP SL.-B87737573"/>
    <s v="VIAFINA"/>
    <s v="Accredited Insurance (Europe) Limited"/>
    <n v="173.91"/>
    <n v="0"/>
    <n v="0"/>
    <n v="52.086044999999999"/>
    <n v="26.09"/>
    <x v="1"/>
    <s v="Performance"/>
    <s v="Cartera"/>
    <d v="2022-10-31T00:00:00"/>
    <n v="200"/>
    <n v="78.176045000000002"/>
    <x v="3"/>
    <x v="2"/>
  </r>
  <r>
    <m/>
    <d v="2023-10-02T00:00:00"/>
    <m/>
    <s v="2020/RQLC/0613/0004/R3"/>
    <s v="ESPACIOS INTEGRALES EUROVIP SL.-B87737573"/>
    <s v="VIAFINA"/>
    <s v="Accredited Insurance (Europe) Limited"/>
    <n v="173.91"/>
    <n v="0"/>
    <n v="0"/>
    <n v="52.086044999999999"/>
    <n v="26.09"/>
    <x v="1"/>
    <s v="Performance"/>
    <s v="Cartera"/>
    <d v="2023-10-31T00:00:00"/>
    <n v="200"/>
    <n v="78.176045000000002"/>
    <x v="3"/>
    <x v="4"/>
  </r>
  <r>
    <m/>
    <d v="2022-08-06T00:00:00"/>
    <m/>
    <s v="2020/RQLC/0647/0001/R2"/>
    <s v="CARNES Y FABRICA DE EMBUTIDOS MONTORO SL-B14771968"/>
    <s v="HOWDEN"/>
    <s v="Accredited Insurance (Europe) Limited"/>
    <n v="173.91"/>
    <n v="0.15"/>
    <n v="30"/>
    <n v="22.086044999999999"/>
    <n v="26.09"/>
    <x v="1"/>
    <s v="Performance"/>
    <s v="Cartera"/>
    <d v="2022-08-31T00:00:00"/>
    <n v="200"/>
    <n v="78.176045000000002"/>
    <x v="8"/>
    <x v="2"/>
  </r>
  <r>
    <m/>
    <d v="2024-06-18T00:00:00"/>
    <m/>
    <s v="2020/RQLC/0624/0001/R4"/>
    <s v="BDMED 2010 SOCIEDAD LIMITADA-B12848008"/>
    <s v="ORES"/>
    <s v="Accredited Insurance (Europe) Limited"/>
    <n v="1862.94"/>
    <n v="0.17499999999999999"/>
    <n v="374.91649999999998"/>
    <n v="200.03335750000002"/>
    <n v="279.44"/>
    <x v="1"/>
    <s v="Performance"/>
    <s v="Cartera"/>
    <d v="2024-06-30T00:00:00"/>
    <n v="2142.38"/>
    <n v="854.38985750000006"/>
    <x v="2"/>
    <x v="3"/>
  </r>
  <r>
    <m/>
    <d v="2021-08-20T00:00:00"/>
    <m/>
    <s v="2020/RQLC/0658/0001/R1"/>
    <s v="ESPACIOS INTEGRALES EUROVIP SL.-B87737573"/>
    <s v="VIAFINA"/>
    <s v="Accredited Insurance (Europe) Limited"/>
    <n v="173.91"/>
    <n v="0"/>
    <n v="0"/>
    <n v="51.216494999999995"/>
    <n v="26.09"/>
    <x v="1"/>
    <s v="Performance"/>
    <s v="Cartera"/>
    <d v="2021-08-31T00:00:00"/>
    <n v="200"/>
    <n v="77.306494999999998"/>
    <x v="8"/>
    <x v="5"/>
  </r>
  <r>
    <m/>
    <d v="2023-09-30T00:00:00"/>
    <m/>
    <s v="2021/RQLC/0768/0001/R2"/>
    <s v="CONSTRUCCIONES GOVASUR INGENIEROS ASOCIADOS SL.-B93384626"/>
    <s v="ORES"/>
    <s v="Accredited Insurance (Europe) Limited"/>
    <n v="160.97"/>
    <n v="0.17499999999999999"/>
    <n v="32.396000000000001"/>
    <n v="15.814515"/>
    <n v="24.15"/>
    <x v="1"/>
    <s v="Performance"/>
    <s v="Cartera"/>
    <d v="2023-09-30T00:00:00"/>
    <n v="185.12"/>
    <n v="72.360514999999992"/>
    <x v="9"/>
    <x v="4"/>
  </r>
  <r>
    <m/>
    <d v="2023-12-02T00:00:00"/>
    <m/>
    <s v="2021/RQLC/0768/0002/R2"/>
    <s v="CONSTRUCCIONES GOVASUR INGENIEROS ASOCIADOS SL.-B93384626"/>
    <s v="ORES"/>
    <s v="Accredited Insurance (Europe) Limited"/>
    <n v="212.81"/>
    <n v="0.17499999999999999"/>
    <n v="42.827750000000002"/>
    <n v="20.908844999999999"/>
    <n v="31.92"/>
    <x v="1"/>
    <s v="Performance"/>
    <s v="Cartera"/>
    <d v="2023-12-31T00:00:00"/>
    <n v="244.73000000000002"/>
    <n v="95.65659500000001"/>
    <x v="0"/>
    <x v="4"/>
  </r>
  <r>
    <m/>
    <d v="2023-11-24T00:00:00"/>
    <m/>
    <s v="2021/RQLC/0889/0001/R2"/>
    <s v="INSTALACION CONTROL Y PROTECCION DE SEGURIDAD SOCIEDAD-B98920838"/>
    <s v="ORES"/>
    <s v="Accredited Insurance (Europe) Limited"/>
    <n v="1525.65"/>
    <n v="0.17499999999999999"/>
    <n v="307.03749999999997"/>
    <n v="149.89467500000006"/>
    <n v="228.85"/>
    <x v="1"/>
    <s v="Performance"/>
    <s v="Cartera"/>
    <d v="2023-11-30T00:00:00"/>
    <n v="1754.5"/>
    <n v="685.78217500000005"/>
    <x v="4"/>
    <x v="4"/>
  </r>
  <r>
    <m/>
    <d v="2022-12-27T00:00:00"/>
    <m/>
    <s v="2021/RQLC/0878/0003/R1"/>
    <s v="HERCULES SERVICIOS GENERALES DE INTEGRACION SL-B51025591"/>
    <s v="ORES"/>
    <s v="Accredited Insurance (Europe) Limited"/>
    <n v="152.61000000000001"/>
    <n v="0.17499999999999999"/>
    <n v="30.712499999999999"/>
    <n v="14.994195000000005"/>
    <n v="22.89"/>
    <x v="1"/>
    <s v="Performance"/>
    <s v="Cartera"/>
    <d v="2022-12-31T00:00:00"/>
    <n v="175.5"/>
    <n v="68.596695000000011"/>
    <x v="0"/>
    <x v="2"/>
  </r>
  <r>
    <m/>
    <d v="2023-12-27T00:00:00"/>
    <m/>
    <s v="2021/RQLC/0878/0003/R2"/>
    <s v="HERCULES SERVICIOS GENERALES DE INTEGRACION SL-B51025591"/>
    <s v="ORES"/>
    <s v="Accredited Insurance (Europe) Limited"/>
    <n v="152.61000000000001"/>
    <n v="0.17499999999999999"/>
    <n v="30.712499999999999"/>
    <n v="14.994195000000005"/>
    <n v="22.89"/>
    <x v="1"/>
    <s v="Performance"/>
    <s v="Cartera"/>
    <d v="2023-12-31T00:00:00"/>
    <n v="175.5"/>
    <n v="68.596695000000011"/>
    <x v="0"/>
    <x v="4"/>
  </r>
  <r>
    <m/>
    <d v="2022-12-30T00:00:00"/>
    <m/>
    <s v="2021/RQLC/0878/0004/R1"/>
    <s v="HERCULES SERVICIOS GENERALES DE INTEGRACION SL-B51025591"/>
    <s v="ORES"/>
    <s v="Accredited Insurance (Europe) Limited"/>
    <n v="208.96"/>
    <n v="0.17499999999999999"/>
    <n v="42.052500000000002"/>
    <n v="20.531019999999998"/>
    <n v="31.34"/>
    <x v="1"/>
    <s v="Performance"/>
    <s v="Cartera"/>
    <d v="2022-12-31T00:00:00"/>
    <n v="240.3"/>
    <n v="93.923519999999996"/>
    <x v="0"/>
    <x v="2"/>
  </r>
  <r>
    <m/>
    <d v="2023-12-30T00:00:00"/>
    <m/>
    <s v="2021/RQLC/0878/0004/R2"/>
    <s v="HERCULES SERVICIOS GENERALES DE INTEGRACION SL-B51025591"/>
    <s v="ORES"/>
    <s v="Accredited Insurance (Europe) Limited"/>
    <n v="208.96"/>
    <n v="0.17499999999999999"/>
    <n v="42.052500000000002"/>
    <n v="20.531019999999998"/>
    <n v="31.34"/>
    <x v="1"/>
    <s v="Performance"/>
    <s v="Cartera"/>
    <d v="2023-12-31T00:00:00"/>
    <n v="240.3"/>
    <n v="93.923519999999996"/>
    <x v="0"/>
    <x v="4"/>
  </r>
  <r>
    <m/>
    <d v="2023-12-16T00:00:00"/>
    <m/>
    <s v="2021/RQLC/0911/0001/R2"/>
    <s v="OPROYECTS IBERICA SL.-B98699507"/>
    <s v="BONDINGBROKERS"/>
    <s v="Accredited Insurance (Europe) Limited"/>
    <n v="268.48"/>
    <n v="0.13500000000000001"/>
    <n v="41.681250000000006"/>
    <n v="38.72851"/>
    <n v="40.270000000000003"/>
    <x v="1"/>
    <s v="Performance"/>
    <s v="Cartera"/>
    <d v="2023-12-31T00:00:00"/>
    <n v="308.75"/>
    <n v="120.67976000000002"/>
    <x v="0"/>
    <x v="4"/>
  </r>
  <r>
    <m/>
    <d v="2023-12-16T00:00:00"/>
    <m/>
    <s v="2021/RQLC/0911/0002/R2"/>
    <s v="OPROYECTS IBERICA SL.-B98699507"/>
    <s v="BONDINGBROKERS"/>
    <s v="Accredited Insurance (Europe) Limited"/>
    <n v="300.89999999999998"/>
    <n v="0.13500000000000001"/>
    <n v="46.71405"/>
    <n v="43.405499999999989"/>
    <n v="45.13"/>
    <x v="1"/>
    <s v="Performance"/>
    <s v="Cartera"/>
    <d v="2023-12-31T00:00:00"/>
    <n v="346.03"/>
    <n v="135.24955"/>
    <x v="0"/>
    <x v="4"/>
  </r>
  <r>
    <m/>
    <d v="2024-06-22T00:00:00"/>
    <m/>
    <s v="2023/RQLC/1084/0001/R1"/>
    <s v="EUROIL ENERGIA 2000 SL.-B12883666"/>
    <s v="ORES"/>
    <s v="Accredited Insurance (Europe) Limited"/>
    <n v="339.13"/>
    <n v="0.17499999999999999"/>
    <n v="68.25"/>
    <n v="36.413996249999997"/>
    <n v="50.87"/>
    <x v="1"/>
    <s v="Performance"/>
    <s v="Cartera"/>
    <d v="2024-06-30T00:00:00"/>
    <n v="390"/>
    <n v="155.53399625"/>
    <x v="2"/>
    <x v="3"/>
  </r>
  <r>
    <m/>
    <d v="2024-11-19T00:00:00"/>
    <m/>
    <s v="2018/RQLC/0048/0030/R5"/>
    <s v="PROYECTOS Y MONTAJES INGEMONT SA-A91614263"/>
    <s v="ORES"/>
    <s v="Accredited Insurance (Europe) Limited"/>
    <n v="86.96"/>
    <n v="0.17499999999999999"/>
    <n v="17.5"/>
    <n v="9.3380299999999963"/>
    <n v="13.04"/>
    <x v="1"/>
    <s v="Performance"/>
    <s v="Cartera"/>
    <d v="2024-11-30T00:00:00"/>
    <n v="100"/>
    <n v="39.878029999999995"/>
    <x v="4"/>
    <x v="3"/>
  </r>
  <r>
    <m/>
    <d v="2024-11-12T00:00:00"/>
    <m/>
    <s v="2018/RQLC/0048/0026/R5"/>
    <s v="PROYECTOS Y MONTAJES INGEMONT SA-A91614263"/>
    <s v="ORES"/>
    <s v="Accredited Insurance (Europe) Limited"/>
    <n v="86.96"/>
    <n v="0.17499999999999999"/>
    <n v="17.5"/>
    <n v="9.3380299999999963"/>
    <n v="13.04"/>
    <x v="1"/>
    <s v="Performance"/>
    <s v="Cartera"/>
    <d v="2024-11-30T00:00:00"/>
    <n v="100"/>
    <n v="39.878029999999995"/>
    <x v="4"/>
    <x v="3"/>
  </r>
  <r>
    <m/>
    <d v="2024-11-19T00:00:00"/>
    <m/>
    <s v="2018/RQLC/0048/0029/R5"/>
    <s v="PROYECTOS Y MONTAJES INGEMONT SA-A91614263"/>
    <s v="ORES"/>
    <s v="Accredited Insurance (Europe) Limited"/>
    <n v="124.37"/>
    <n v="0.17499999999999999"/>
    <n v="25.030249999999999"/>
    <n v="13.353441249999999"/>
    <n v="18.66"/>
    <x v="1"/>
    <s v="Performance"/>
    <s v="Cartera"/>
    <d v="2024-11-30T00:00:00"/>
    <n v="143.03"/>
    <n v="57.043691249999995"/>
    <x v="4"/>
    <x v="3"/>
  </r>
  <r>
    <m/>
    <d v="2024-11-14T00:00:00"/>
    <m/>
    <s v="2019/RQLC/0283/0015/R5"/>
    <s v="EDIMEL, S.L.-B41853540"/>
    <s v="ORES"/>
    <s v="Accredited Insurance (Europe) Limited"/>
    <n v="327.29000000000002"/>
    <n v="0.17499999999999999"/>
    <n v="65.866500000000002"/>
    <n v="35.143376250000003"/>
    <n v="49.09"/>
    <x v="1"/>
    <s v="Performance"/>
    <s v="Cartera"/>
    <d v="2024-11-30T00:00:00"/>
    <n v="376.38"/>
    <n v="150.09987625000002"/>
    <x v="4"/>
    <x v="3"/>
  </r>
  <r>
    <m/>
    <d v="2024-11-26T00:00:00"/>
    <m/>
    <s v="2019/RQLC/0200/0011/R5"/>
    <s v="REALAN SERVICES .L.-B76121078"/>
    <s v="BRUZON"/>
    <s v="Accredited Insurance (Europe) Limited"/>
    <n v="173.91"/>
    <n v="0.16"/>
    <n v="32"/>
    <n v="21.672973749999997"/>
    <n v="26.09"/>
    <x v="1"/>
    <s v="Performance"/>
    <s v="Cartera"/>
    <d v="2024-11-30T00:00:00"/>
    <n v="200"/>
    <n v="79.76297375"/>
    <x v="4"/>
    <x v="3"/>
  </r>
  <r>
    <m/>
    <d v="2024-11-19T00:00:00"/>
    <m/>
    <s v="2018/RQLC/0048/0027/R5"/>
    <s v="PROYECTOS Y MONTAJES INGEMONT SA-A91614263"/>
    <s v="ORES"/>
    <s v="Accredited Insurance (Europe) Limited"/>
    <n v="86.96"/>
    <n v="0.17499999999999999"/>
    <n v="17.5"/>
    <n v="9.3380299999999963"/>
    <n v="13.04"/>
    <x v="1"/>
    <s v="Performance"/>
    <s v="Cartera"/>
    <d v="2024-11-30T00:00:00"/>
    <n v="100"/>
    <n v="39.878029999999995"/>
    <x v="4"/>
    <x v="3"/>
  </r>
  <r>
    <m/>
    <d v="2024-11-26T00:00:00"/>
    <m/>
    <s v="2018/RQLC/0048/0031/R5"/>
    <s v="PROYECTOS Y MONTAJES INGEMONT SA-A91614263"/>
    <s v="ORES"/>
    <s v="Accredited Insurance (Europe) Limited"/>
    <n v="140.22999999999999"/>
    <n v="0.17499999999999999"/>
    <n v="28.220499999999998"/>
    <n v="15.057983749999995"/>
    <n v="21.03"/>
    <x v="1"/>
    <s v="Performance"/>
    <s v="Cartera"/>
    <d v="2024-11-30T00:00:00"/>
    <n v="161.26"/>
    <n v="64.308483749999994"/>
    <x v="4"/>
    <x v="3"/>
  </r>
  <r>
    <m/>
    <d v="2024-11-19T00:00:00"/>
    <m/>
    <s v="2018/RQLC/0048/0028/R5"/>
    <s v="PROYECTOS Y MONTAJES INGEMONT SA-A91614263"/>
    <s v="ORES"/>
    <s v="Accredited Insurance (Europe) Limited"/>
    <n v="110.02"/>
    <n v="0.17499999999999999"/>
    <n v="22.140999999999998"/>
    <n v="11.813922499999997"/>
    <n v="16.5"/>
    <x v="1"/>
    <s v="Performance"/>
    <s v="Cartera"/>
    <d v="2024-11-30T00:00:00"/>
    <n v="126.52"/>
    <n v="50.454922499999995"/>
    <x v="4"/>
    <x v="3"/>
  </r>
  <r>
    <m/>
    <d v="2024-10-10T00:00:00"/>
    <m/>
    <s v="2019/RQLC/0450/0001/R5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10-31T00:00:00"/>
    <n v="100"/>
    <n v="39.878029999999995"/>
    <x v="3"/>
    <x v="3"/>
  </r>
  <r>
    <m/>
    <d v="2024-10-10T00:00:00"/>
    <m/>
    <s v="2019/RQLC/0450/0002/R5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10-31T00:00:00"/>
    <n v="100"/>
    <n v="39.878029999999995"/>
    <x v="3"/>
    <x v="3"/>
  </r>
  <r>
    <m/>
    <d v="2024-10-10T00:00:00"/>
    <m/>
    <s v="2019/RQLC/0450/0003/R5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10-31T00:00:00"/>
    <n v="100"/>
    <n v="39.878029999999995"/>
    <x v="3"/>
    <x v="3"/>
  </r>
  <r>
    <m/>
    <d v="2024-10-10T00:00:00"/>
    <m/>
    <s v="2019/RQLC/0450/0004/R5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10-31T00:00:00"/>
    <n v="100"/>
    <n v="39.878029999999995"/>
    <x v="3"/>
    <x v="3"/>
  </r>
  <r>
    <m/>
    <d v="2024-10-10T00:00:00"/>
    <m/>
    <s v="2019/RQLC/0450/0005/R5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10-31T00:00:00"/>
    <n v="100"/>
    <n v="39.878029999999995"/>
    <x v="3"/>
    <x v="3"/>
  </r>
  <r>
    <m/>
    <d v="2024-10-10T00:00:00"/>
    <m/>
    <s v="2019/RQLC/0450/0006/R5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10-31T00:00:00"/>
    <n v="100"/>
    <n v="39.878029999999995"/>
    <x v="3"/>
    <x v="3"/>
  </r>
  <r>
    <m/>
    <d v="2024-10-10T00:00:00"/>
    <m/>
    <s v="2019/RQLC/0450/0007/R5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10-31T00:00:00"/>
    <n v="100"/>
    <n v="39.878029999999995"/>
    <x v="3"/>
    <x v="3"/>
  </r>
  <r>
    <m/>
    <d v="2024-09-29T00:00:00"/>
    <m/>
    <s v="2019/RQLC/0450/0008/R4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09-30T00:00:00"/>
    <n v="100"/>
    <n v="39.878029999999995"/>
    <x v="9"/>
    <x v="3"/>
  </r>
  <r>
    <m/>
    <d v="2024-09-29T00:00:00"/>
    <m/>
    <s v="2019/RQLC/0450/0010/R4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09-30T00:00:00"/>
    <n v="100"/>
    <n v="39.878029999999995"/>
    <x v="9"/>
    <x v="3"/>
  </r>
  <r>
    <m/>
    <d v="2024-09-29T00:00:00"/>
    <m/>
    <s v="2019/RQLC/0450/0009/R4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09-30T00:00:00"/>
    <n v="100"/>
    <n v="39.878029999999995"/>
    <x v="9"/>
    <x v="3"/>
  </r>
  <r>
    <m/>
    <d v="2024-09-29T00:00:00"/>
    <m/>
    <s v="2019/RQLC/0450/0011/R4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09-30T00:00:00"/>
    <n v="100"/>
    <n v="39.878029999999995"/>
    <x v="9"/>
    <x v="3"/>
  </r>
  <r>
    <m/>
    <d v="2024-09-29T00:00:00"/>
    <m/>
    <s v="2019/RQLC/0450/0012/R4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09-30T00:00:00"/>
    <n v="100"/>
    <n v="39.878029999999995"/>
    <x v="9"/>
    <x v="3"/>
  </r>
  <r>
    <m/>
    <d v="2024-09-29T00:00:00"/>
    <m/>
    <s v="2019/RQLC/0450/0014/R4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09-30T00:00:00"/>
    <n v="100"/>
    <n v="39.878029999999995"/>
    <x v="9"/>
    <x v="3"/>
  </r>
  <r>
    <m/>
    <d v="2024-09-29T00:00:00"/>
    <m/>
    <s v="2019/RQLC/0450/0015/R4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09-30T00:00:00"/>
    <n v="100"/>
    <n v="39.878029999999995"/>
    <x v="9"/>
    <x v="3"/>
  </r>
  <r>
    <m/>
    <d v="2024-10-02T00:00:00"/>
    <m/>
    <s v="2020/RQLC/0613/0004/R4"/>
    <s v="ESPACIOS INTEGRALES EUROVIP, S.L.-B87737573"/>
    <s v="VIAFINA"/>
    <s v="Accredited Insurance (Europe) Limited"/>
    <n v="173.91"/>
    <n v="0"/>
    <n v="0"/>
    <n v="53.672973749999997"/>
    <n v="26.09"/>
    <x v="1"/>
    <s v="Performance"/>
    <s v="Cartera"/>
    <d v="2024-10-31T00:00:00"/>
    <n v="200"/>
    <n v="79.76297375"/>
    <x v="3"/>
    <x v="3"/>
  </r>
  <r>
    <m/>
    <d v="2024-10-07T00:00:00"/>
    <m/>
    <s v="2019/RQLC/0450/0016/R4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10-31T00:00:00"/>
    <n v="100"/>
    <n v="39.878029999999995"/>
    <x v="3"/>
    <x v="3"/>
  </r>
  <r>
    <m/>
    <d v="2024-10-07T00:00:00"/>
    <m/>
    <s v="2019/RQLC/0450/0017/R4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10-31T00:00:00"/>
    <n v="100"/>
    <n v="39.878029999999995"/>
    <x v="3"/>
    <x v="3"/>
  </r>
  <r>
    <m/>
    <d v="2024-10-08T00:00:00"/>
    <m/>
    <s v="2018/RQLC/0048/0025/R5"/>
    <s v="INGEMONT TECNOLOGIAS SA. (EN LIQUIDACION)-A91614263"/>
    <s v="ORES"/>
    <s v="Accredited Insurance (Europe) Limited"/>
    <n v="86.96"/>
    <n v="0.17499999999999999"/>
    <n v="17.5"/>
    <n v="9.3380299999999963"/>
    <n v="13.04"/>
    <x v="1"/>
    <s v="Performance"/>
    <s v="Cartera"/>
    <d v="2024-10-31T00:00:00"/>
    <n v="100"/>
    <n v="39.878029999999995"/>
    <x v="3"/>
    <x v="3"/>
  </r>
  <r>
    <m/>
    <d v="2024-09-09T00:00:00"/>
    <m/>
    <s v="2019/RQLC/0283/0012/R5"/>
    <s v="DIAZ CUBERO SA-A41658022"/>
    <s v="ORES"/>
    <s v="Accredited Insurance (Europe) Limited"/>
    <n v="86.96"/>
    <n v="0.17499999999999999"/>
    <n v="17.5"/>
    <n v="9.3380299999999963"/>
    <n v="13.04"/>
    <x v="1"/>
    <s v="Performance"/>
    <s v="Cartera"/>
    <d v="2024-09-30T00:00:00"/>
    <n v="100"/>
    <n v="39.878029999999995"/>
    <x v="9"/>
    <x v="3"/>
  </r>
  <r>
    <m/>
    <d v="2024-10-23T00:00:00"/>
    <m/>
    <s v="2019/RQLC/0450/0018/R4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10-31T00:00:00"/>
    <n v="100"/>
    <n v="39.878029999999995"/>
    <x v="3"/>
    <x v="3"/>
  </r>
  <r>
    <m/>
    <d v="2024-10-23T00:00:00"/>
    <m/>
    <s v="2019/RQLC/0450/0019/R4"/>
    <s v="OTERO BUILDERS SL.-B93539310"/>
    <s v="ORES"/>
    <s v="Accredited Insurance (Europe) Limited"/>
    <n v="86.96"/>
    <n v="0.17499999999999999"/>
    <n v="17.5"/>
    <n v="9.3380299999999963"/>
    <n v="13.04"/>
    <x v="1"/>
    <s v="Performance"/>
    <s v="Cartera"/>
    <d v="2024-10-31T00:00:00"/>
    <n v="100"/>
    <n v="39.878029999999995"/>
    <x v="3"/>
    <x v="3"/>
  </r>
  <r>
    <m/>
    <d v="2024-09-25T00:00:00"/>
    <m/>
    <s v="2019/RQLC/0339/0001/R5"/>
    <s v="TRAFALGAR OILS SL.-B72293012"/>
    <s v="ORES"/>
    <s v="Accredited Insurance (Europe) Limited"/>
    <n v="352.17"/>
    <n v="0.17499999999999999"/>
    <n v="70.875"/>
    <n v="37.813466250000005"/>
    <n v="52.83"/>
    <x v="1"/>
    <s v="Performance"/>
    <s v="Cartera"/>
    <d v="2024-09-30T00:00:00"/>
    <n v="405"/>
    <n v="161.51846625000002"/>
    <x v="9"/>
    <x v="3"/>
  </r>
  <r>
    <m/>
    <d v="2024-09-28T00:00:00"/>
    <m/>
    <s v="2020/RQLC/0678/0001/R4"/>
    <s v="THE ONE COLLECTION 2018 SL-B93641439"/>
    <s v="ORES"/>
    <s v="Accredited Insurance (Europe) Limited"/>
    <n v="10099.9"/>
    <n v="0.17499999999999999"/>
    <n v="2032.6057499999997"/>
    <n v="1084.4758874999998"/>
    <n v="1514.99"/>
    <x v="1"/>
    <s v="Performance"/>
    <s v="Cartera"/>
    <d v="2024-09-30T00:00:00"/>
    <n v="11614.89"/>
    <n v="4632.0716374999993"/>
    <x v="9"/>
    <x v="3"/>
  </r>
  <r>
    <m/>
    <d v="2024-10-24T00:00:00"/>
    <m/>
    <s v="2023/RQLC/1110/0001/R1"/>
    <s v="GRAND INVESTMENT 2022 SL.-B16994964"/>
    <s v="ORES"/>
    <s v="Accredited Insurance (Europe) Limited"/>
    <n v="204.87"/>
    <n v="0.17499999999999999"/>
    <n v="41.23"/>
    <n v="21.998003750000002"/>
    <n v="30.73"/>
    <x v="1"/>
    <s v="Performance"/>
    <s v="Cartera"/>
    <d v="2024-10-31T00:00:00"/>
    <n v="235.6"/>
    <n v="93.958003750000003"/>
    <x v="3"/>
    <x v="3"/>
  </r>
  <r>
    <m/>
    <d v="2024-10-24T00:00:00"/>
    <m/>
    <s v="2023/RQLC/1110/0002/R1"/>
    <s v="GRAND INVESTMENT 2022 SL.-B16994964"/>
    <s v="ORES"/>
    <s v="Accredited Insurance (Europe) Limited"/>
    <n v="514.09"/>
    <n v="0.17499999999999999"/>
    <n v="103.46000000000001"/>
    <n v="55.201026249999984"/>
    <n v="77.11"/>
    <x v="1"/>
    <s v="Performance"/>
    <s v="Cartera"/>
    <d v="2024-10-31T00:00:00"/>
    <n v="591.20000000000005"/>
    <n v="235.77102624999998"/>
    <x v="3"/>
    <x v="3"/>
  </r>
  <r>
    <m/>
    <d v="2024-10-24T00:00:00"/>
    <m/>
    <s v="2023/RQLC/1110/0003/R1"/>
    <s v="GRAND INVESTMENT 2022 SL.-B16994964"/>
    <s v="ORES"/>
    <s v="Accredited Insurance (Europe) Limited"/>
    <n v="234.89"/>
    <n v="0.17499999999999999"/>
    <n v="47.271000000000001"/>
    <n v="25.221926249999996"/>
    <n v="35.229999999999997"/>
    <x v="1"/>
    <s v="Performance"/>
    <s v="Cartera"/>
    <d v="2024-10-31T00:00:00"/>
    <n v="270.12"/>
    <n v="107.72292625"/>
    <x v="3"/>
    <x v="3"/>
  </r>
  <r>
    <m/>
    <d v="2024-09-30T00:00:00"/>
    <m/>
    <s v="2021/RQLC/0768/0001/R3"/>
    <s v="CONSTRUCCIONES GOVASUR INGENIEROS ASOCIADOS SL-B93384626"/>
    <s v="ORES"/>
    <s v="Accredited Insurance (Europe) Limited"/>
    <n v="160.97"/>
    <n v="0.17499999999999999"/>
    <n v="32.396000000000001"/>
    <n v="17.283366249999993"/>
    <n v="24.15"/>
    <x v="1"/>
    <s v="Performance"/>
    <s v="Cartera"/>
    <d v="2024-09-30T00:00:00"/>
    <n v="185.12"/>
    <n v="73.829366249999993"/>
    <x v="9"/>
    <x v="3"/>
  </r>
  <r>
    <m/>
    <d v="2025-02-13T00:00:00"/>
    <m/>
    <s v="2018/RQLC/0051/0003/R6"/>
    <s v="MERSANT VIGILANCIA SOCIEDAD LIMITADA.-B90229790"/>
    <s v="ORES"/>
    <s v="Accredited Insurance (Europe) Limited"/>
    <n v="86.96"/>
    <n v="0.17499999999999999"/>
    <n v="17.5"/>
    <n v="9.4771659999999969"/>
    <n v="13.04"/>
    <x v="1"/>
    <s v="Performance"/>
    <s v="Cartera"/>
    <d v="2025-02-28T00:00:00"/>
    <n v="100"/>
    <n v="40.017165999999996"/>
    <x v="7"/>
    <x v="0"/>
  </r>
  <r>
    <m/>
    <d v="2025-02-03T00:00:00"/>
    <m/>
    <s v="2023/RQLC/1024/0002/R2"/>
    <s v="FORJADOS Y ESTRUCTURAS DE HORMIGON ONE S.L.-B67481721"/>
    <s v="ORES"/>
    <s v="Accredited Insurance (Europe) Limited"/>
    <n v="330.03"/>
    <n v="0.17499999999999999"/>
    <n v="66.417749999999998"/>
    <n v="35.965806749999985"/>
    <n v="49.5"/>
    <x v="1"/>
    <s v="Performance"/>
    <s v="Cartera"/>
    <d v="2025-02-28T00:00:00"/>
    <n v="379.53"/>
    <n v="151.88355674999997"/>
    <x v="7"/>
    <x v="0"/>
  </r>
  <r>
    <m/>
    <d v="2025-03-14T00:00:00"/>
    <m/>
    <s v="2019/RQLC/0200/0002/R6"/>
    <s v="REALAN SERVICES .L.-B76121078"/>
    <s v="BRUZON"/>
    <s v="Accredited Insurance (Europe) Limited"/>
    <n v="173.91"/>
    <n v="0.16"/>
    <n v="32"/>
    <n v="21.951229749999996"/>
    <n v="26.09"/>
    <x v="1"/>
    <s v="Performance"/>
    <s v="Cartera"/>
    <d v="2025-03-31T00:00:00"/>
    <n v="200"/>
    <n v="80.041229749999999"/>
    <x v="6"/>
    <x v="0"/>
  </r>
  <r>
    <m/>
    <d v="2025-02-13T00:00:00"/>
    <m/>
    <s v="2018/RQLC/0051/0004/R6"/>
    <s v="MERSANT VIGILANCIA SOCIEDAD LIMITADA.-B90229790"/>
    <s v="ORES"/>
    <s v="Accredited Insurance (Europe) Limited"/>
    <n v="86.96"/>
    <n v="0.17499999999999999"/>
    <n v="17.5"/>
    <n v="9.4771659999999969"/>
    <n v="13.04"/>
    <x v="1"/>
    <s v="Performance"/>
    <s v="Cartera"/>
    <d v="2025-02-28T00:00:00"/>
    <n v="100"/>
    <n v="40.017165999999996"/>
    <x v="7"/>
    <x v="0"/>
  </r>
  <r>
    <m/>
    <d v="2025-03-12T00:00:00"/>
    <m/>
    <s v="2018/RQLC/0048/0019/R6"/>
    <s v="PROYECTOS Y MONTAJES INGEMONT SA-A91614263"/>
    <s v="ORES"/>
    <s v="Accredited Insurance (Europe) Limited"/>
    <n v="172.78"/>
    <n v="0.17499999999999999"/>
    <n v="34.772499999999994"/>
    <n v="18.8281755"/>
    <n v="25.92"/>
    <x v="1"/>
    <s v="Performance"/>
    <s v="Cartera"/>
    <d v="2025-03-31T00:00:00"/>
    <n v="198.7"/>
    <n v="79.520675499999996"/>
    <x v="6"/>
    <x v="0"/>
  </r>
  <r>
    <m/>
    <d v="2025-01-01T00:00:00"/>
    <m/>
    <s v="2021/RQLC/0891/0006/R3"/>
    <s v="LA RASA ENERGY SLU-B74451436"/>
    <s v="RASHER"/>
    <s v="Accredited Insurance (Europe) Limited"/>
    <n v="26086.959999999999"/>
    <n v="0.14000000000000001"/>
    <n v="4200"/>
    <n v="3892.8271659999991"/>
    <n v="3913.04"/>
    <x v="1"/>
    <s v="Performance"/>
    <s v="Cartera"/>
    <d v="2025-01-31T00:00:00"/>
    <n v="30000"/>
    <n v="12005.867166"/>
    <x v="1"/>
    <x v="0"/>
  </r>
  <r>
    <m/>
    <d v="2025-02-13T00:00:00"/>
    <m/>
    <s v="2019/RQLC/0496/0001/R5"/>
    <s v="GESTION Y DESARROLLO DE SERVICIOS URBANOS INTEGRADOS SL-B91694588"/>
    <s v="ORES"/>
    <s v="Accredited Insurance (Europe) Limited"/>
    <n v="86.96"/>
    <n v="0.17499999999999999"/>
    <n v="17.5"/>
    <n v="9.4771659999999969"/>
    <n v="13.04"/>
    <x v="1"/>
    <s v="Performance"/>
    <s v="Cartera"/>
    <d v="2025-02-28T00:00:00"/>
    <n v="100"/>
    <n v="40.017165999999996"/>
    <x v="7"/>
    <x v="0"/>
  </r>
  <r>
    <m/>
    <d v="2025-03-08T00:00:00"/>
    <m/>
    <s v="2018/RQLC/0048/0018/R6"/>
    <s v="PROYECTOS Y MONTAJES INGEMONT SA-A91614263"/>
    <s v="ORES"/>
    <s v="Accredited Insurance (Europe) Limited"/>
    <n v="86.96"/>
    <n v="0.17499999999999999"/>
    <n v="17.5"/>
    <n v="9.4771659999999969"/>
    <n v="13.04"/>
    <x v="1"/>
    <s v="Performance"/>
    <s v="Cartera"/>
    <d v="2025-03-31T00:00:00"/>
    <n v="100"/>
    <n v="40.017165999999996"/>
    <x v="6"/>
    <x v="0"/>
  </r>
  <r>
    <m/>
    <d v="2025-01-01T00:00:00"/>
    <m/>
    <s v="2021/RQLC/0891/0005/R3"/>
    <s v="LA RASA ENERGY SLU-B74451436"/>
    <s v="RASHER"/>
    <s v="Accredited Insurance (Europe) Limited"/>
    <n v="15652.17"/>
    <n v="0.14000000000000001"/>
    <n v="2520.0000000000005"/>
    <n v="2335.6944382499992"/>
    <n v="2347.83"/>
    <x v="1"/>
    <s v="Performance"/>
    <s v="Cartera"/>
    <d v="2025-01-31T00:00:00"/>
    <n v="18000"/>
    <n v="7203.5244382499995"/>
    <x v="1"/>
    <x v="0"/>
  </r>
  <r>
    <m/>
    <d v="2025-02-01T00:00:00"/>
    <m/>
    <s v="2018/RQLC/0048/0017/R6"/>
    <s v="PROYECTOS Y MONTAJES INGEMONT SA-A91614263"/>
    <s v="ORES"/>
    <s v="Accredited Insurance (Europe) Limited"/>
    <n v="86.96"/>
    <n v="0.17499999999999999"/>
    <n v="17.5"/>
    <n v="9.4771659999999969"/>
    <n v="13.04"/>
    <x v="1"/>
    <s v="Performance"/>
    <s v="Cartera"/>
    <d v="2025-02-28T00:00:00"/>
    <n v="100"/>
    <n v="40.017165999999996"/>
    <x v="7"/>
    <x v="0"/>
  </r>
  <r>
    <m/>
    <d v="2025-01-01T00:00:00"/>
    <m/>
    <s v="2021/RQLC/0898/0003/R3"/>
    <s v="CASSIOPEA LANTUENO-B88645056"/>
    <s v="RASHER"/>
    <s v="Accredited Insurance (Europe) Limited"/>
    <n v="23478.26"/>
    <n v="0.14000000000000001"/>
    <n v="3780.0000000000005"/>
    <n v="3503.5432084999989"/>
    <n v="3521.74"/>
    <x v="1"/>
    <s v="Performance"/>
    <s v="Cartera"/>
    <d v="2025-01-31T00:00:00"/>
    <n v="27000"/>
    <n v="10805.283208499999"/>
    <x v="1"/>
    <x v="0"/>
  </r>
  <r>
    <m/>
    <d v="2025-01-01T00:00:00"/>
    <m/>
    <s v="2021/RQLC/0898/0002/R3"/>
    <s v="CASSIOPEA LANTUENO-B88645056"/>
    <s v="RASHER"/>
    <s v="Accredited Insurance (Europe) Limited"/>
    <n v="14086.96"/>
    <n v="0.14000000000000001"/>
    <n v="2268"/>
    <n v="2102.1271659999993"/>
    <n v="2113.04"/>
    <x v="1"/>
    <s v="Performance"/>
    <s v="Cartera"/>
    <d v="2025-01-31T00:00:00"/>
    <n v="16200"/>
    <n v="6483.1671659999993"/>
    <x v="1"/>
    <x v="0"/>
  </r>
  <r>
    <m/>
    <d v="2025-01-01T00:00:00"/>
    <m/>
    <s v="2021/RQLC/0897/0003/R3"/>
    <s v="BRAÑADESELLA PRADERAS ALTAS-B88632302"/>
    <s v="RASHER"/>
    <s v="Accredited Insurance (Europe) Limited"/>
    <n v="23478.26"/>
    <n v="0.14000000000000001"/>
    <n v="3780.0000000000005"/>
    <n v="3503.5432084999989"/>
    <n v="3521.74"/>
    <x v="1"/>
    <s v="Performance"/>
    <s v="Cartera"/>
    <d v="2025-01-31T00:00:00"/>
    <n v="27000"/>
    <n v="10805.283208499999"/>
    <x v="1"/>
    <x v="0"/>
  </r>
  <r>
    <m/>
    <d v="2025-01-01T00:00:00"/>
    <m/>
    <s v="2021/RQLC/0895/0003/R3"/>
    <s v="LA HERRADA MAREAS II-B88624754"/>
    <s v="RASHER"/>
    <s v="Accredited Insurance (Europe) Limited"/>
    <n v="23478.26"/>
    <n v="0.14000000000000001"/>
    <n v="3780.0000000000005"/>
    <n v="3503.5432084999989"/>
    <n v="3521.74"/>
    <x v="1"/>
    <s v="Performance"/>
    <s v="Cartera"/>
    <d v="2025-01-31T00:00:00"/>
    <n v="27000"/>
    <n v="10805.283208499999"/>
    <x v="1"/>
    <x v="0"/>
  </r>
  <r>
    <m/>
    <d v="2025-01-01T00:00:00"/>
    <m/>
    <s v="2021/RQLC/0897/0002/R3"/>
    <s v="BRAÑADESELLA PRADERAS ALTAS-B88632302"/>
    <s v="RASHER"/>
    <s v="Accredited Insurance (Europe) Limited"/>
    <n v="14086.96"/>
    <n v="0.14000000000000001"/>
    <n v="2268"/>
    <n v="2102.1271659999993"/>
    <n v="2113.04"/>
    <x v="1"/>
    <s v="Performance"/>
    <s v="Cartera"/>
    <d v="2025-01-31T00:00:00"/>
    <n v="16200"/>
    <n v="6483.1671659999993"/>
    <x v="1"/>
    <x v="0"/>
  </r>
  <r>
    <m/>
    <d v="2025-01-01T00:00:00"/>
    <m/>
    <s v="2021/RQLC/0896/0002/R3"/>
    <s v="PINAREJO I SAN CRISTÓBAL-B88627658"/>
    <s v="RASHER"/>
    <s v="Accredited Insurance (Europe) Limited"/>
    <n v="14086.96"/>
    <n v="0.14000000000000001"/>
    <n v="2268"/>
    <n v="2102.1271659999993"/>
    <n v="2113.04"/>
    <x v="1"/>
    <s v="Performance"/>
    <s v="Cartera"/>
    <d v="2025-01-31T00:00:00"/>
    <n v="16200"/>
    <n v="6483.1671659999993"/>
    <x v="1"/>
    <x v="0"/>
  </r>
  <r>
    <m/>
    <d v="2025-01-01T00:00:00"/>
    <m/>
    <s v="2021/RQLC/0895/0002/R3"/>
    <s v="LA HERRADA MAREAS II-B88624754"/>
    <s v="RASHER"/>
    <s v="Accredited Insurance (Europe) Limited"/>
    <n v="14086.96"/>
    <n v="0.14000000000000001"/>
    <n v="2268"/>
    <n v="2102.1271659999993"/>
    <n v="2113.04"/>
    <x v="1"/>
    <s v="Performance"/>
    <s v="Cartera"/>
    <d v="2025-01-31T00:00:00"/>
    <n v="16200"/>
    <n v="6483.1671659999993"/>
    <x v="1"/>
    <x v="0"/>
  </r>
  <r>
    <m/>
    <d v="2024-12-05T00:00:00"/>
    <m/>
    <s v="2018/RQLC/0051/0001/R6"/>
    <s v="MERSANT VIGILANCIA SOCIEDAD LIMITADA.-B90229790"/>
    <s v="ORES"/>
    <s v="Accredited Insurance (Europe) Limited"/>
    <n v="187.51"/>
    <n v="0.17499999999999999"/>
    <n v="37.736999999999995"/>
    <n v="20.133273750000001"/>
    <n v="28.13"/>
    <x v="1"/>
    <s v="Performance"/>
    <s v="Cartera"/>
    <d v="2024-12-31T00:00:00"/>
    <n v="215.64"/>
    <n v="86.000273749999991"/>
    <x v="0"/>
    <x v="3"/>
  </r>
  <r>
    <m/>
    <d v="2024-11-24T00:00:00"/>
    <m/>
    <s v="2021/RQLC/0889/0001/R3"/>
    <s v="INSTALACION CONTROL Y PROTECCION DE SEGURIDAD SOCIEDAD-B98920838"/>
    <s v="ORES"/>
    <s v="Accredited Insurance (Europe) Limited"/>
    <n v="1525.65"/>
    <n v="0.17499999999999999"/>
    <n v="307.03749999999997"/>
    <n v="163.81623125000004"/>
    <n v="228.85"/>
    <x v="1"/>
    <s v="Performance"/>
    <s v="Cartera"/>
    <d v="2024-11-30T00:00:00"/>
    <n v="1754.5"/>
    <n v="699.70373125000003"/>
    <x v="4"/>
    <x v="3"/>
  </r>
  <r>
    <m/>
    <d v="2025-01-01T00:00:00"/>
    <m/>
    <s v="2021/RQLC/0896/0003/R3"/>
    <s v="PINAREJO I SAN CRISTÓBAL-B88627658"/>
    <s v="RASHER"/>
    <s v="Accredited Insurance (Europe) Limited"/>
    <n v="23478.26"/>
    <n v="0.14000000000000001"/>
    <n v="3780.0000000000005"/>
    <n v="3503.5432084999989"/>
    <n v="3521.74"/>
    <x v="1"/>
    <s v="Performance"/>
    <s v="Cartera"/>
    <d v="2025-01-31T00:00:00"/>
    <n v="27000"/>
    <n v="10805.283208499999"/>
    <x v="1"/>
    <x v="0"/>
  </r>
  <r>
    <m/>
    <d v="2025-01-15T00:00:00"/>
    <m/>
    <s v="2018/RQLC/0146/0001/R6"/>
    <s v="FEDERMAN GLOBAL WORK ETT-A64778061"/>
    <s v="ORES"/>
    <s v="Accredited Insurance (Europe) Limited"/>
    <n v="1490.87"/>
    <n v="0.17499999999999999"/>
    <n v="300.03749999999997"/>
    <n v="162.46764574999997"/>
    <n v="223.63"/>
    <x v="1"/>
    <s v="Performance"/>
    <s v="Cartera"/>
    <d v="2025-01-31T00:00:00"/>
    <n v="1714.5"/>
    <n v="686.13514574999999"/>
    <x v="1"/>
    <x v="0"/>
  </r>
  <r>
    <m/>
    <d v="2024-12-16T00:00:00"/>
    <m/>
    <s v="2021/RQLC/0911/0002/R3"/>
    <s v="OPROYECTS IBERICA SL.-B98699507"/>
    <s v="BONDINGBROKERS"/>
    <s v="Accredited Insurance (Europe) Limited"/>
    <n v="300.89999999999998"/>
    <n v="0.13500000000000001"/>
    <n v="46.71405"/>
    <n v="46.151212499999986"/>
    <n v="45.13"/>
    <x v="1"/>
    <s v="Performance"/>
    <s v="Cartera"/>
    <d v="2024-12-31T00:00:00"/>
    <n v="346.03"/>
    <n v="137.9952625"/>
    <x v="0"/>
    <x v="3"/>
  </r>
  <r>
    <m/>
    <d v="2024-12-16T00:00:00"/>
    <m/>
    <s v="2021/RQLC/0911/0001/R3"/>
    <s v="OPROYECTS IBERICA SL.-B98699507"/>
    <s v="BONDINGBROKERS"/>
    <s v="Accredited Insurance (Europe) Limited"/>
    <n v="268.48"/>
    <n v="0.13500000000000001"/>
    <n v="41.681250000000006"/>
    <n v="41.178389999999993"/>
    <n v="40.270000000000003"/>
    <x v="1"/>
    <s v="Performance"/>
    <s v="Cartera"/>
    <d v="2024-12-31T00:00:00"/>
    <n v="308.75"/>
    <n v="123.12963999999999"/>
    <x v="0"/>
    <x v="3"/>
  </r>
  <r>
    <m/>
    <d v="2024-12-30T00:00:00"/>
    <m/>
    <s v="2021/RQLC/0878/0004/R3"/>
    <s v="HERCULES SERVICIOS GENERALES DE INTEGRACION SL-B51025591"/>
    <s v="ORES"/>
    <s v="Accredited Insurance (Europe) Limited"/>
    <n v="208.96"/>
    <n v="0.17499999999999999"/>
    <n v="42.052500000000002"/>
    <n v="22.437779999999997"/>
    <n v="31.34"/>
    <x v="1"/>
    <s v="Performance"/>
    <s v="Cartera"/>
    <d v="2024-12-31T00:00:00"/>
    <n v="240.3"/>
    <n v="95.830280000000002"/>
    <x v="0"/>
    <x v="3"/>
  </r>
  <r>
    <m/>
    <d v="2025-01-21T00:00:00"/>
    <m/>
    <s v="2018/RQLC/0048/0016/R6"/>
    <s v="PROYECTOS Y MONTAJES INGEMONT SA-A91614263"/>
    <s v="ORES"/>
    <s v="Accredited Insurance (Europe) Limited"/>
    <n v="86.96"/>
    <n v="0.17499999999999999"/>
    <n v="17.5"/>
    <n v="9.4771659999999969"/>
    <n v="13.04"/>
    <x v="1"/>
    <s v="Performance"/>
    <s v="Cartera"/>
    <d v="2025-01-31T00:00:00"/>
    <n v="100"/>
    <n v="40.017165999999996"/>
    <x v="1"/>
    <x v="0"/>
  </r>
  <r>
    <m/>
    <d v="2025-01-01T00:00:00"/>
    <m/>
    <s v="2021/RQLC/0900/0003/R3"/>
    <s v="LEO PEREGILES-B01623198"/>
    <s v="RASHER"/>
    <s v="Accredited Insurance (Europe) Limited"/>
    <n v="23478.26"/>
    <n v="0.14000000000000001"/>
    <n v="3780.0000000000005"/>
    <n v="3503.5432084999989"/>
    <n v="3521.74"/>
    <x v="1"/>
    <s v="Performance"/>
    <s v="Cartera"/>
    <d v="2025-01-31T00:00:00"/>
    <n v="27000"/>
    <n v="10805.283208499999"/>
    <x v="1"/>
    <x v="0"/>
  </r>
  <r>
    <m/>
    <d v="2024-12-27T00:00:00"/>
    <m/>
    <s v="2021/RQLC/0878/0003/R3"/>
    <s v="HERCULES SERVICIOS GENERALES DE INTEGRACION SL-B51025591"/>
    <s v="ORES"/>
    <s v="Accredited Insurance (Europe) Limited"/>
    <n v="152.61000000000001"/>
    <n v="0.17499999999999999"/>
    <n v="30.712499999999999"/>
    <n v="16.386761250000006"/>
    <n v="22.89"/>
    <x v="1"/>
    <s v="Performance"/>
    <s v="Cartera"/>
    <d v="2024-12-31T00:00:00"/>
    <n v="175.5"/>
    <n v="69.989261249999998"/>
    <x v="0"/>
    <x v="3"/>
  </r>
  <r>
    <m/>
    <d v="2024-12-02T00:00:00"/>
    <m/>
    <s v="2021/RQLC/0768/0002/R3"/>
    <s v="CONSTRUCCIONES GOVASUR INGENIEROS ASOCIADOS SL.-B93384626"/>
    <s v="ORES"/>
    <s v="Accredited Insurance (Europe) Limited"/>
    <n v="212.81"/>
    <n v="0.17499999999999999"/>
    <n v="42.827750000000002"/>
    <n v="22.85073624999999"/>
    <n v="31.92"/>
    <x v="1"/>
    <s v="Performance"/>
    <s v="Cartera"/>
    <d v="2024-12-31T00:00:00"/>
    <n v="244.73000000000002"/>
    <n v="97.598486249999993"/>
    <x v="0"/>
    <x v="3"/>
  </r>
  <r>
    <m/>
    <d v="2025-01-21T00:00:00"/>
    <m/>
    <s v="2018/RQLC/0048/0015/R6"/>
    <s v="PROYECTOS Y MONTAJES INGEMONT SA-A91614263"/>
    <s v="ORES"/>
    <s v="Accredited Insurance (Europe) Limited"/>
    <n v="86.96"/>
    <n v="0.17499999999999999"/>
    <n v="17.5"/>
    <n v="9.4771659999999969"/>
    <n v="13.04"/>
    <x v="1"/>
    <s v="Performance"/>
    <s v="Cartera"/>
    <d v="2025-01-31T00:00:00"/>
    <n v="100"/>
    <n v="40.017165999999996"/>
    <x v="1"/>
    <x v="0"/>
  </r>
  <r>
    <m/>
    <d v="2025-01-01T00:00:00"/>
    <m/>
    <s v="2021/RQLC/0900/0002/R3"/>
    <s v="LEO PEREGILES-B01623198"/>
    <s v="RASHER"/>
    <s v="Accredited Insurance (Europe) Limited"/>
    <n v="14086.96"/>
    <n v="0.14000000000000001"/>
    <n v="2268"/>
    <n v="2102.1271659999993"/>
    <n v="2113.04"/>
    <x v="1"/>
    <s v="Performance"/>
    <s v="Cartera"/>
    <d v="2025-01-31T00:00:00"/>
    <n v="16200"/>
    <n v="6483.1671659999993"/>
    <x v="1"/>
    <x v="0"/>
  </r>
  <r>
    <m/>
    <d v="2025-01-29T00:00:00"/>
    <m/>
    <s v="2018/RQLC/0051/0002/R6"/>
    <s v="MERSANT VIGILANCIA SOCIEDAD LIMITADA.-B90229790"/>
    <s v="ORES"/>
    <s v="Accredited Insurance (Europe) Limited"/>
    <n v="419.95"/>
    <n v="0.17499999999999999"/>
    <n v="84.514499999999998"/>
    <n v="45.764488749999998"/>
    <n v="62.99"/>
    <x v="1"/>
    <s v="Performance"/>
    <s v="Cartera"/>
    <d v="2025-01-31T00:00:00"/>
    <n v="482.94"/>
    <n v="193.26898875000001"/>
    <x v="1"/>
    <x v="0"/>
  </r>
  <r>
    <m/>
    <d v="2025-01-01T00:00:00"/>
    <m/>
    <s v="2021/RQLC/0899/0004/R3"/>
    <s v="PICO LIEBRES CABEZUELAS-B01623206"/>
    <s v="RASHER"/>
    <s v="Accredited Insurance (Europe) Limited"/>
    <n v="4173.91"/>
    <n v="0.14000000000000001"/>
    <n v="672.00000000000011"/>
    <n v="622.85122974999979"/>
    <n v="626.09"/>
    <x v="1"/>
    <s v="Performance"/>
    <s v="Cartera"/>
    <d v="2025-01-31T00:00:00"/>
    <n v="4800"/>
    <n v="1920.9412297499998"/>
    <x v="1"/>
    <x v="0"/>
  </r>
  <r>
    <m/>
    <d v="2025-01-20T00:00:00"/>
    <m/>
    <s v="2019/RQLC/0280/0006/R5"/>
    <s v="GCL CASTILLA FOTOVOLTAICA ENERGÍA SL-B88288170"/>
    <s v="ORES"/>
    <s v="Accredited Insurance (Europe) Limited"/>
    <n v="40000"/>
    <n v="0.17499999999999999"/>
    <n v="8049.9999999999991"/>
    <n v="4358.9999999999991"/>
    <n v="6000"/>
    <x v="1"/>
    <s v="Performance"/>
    <s v="Cartera"/>
    <d v="2025-01-31T00:00:00"/>
    <n v="46000"/>
    <n v="18409"/>
    <x v="1"/>
    <x v="0"/>
  </r>
  <r>
    <m/>
    <d v="2025-01-07T00:00:00"/>
    <m/>
    <s v="2020/RQLC/0514/0001/R5"/>
    <s v="ACCEDA SERVICIOS Y SOLUCIONES INTEGRALES SL.-B90226671"/>
    <s v="ii-BROKER"/>
    <s v="Accredited Insurance (Europe) Limited"/>
    <n v="173.91"/>
    <n v="0.15"/>
    <n v="30"/>
    <n v="23.951229749999996"/>
    <n v="26.09"/>
    <x v="1"/>
    <s v="Performance"/>
    <s v="Cartera"/>
    <d v="2025-01-31T00:00:00"/>
    <n v="200"/>
    <n v="80.041229749999999"/>
    <x v="1"/>
    <x v="0"/>
  </r>
  <r>
    <m/>
    <d v="2025-07-30T00:00:00"/>
    <m/>
    <s v="2018/RQLC/0048/0001/R7"/>
    <s v="PROYECTOS Y MONTAJES INGEMONT SA-A91614263"/>
    <s v="ORES"/>
    <s v="Accredited Insurance (Europe) Limited"/>
    <n v="151.47"/>
    <n v="0.17499999999999999"/>
    <n v="30.483249999999998"/>
    <n v="16.506530749999996"/>
    <n v="22.72"/>
    <x v="1"/>
    <s v="Performance"/>
    <s v="Cartera"/>
    <d v="2025-07-31T00:00:00"/>
    <n v="174.19"/>
    <n v="69.709780749999993"/>
    <x v="5"/>
    <x v="0"/>
  </r>
  <r>
    <m/>
    <d v="2025-03-27T00:00:00"/>
    <m/>
    <s v="2019/RQLC/0273/0001/R6"/>
    <s v="RURAL AGRICOLA NATASHA E.T.T. SOCIEDAD LIMITADA.-B02564722"/>
    <s v="ORES"/>
    <s v="Accredited Insurance (Europe) Limited"/>
    <n v="1025.07"/>
    <n v="0.17499999999999999"/>
    <n v="206.29524999999998"/>
    <n v="111.70709074999999"/>
    <n v="153.76"/>
    <x v="1"/>
    <s v="Performance"/>
    <s v="Cartera"/>
    <d v="2025-03-31T00:00:00"/>
    <n v="1178.83"/>
    <n v="471.76234074999996"/>
    <x v="6"/>
    <x v="0"/>
  </r>
  <r>
    <m/>
    <d v="2025-03-28T00:00:00"/>
    <m/>
    <s v="2019/RQLC/0282/0001/R6"/>
    <s v="SELYCO CONTRATACION ETT S.L.-B67157669"/>
    <s v="ORES"/>
    <s v="Accredited Insurance (Europe) Limited"/>
    <n v="791.3"/>
    <n v="0.17499999999999999"/>
    <n v="159.25"/>
    <n v="86.231042499999973"/>
    <n v="118.7"/>
    <x v="1"/>
    <s v="Performance"/>
    <s v="Cartera"/>
    <d v="2025-03-31T00:00:00"/>
    <n v="910"/>
    <n v="364.18104249999999"/>
    <x v="6"/>
    <x v="0"/>
  </r>
  <r>
    <m/>
    <d v="2025-03-28T00:00:00"/>
    <m/>
    <s v="2019/RQLC/0281/0001/R6"/>
    <s v="LABORUM TEMPORAL-EMPRESA DE TRABAJO TEMPORAL SL-B29851748"/>
    <s v="ORES"/>
    <s v="Accredited Insurance (Europe) Limited"/>
    <n v="649.27"/>
    <n v="0.17499999999999999"/>
    <n v="130.66549999999998"/>
    <n v="70.754285750000008"/>
    <n v="97.39"/>
    <x v="1"/>
    <s v="Performance"/>
    <s v="Cartera"/>
    <d v="2025-03-31T00:00:00"/>
    <n v="746.66"/>
    <n v="298.80978575"/>
    <x v="6"/>
    <x v="0"/>
  </r>
  <r>
    <m/>
    <d v="2025-03-30T00:00:00"/>
    <m/>
    <s v="2018/RQLC/0048/0020/R6"/>
    <s v="PROYECTOS Y MONTAJES INGEMONT SA-A91614263"/>
    <s v="ORES"/>
    <s v="Accredited Insurance (Europe) Limited"/>
    <n v="450.51"/>
    <n v="0.17499999999999999"/>
    <n v="90.665750000000003"/>
    <n v="49.093714749999975"/>
    <n v="67.58"/>
    <x v="1"/>
    <s v="Performance"/>
    <s v="Cartera"/>
    <d v="2025-03-31T00:00:00"/>
    <n v="518.09"/>
    <n v="207.33946474999999"/>
    <x v="6"/>
    <x v="0"/>
  </r>
  <r>
    <m/>
    <d v="2025-06-12T00:00:00"/>
    <m/>
    <s v="2019/RQLC/0364/0001/R6"/>
    <s v="EUROIL ENERGIA 2000 SL.-B12883666"/>
    <s v="ORES"/>
    <s v="Accredited Insurance (Europe) Limited"/>
    <n v="350.43"/>
    <n v="0.17499999999999999"/>
    <n v="70.524999999999991"/>
    <n v="38.187146749999997"/>
    <n v="52.57"/>
    <x v="1"/>
    <s v="Performance"/>
    <s v="Cartera"/>
    <d v="2025-06-30T00:00:00"/>
    <n v="403"/>
    <n v="161.28214674999998"/>
    <x v="2"/>
    <x v="0"/>
  </r>
  <r>
    <m/>
    <d v="2025-06-25T00:00:00"/>
    <m/>
    <s v="2019/RQLC/0283/0011/R6"/>
    <s v="DIAZ CUBERO SA-A41658022"/>
    <s v="ORES"/>
    <s v="Accredited Insurance (Europe) Limited"/>
    <n v="106.36"/>
    <n v="0.17499999999999999"/>
    <n v="21.404249999999998"/>
    <n v="11.591281000000002"/>
    <n v="15.95"/>
    <x v="1"/>
    <s v="Performance"/>
    <s v="Cartera"/>
    <d v="2025-06-30T00:00:00"/>
    <n v="122.31"/>
    <n v="48.945531000000003"/>
    <x v="2"/>
    <x v="0"/>
  </r>
  <r>
    <m/>
    <d v="2025-06-08T00:00:00"/>
    <m/>
    <s v="2018/RQLC/0048/0039/R5"/>
    <s v="PROYECTOS Y MONTAJES INGEMONT SA-A91614263"/>
    <s v="ORES"/>
    <s v="Accredited Insurance (Europe) Limited"/>
    <n v="86.96"/>
    <n v="0.17499999999999999"/>
    <n v="17.5"/>
    <n v="9.4771659999999969"/>
    <n v="13.04"/>
    <x v="1"/>
    <s v="Performance"/>
    <s v="Cartera"/>
    <d v="2025-06-30T00:00:00"/>
    <n v="100"/>
    <n v="40.017165999999996"/>
    <x v="2"/>
    <x v="0"/>
  </r>
  <r>
    <m/>
    <d v="2025-03-13T00:00:00"/>
    <m/>
    <s v="2019/RQLC/0496/0004/R5"/>
    <s v="GESTION Y DESARROLLO DE SERVICIOS URBANOS INTEGRADOS SL-B91694588"/>
    <s v="ORES"/>
    <s v="Accredited Insurance (Europe) Limited"/>
    <n v="86.96"/>
    <n v="0.17499999999999999"/>
    <n v="17.5"/>
    <n v="9.4771659999999969"/>
    <n v="13.04"/>
    <x v="1"/>
    <s v="Performance"/>
    <s v="Cartera"/>
    <d v="2025-03-31T00:00:00"/>
    <n v="100"/>
    <n v="40.017165999999996"/>
    <x v="6"/>
    <x v="0"/>
  </r>
  <r>
    <m/>
    <d v="2025-03-13T00:00:00"/>
    <m/>
    <s v="2019/RQLC/0496/0003/R5"/>
    <s v="GESTION Y DESARROLLO DE SERVICIOS URBANOS INTEGRADOS SL-B91694588"/>
    <s v="ORES"/>
    <s v="Accredited Insurance (Europe) Limited"/>
    <n v="152.01"/>
    <n v="0.17499999999999999"/>
    <n v="30.591749999999998"/>
    <n v="16.565552249999996"/>
    <n v="22.8"/>
    <x v="1"/>
    <s v="Performance"/>
    <s v="Cartera"/>
    <d v="2025-03-31T00:00:00"/>
    <n v="174.81"/>
    <n v="69.957302249999998"/>
    <x v="6"/>
    <x v="0"/>
  </r>
  <r>
    <m/>
    <d v="2025-03-04T00:00:00"/>
    <m/>
    <s v="2020/RQLC/0562/0001/R5"/>
    <s v="TRABEMOS E.T.T SOCIEDAD LIMITADA.-B02601144"/>
    <s v="ORES"/>
    <s v="Accredited Insurance (Europe) Limited"/>
    <n v="205.43"/>
    <n v="0.17499999999999999"/>
    <n v="41.34375"/>
    <n v="22.385771749999996"/>
    <n v="30.82"/>
    <x v="1"/>
    <s v="Performance"/>
    <s v="Cartera"/>
    <d v="2025-03-31T00:00:00"/>
    <n v="236.25"/>
    <n v="94.549521749999997"/>
    <x v="6"/>
    <x v="0"/>
  </r>
  <r>
    <m/>
    <d v="2025-03-25T00:00:00"/>
    <m/>
    <s v="2019/RQLC/0464/0001/R5"/>
    <s v="CONSPAI OBRAS Y SERVICIOS DEL VALLES SL.-B66888645"/>
    <s v="DIAGONAL"/>
    <s v="Accredited Insurance (Europe) Limited"/>
    <n v="173.91"/>
    <n v="0.13500000000000001"/>
    <n v="27"/>
    <n v="26.951229749999996"/>
    <n v="26.09"/>
    <x v="1"/>
    <s v="Performance"/>
    <s v="Cartera"/>
    <d v="2025-03-31T00:00:00"/>
    <n v="200"/>
    <n v="80.041229749999999"/>
    <x v="6"/>
    <x v="0"/>
  </r>
  <r>
    <m/>
    <d v="2025-03-23T00:00:00"/>
    <m/>
    <s v="2018/RQLC/0051/0005/R5"/>
    <s v="MERSANT VIGILANCIA SOCIEDAD LIMITADA.-B90229790"/>
    <s v="ORES"/>
    <s v="Accredited Insurance (Europe) Limited"/>
    <n v="86.96"/>
    <n v="0.17499999999999999"/>
    <n v="17.5"/>
    <n v="9.4771659999999969"/>
    <n v="13.04"/>
    <x v="1"/>
    <s v="Performance"/>
    <s v="Cartera"/>
    <d v="2025-03-31T00:00:00"/>
    <n v="100"/>
    <n v="40.017165999999996"/>
    <x v="6"/>
    <x v="0"/>
  </r>
  <r>
    <m/>
    <d v="2025-03-22T00:00:00"/>
    <m/>
    <s v="2021/RQLC/0722/0002/R4"/>
    <s v="CAPITAL ENERGY SLU-B83410183"/>
    <s v="RASHER"/>
    <s v="Accredited Insurance (Europe) Limited"/>
    <n v="13208.71"/>
    <n v="0.14000000000000001"/>
    <n v="2126.6000000000004"/>
    <n v="1971.0720597499994"/>
    <n v="1981.29"/>
    <x v="1"/>
    <s v="Performance"/>
    <s v="Cartera"/>
    <d v="2025-03-31T00:00:00"/>
    <n v="15190"/>
    <n v="6078.9620597499998"/>
    <x v="6"/>
    <x v="0"/>
  </r>
  <r>
    <m/>
    <d v="2025-03-22T00:00:00"/>
    <m/>
    <s v="2021/RQLC/0722/0001/R4"/>
    <s v="CAPITAL ENERGY SLU-B83410183"/>
    <s v="RASHER"/>
    <s v="Accredited Insurance (Europe) Limited"/>
    <n v="13208.71"/>
    <n v="0.14000000000000001"/>
    <n v="2126.6000000000004"/>
    <n v="1971.0720597499994"/>
    <n v="1981.29"/>
    <x v="1"/>
    <s v="Performance"/>
    <s v="Cartera"/>
    <d v="2025-03-31T00:00:00"/>
    <n v="15190"/>
    <n v="6078.9620597499998"/>
    <x v="6"/>
    <x v="0"/>
  </r>
  <r>
    <m/>
    <d v="2025-04-04T00:00:00"/>
    <m/>
    <s v="2018/RQLC/0048/0021/R6"/>
    <s v="PROYECTOS Y MONTAJES INGEMONT SA-A91614263"/>
    <s v="ORES"/>
    <s v="Accredited Insurance (Europe) Limited"/>
    <n v="450.51"/>
    <n v="0.17499999999999999"/>
    <n v="90.665750000000003"/>
    <n v="49.093714749999975"/>
    <n v="67.58"/>
    <x v="1"/>
    <s v="Performance"/>
    <s v="Cartera"/>
    <d v="2025-04-30T00:00:00"/>
    <n v="518.09"/>
    <n v="207.33946474999999"/>
    <x v="10"/>
    <x v="0"/>
  </r>
  <r>
    <m/>
    <d v="2025-04-11T00:00:00"/>
    <m/>
    <s v="2018/RQLC/0048/0023/R6"/>
    <s v="PROYECTOS Y MONTAJES INGEMONT SA-A91614263"/>
    <s v="ORES"/>
    <s v="Accredited Insurance (Europe) Limited"/>
    <n v="86.96"/>
    <n v="0.17499999999999999"/>
    <n v="17.5"/>
    <n v="9.4771659999999969"/>
    <n v="13.04"/>
    <x v="1"/>
    <s v="Performance"/>
    <s v="Cartera"/>
    <d v="2025-04-30T00:00:00"/>
    <n v="100"/>
    <n v="40.017165999999996"/>
    <x v="10"/>
    <x v="0"/>
  </r>
  <r>
    <m/>
    <d v="2025-05-06T00:00:00"/>
    <m/>
    <s v="2019/RQLC/0283/0004/R6"/>
    <s v="DIAZ CUBERO SA-A41658022"/>
    <s v="ORES"/>
    <s v="Accredited Insurance (Europe) Limited"/>
    <n v="197.65"/>
    <n v="0.17499999999999999"/>
    <n v="39.777499999999996"/>
    <n v="21.538471250000001"/>
    <n v="29.65"/>
    <x v="1"/>
    <s v="Performance"/>
    <s v="Cartera"/>
    <d v="2025-05-31T00:00:00"/>
    <n v="227.3"/>
    <n v="90.965971249999996"/>
    <x v="11"/>
    <x v="0"/>
  </r>
  <r>
    <m/>
    <d v="2025-05-14T00:00:00"/>
    <m/>
    <s v="2019/RQLC/0336/0001/R6"/>
    <s v="AVANZA SOLUTIONS &amp; PROJETS S.L.-B14200562"/>
    <s v="ORES"/>
    <s v="Accredited Insurance (Europe) Limited"/>
    <n v="86.96"/>
    <n v="0.17499999999999999"/>
    <n v="17.5"/>
    <n v="9.4771659999999969"/>
    <n v="13.04"/>
    <x v="1"/>
    <s v="Performance"/>
    <s v="Cartera"/>
    <d v="2025-05-31T00:00:00"/>
    <n v="100"/>
    <n v="40.017165999999996"/>
    <x v="11"/>
    <x v="0"/>
  </r>
  <r>
    <m/>
    <d v="2025-05-20T00:00:00"/>
    <m/>
    <s v="2019/RQLC/0283/0006/R6"/>
    <s v="DIAZ CUBERO SA-A41658022"/>
    <s v="ORES"/>
    <s v="Accredited Insurance (Europe) Limited"/>
    <n v="86.96"/>
    <n v="0.17499999999999999"/>
    <n v="17.5"/>
    <n v="9.4771659999999969"/>
    <n v="13.04"/>
    <x v="1"/>
    <s v="Performance"/>
    <s v="Cartera"/>
    <d v="2025-05-31T00:00:00"/>
    <n v="100"/>
    <n v="40.017165999999996"/>
    <x v="11"/>
    <x v="0"/>
  </r>
  <r>
    <m/>
    <d v="2025-06-30T00:00:00"/>
    <m/>
    <s v="2018/RQLC/0048/0041/R5"/>
    <s v="PROYECTOS Y MONTAJES INGEMONT SA-A91614263"/>
    <s v="ORES"/>
    <s v="Accredited Insurance (Europe) Limited"/>
    <n v="86.96"/>
    <n v="0.17499999999999999"/>
    <n v="17.5"/>
    <n v="9.4771659999999969"/>
    <n v="13.04"/>
    <x v="1"/>
    <s v="Performance"/>
    <s v="Cartera"/>
    <d v="2025-06-30T00:00:00"/>
    <n v="100"/>
    <n v="40.017165999999996"/>
    <x v="2"/>
    <x v="0"/>
  </r>
  <r>
    <m/>
    <d v="2025-06-22T00:00:00"/>
    <m/>
    <s v="2023/RQLC/1084/0001/R2"/>
    <s v="EUROIL ENERGIA 2000 SL.-B12883666"/>
    <s v="ORES"/>
    <s v="Accredited Insurance (Europe) Limited"/>
    <n v="339.13"/>
    <n v="0.17499999999999999"/>
    <n v="68.25"/>
    <n v="36.956604249999984"/>
    <n v="50.87"/>
    <x v="1"/>
    <s v="Performance"/>
    <s v="Cartera"/>
    <d v="2025-06-30T00:00:00"/>
    <n v="390"/>
    <n v="156.07660424999997"/>
    <x v="2"/>
    <x v="0"/>
  </r>
  <r>
    <m/>
    <d v="2025-06-09T00:00:00"/>
    <m/>
    <s v="2018/RQLC/0048/0040/R5"/>
    <s v="PROYECTOS Y MONTAJES INGEMONT SA-A91614263"/>
    <s v="ORES"/>
    <s v="Accredited Insurance (Europe) Limited"/>
    <n v="86.96"/>
    <n v="0.17499999999999999"/>
    <n v="17.5"/>
    <n v="9.4771659999999969"/>
    <n v="13.04"/>
    <x v="1"/>
    <s v="Performance"/>
    <s v="Cartera"/>
    <d v="2025-06-30T00:00:00"/>
    <n v="100"/>
    <n v="40.017165999999996"/>
    <x v="2"/>
    <x v="0"/>
  </r>
  <r>
    <m/>
    <d v="2025-06-06T00:00:00"/>
    <m/>
    <s v="2022/RQLC/0962/0001/R3"/>
    <s v="PARQUE EÓLICO LUIRE-B88472733"/>
    <s v="RASHER"/>
    <s v="Accredited Insurance (Europe) Limited"/>
    <n v="23060.87"/>
    <n v="0.14000000000000001"/>
    <n v="3712.8"/>
    <n v="3441.2583957499992"/>
    <n v="3459.13"/>
    <x v="1"/>
    <s v="Performance"/>
    <s v="Cartera"/>
    <d v="2025-06-30T00:00:00"/>
    <n v="26520"/>
    <n v="10613.188395749999"/>
    <x v="2"/>
    <x v="0"/>
  </r>
  <r>
    <m/>
    <d v="2025-06-17T00:00:00"/>
    <m/>
    <s v="2019/RQLC/0421/0003/R5"/>
    <s v="MESTOLAYA SL-B83910323"/>
    <s v="ORES"/>
    <s v="Accredited Insurance (Europe) Limited"/>
    <n v="86.96"/>
    <n v="0.17499999999999999"/>
    <n v="17.5"/>
    <n v="9.4771659999999969"/>
    <n v="13.04"/>
    <x v="1"/>
    <s v="Performance"/>
    <s v="Cartera"/>
    <d v="2025-06-30T00:00:00"/>
    <n v="100"/>
    <n v="40.017165999999996"/>
    <x v="2"/>
    <x v="0"/>
  </r>
  <r>
    <m/>
    <d v="2025-06-18T00:00:00"/>
    <m/>
    <s v="2020/RQLC/0624/0001/R5"/>
    <s v="BDMED 2010 SOCIEDAD LIMITADA-B12848008"/>
    <s v="ORES"/>
    <s v="Accredited Insurance (Europe) Limited"/>
    <n v="1862.94"/>
    <n v="0.17499999999999999"/>
    <n v="374.91649999999998"/>
    <n v="203.01406149999997"/>
    <n v="279.44"/>
    <x v="1"/>
    <s v="Performance"/>
    <s v="Cartera"/>
    <d v="2025-06-30T00:00:00"/>
    <n v="2142.38"/>
    <n v="857.37056149999989"/>
    <x v="2"/>
    <x v="0"/>
  </r>
  <r>
    <m/>
    <d v="2025-07-03T00:00:00"/>
    <m/>
    <s v="2018/RQLC/0027/0001/R7"/>
    <s v="AVANZA SOLUTIONS &amp; PROJETS S.L.-B14200562"/>
    <s v="ORES"/>
    <s v="Accredited Insurance (Europe) Limited"/>
    <n v="247.48"/>
    <n v="0.17499999999999999"/>
    <n v="49.804999999999993"/>
    <n v="26.969482999999997"/>
    <n v="37.119999999999997"/>
    <x v="1"/>
    <s v="Performance"/>
    <s v="Cartera"/>
    <d v="2025-07-31T00:00:00"/>
    <n v="284.59999999999997"/>
    <n v="113.89448299999998"/>
    <x v="5"/>
    <x v="0"/>
  </r>
  <r>
    <m/>
    <d v="2025-07-21T00:00:00"/>
    <m/>
    <s v="2019/RQLC/0307/0013/R4"/>
    <s v="CLEAN RENOVABLES DE DION S.L.-B88628920"/>
    <s v="ORES"/>
    <s v="Accredited Insurance (Europe) Limited"/>
    <n v="937.39"/>
    <n v="0.17499999999999999"/>
    <n v="188.64999999999998"/>
    <n v="102.15181274999998"/>
    <n v="140.61000000000001"/>
    <x v="1"/>
    <s v="Performance"/>
    <s v="Cartera"/>
    <d v="2025-07-31T00:00:00"/>
    <n v="1078"/>
    <n v="431.41181274999997"/>
    <x v="5"/>
    <x v="0"/>
  </r>
  <r>
    <m/>
    <d v="2025-07-19T00:00:00"/>
    <m/>
    <s v="2021/RQLC/0908/0002/R1"/>
    <s v="URGACEN VIENA 25 SL-B30850838"/>
    <s v="ORES"/>
    <s v="Accredited Insurance (Europe) Limited"/>
    <n v="545.65"/>
    <n v="0.17499999999999999"/>
    <n v="109.8125"/>
    <n v="59.46177124999997"/>
    <n v="81.849999999999994"/>
    <x v="1"/>
    <s v="Performance"/>
    <s v="Cartera"/>
    <d v="2025-07-31T00:00:00"/>
    <n v="627.5"/>
    <n v="251.12427124999996"/>
    <x v="5"/>
    <x v="0"/>
  </r>
  <r>
    <m/>
    <d v="2025-07-19T00:00:00"/>
    <m/>
    <s v="2021/RQLC/0908/0003/R1"/>
    <s v="URGACEN VIENA 25 SL-B30850838"/>
    <s v="ORES"/>
    <s v="Accredited Insurance (Europe) Limited"/>
    <n v="221.9"/>
    <n v="0.17499999999999999"/>
    <n v="44.656500000000001"/>
    <n v="24.182427499999996"/>
    <n v="33.28"/>
    <x v="1"/>
    <s v="Performance"/>
    <s v="Cartera"/>
    <d v="2025-07-31T00:00:00"/>
    <n v="255.18"/>
    <n v="102.1189275"/>
    <x v="5"/>
    <x v="0"/>
  </r>
  <r>
    <m/>
    <d v="2025-05-20T00:00:00"/>
    <m/>
    <s v="2018/RQLC/0048/0038/R5"/>
    <s v="PROYECTOS Y MONTAJES INGEMONT SA-A91614263"/>
    <s v="ORES"/>
    <s v="Accredited Insurance (Europe) Limited"/>
    <n v="86.96"/>
    <n v="0.17499999999999999"/>
    <n v="17.5"/>
    <n v="9.4771659999999969"/>
    <n v="13.04"/>
    <x v="1"/>
    <s v="Performance"/>
    <s v="Cartera"/>
    <d v="2025-05-31T00:00:00"/>
    <n v="100"/>
    <n v="40.017165999999996"/>
    <x v="11"/>
    <x v="0"/>
  </r>
  <r>
    <m/>
    <d v="2025-05-20T00:00:00"/>
    <m/>
    <s v="2019/RQLC/0283/0008/R6"/>
    <s v="DIAZ CUBERO SA-A41658022"/>
    <s v="ORES"/>
    <s v="Accredited Insurance (Europe) Limited"/>
    <n v="86.96"/>
    <n v="0.17499999999999999"/>
    <n v="17.5"/>
    <n v="9.4771659999999969"/>
    <n v="13.04"/>
    <x v="1"/>
    <s v="Performance"/>
    <s v="Cartera"/>
    <d v="2025-05-31T00:00:00"/>
    <n v="100"/>
    <n v="40.017165999999996"/>
    <x v="11"/>
    <x v="0"/>
  </r>
  <r>
    <m/>
    <d v="2025-05-12T00:00:00"/>
    <m/>
    <s v="2023/RQLC/1064/0001/R2"/>
    <s v="CONSTRUREY GALICIA SL.-B94135985"/>
    <s v="ORES"/>
    <s v="Accredited Insurance (Europe) Limited"/>
    <n v="173.91"/>
    <n v="0.17499999999999999"/>
    <n v="35"/>
    <n v="18.951229749999996"/>
    <n v="26.09"/>
    <x v="1"/>
    <s v="Performance"/>
    <s v="Cartera"/>
    <d v="2025-05-31T00:00:00"/>
    <n v="200"/>
    <n v="80.041229749999999"/>
    <x v="11"/>
    <x v="0"/>
  </r>
  <r>
    <m/>
    <d v="2025-09-02T00:00:00"/>
    <m/>
    <s v="2020/RQLC/0665/0029/R4"/>
    <s v="YAKARTA FOTOVOLTAICA, S.L.-B42760736"/>
    <s v="AON"/>
    <s v="Accredited Insurance (Europe) Limited"/>
    <n v="1487.65"/>
    <n v="0.15"/>
    <n v="256.62"/>
    <n v="204.88622125000001"/>
    <n v="223.15"/>
    <x v="1"/>
    <s v="Performance"/>
    <s v="Cartera"/>
    <d v="2025-09-30T00:00:00"/>
    <n v="1710.8000000000002"/>
    <n v="684.65622125000004"/>
    <x v="9"/>
    <x v="0"/>
  </r>
  <r>
    <m/>
    <d v="2025-09-29T00:00:00"/>
    <m/>
    <s v="2019/RQLC/0450/0014/R5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09-30T00:00:00"/>
    <n v="100"/>
    <n v="40.017165999999996"/>
    <x v="9"/>
    <x v="0"/>
  </r>
  <r>
    <m/>
    <d v="2025-09-09T00:00:00"/>
    <m/>
    <s v="2019/RQLC/0283/0012/R6"/>
    <s v="DIAZ CUBERO SA-A41658022"/>
    <s v="ORES"/>
    <s v="Accredited Insurance (Europe) Limited"/>
    <n v="86.96"/>
    <n v="0.17499999999999999"/>
    <n v="17.5"/>
    <n v="9.4771659999999969"/>
    <n v="13.04"/>
    <x v="1"/>
    <s v="Performance"/>
    <s v="Cartera"/>
    <d v="2025-09-30T00:00:00"/>
    <n v="100"/>
    <n v="40.017165999999996"/>
    <x v="9"/>
    <x v="0"/>
  </r>
  <r>
    <m/>
    <d v="2025-09-29T00:00:00"/>
    <m/>
    <s v="2019/RQLC/0450/0012/R5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09-30T00:00:00"/>
    <n v="100"/>
    <n v="40.017165999999996"/>
    <x v="9"/>
    <x v="0"/>
  </r>
  <r>
    <m/>
    <d v="2025-09-29T00:00:00"/>
    <m/>
    <s v="2019/RQLC/0450/0011/R5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09-30T00:00:00"/>
    <n v="100"/>
    <n v="40.017165999999996"/>
    <x v="9"/>
    <x v="0"/>
  </r>
  <r>
    <m/>
    <d v="2025-09-24T00:00:00"/>
    <m/>
    <s v="2021/RQLC/0762/0005/R4"/>
    <s v="REN BETA I S.L.-B06832349"/>
    <s v="HOWDEN"/>
    <s v="Accredited Insurance (Europe) Limited"/>
    <n v="4674.78"/>
    <n v="0.15"/>
    <n v="806.4"/>
    <n v="643.83362549999981"/>
    <n v="701.22"/>
    <x v="1"/>
    <s v="Performance"/>
    <s v="Cartera"/>
    <d v="2025-09-30T00:00:00"/>
    <n v="5376"/>
    <n v="2151.4536254999998"/>
    <x v="9"/>
    <x v="0"/>
  </r>
  <r>
    <m/>
    <d v="2025-09-29T00:00:00"/>
    <m/>
    <s v="2019/RQLC/0450/0010/R5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09-30T00:00:00"/>
    <n v="100"/>
    <n v="40.017165999999996"/>
    <x v="9"/>
    <x v="0"/>
  </r>
  <r>
    <m/>
    <d v="2025-09-30T00:00:00"/>
    <m/>
    <s v="2021/RQLC/0768/0001/R4"/>
    <s v="CONSTRUCCIONES GOVASUR INGENIEROS ASOCIADOS SL.-B93384626"/>
    <s v="ORES"/>
    <s v="Accredited Insurance (Europe) Limited"/>
    <n v="160.97"/>
    <n v="0.17499999999999999"/>
    <n v="32.396000000000001"/>
    <n v="17.540918249999997"/>
    <n v="24.15"/>
    <x v="1"/>
    <s v="Performance"/>
    <s v="Cartera"/>
    <d v="2025-09-30T00:00:00"/>
    <n v="185.12"/>
    <n v="74.086918249999997"/>
    <x v="9"/>
    <x v="0"/>
  </r>
  <r>
    <m/>
    <d v="2025-09-29T00:00:00"/>
    <m/>
    <s v="2019/RQLC/0450/0009/R5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09-30T00:00:00"/>
    <n v="100"/>
    <n v="40.017165999999996"/>
    <x v="9"/>
    <x v="0"/>
  </r>
  <r>
    <m/>
    <d v="2025-09-29T00:00:00"/>
    <m/>
    <s v="2019/RQLC/0450/0008/R5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09-30T00:00:00"/>
    <n v="100"/>
    <n v="40.017165999999996"/>
    <x v="9"/>
    <x v="0"/>
  </r>
  <r>
    <m/>
    <d v="2025-09-25T00:00:00"/>
    <m/>
    <s v="2019/RQLC/0339/0001/R6"/>
    <s v="TRAFALGAR OILS SL.-B72293012"/>
    <s v="ORES"/>
    <s v="Accredited Insurance (Europe) Limited"/>
    <n v="352.17"/>
    <n v="0.17499999999999999"/>
    <n v="70.875"/>
    <n v="38.376938249999995"/>
    <n v="52.83"/>
    <x v="1"/>
    <s v="Performance"/>
    <s v="Cartera"/>
    <d v="2025-09-30T00:00:00"/>
    <n v="405"/>
    <n v="162.08193825000001"/>
    <x v="9"/>
    <x v="0"/>
  </r>
  <r>
    <m/>
    <d v="2025-09-28T00:00:00"/>
    <m/>
    <s v="2020/RQLC/0678/0001/R5"/>
    <s v="THE ONE COLLECTION 2018 SL-B93641439"/>
    <s v="ORES"/>
    <s v="Accredited Insurance (Europe) Limited"/>
    <n v="10099.9"/>
    <n v="0.17499999999999999"/>
    <n v="2032.6057499999997"/>
    <n v="1100.6357275"/>
    <n v="1514.99"/>
    <x v="1"/>
    <s v="Performance"/>
    <s v="Cartera"/>
    <d v="2025-09-30T00:00:00"/>
    <n v="11614.89"/>
    <n v="4648.2314774999995"/>
    <x v="9"/>
    <x v="0"/>
  </r>
  <r>
    <m/>
    <d v="2025-09-29T00:00:00"/>
    <m/>
    <s v="2019/RQLC/0450/0015/R5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09-30T00:00:00"/>
    <n v="100"/>
    <n v="40.017165999999996"/>
    <x v="9"/>
    <x v="0"/>
  </r>
  <r>
    <m/>
    <d v="2025-09-23T00:00:00"/>
    <m/>
    <s v="2020/RQLC/0569/0007/R5"/>
    <s v="ALCOLEA DEL RIO SPV SL-B67558007"/>
    <s v="AON"/>
    <s v="Accredited Insurance (Europe) Limited"/>
    <n v="1739.13"/>
    <n v="0.15"/>
    <n v="300"/>
    <n v="239.52160425"/>
    <n v="260.87"/>
    <x v="1"/>
    <s v="Performance"/>
    <s v="Cartera"/>
    <d v="2025-09-30T00:00:00"/>
    <n v="2000"/>
    <n v="800.39160425"/>
    <x v="9"/>
    <x v="0"/>
  </r>
  <r>
    <m/>
    <d v="2025-09-23T00:00:00"/>
    <m/>
    <s v="2020/RQLC/0569/0006/R5"/>
    <s v="ALCOLEA DEL RIO SPV SL-B67558007"/>
    <s v="AON"/>
    <s v="Accredited Insurance (Europe) Limited"/>
    <n v="1304.3499999999999"/>
    <n v="0.15"/>
    <n v="225"/>
    <n v="179.64197874999996"/>
    <n v="195.65"/>
    <x v="1"/>
    <s v="Performance"/>
    <s v="Cartera"/>
    <d v="2025-09-30T00:00:00"/>
    <n v="1500"/>
    <n v="600.29197875"/>
    <x v="9"/>
    <x v="0"/>
  </r>
  <r>
    <m/>
    <d v="2025-08-02T00:00:00"/>
    <m/>
    <s v="2018/RQLC/0015/0001/R7"/>
    <s v="OHLIMPIA GLOBAL TALENT ETT, SOCIEDAD LIMITADA.-B76288836"/>
    <s v="DIAGONAL"/>
    <s v="Accredited Insurance (Europe) Limited"/>
    <n v="1487.83"/>
    <n v="0.13500000000000001"/>
    <n v="230.98500000000001"/>
    <n v="230.57706174999993"/>
    <n v="223.17"/>
    <x v="1"/>
    <s v="Performance"/>
    <s v="Cartera"/>
    <d v="2025-08-31T00:00:00"/>
    <n v="1711"/>
    <n v="684.73206174999996"/>
    <x v="8"/>
    <x v="0"/>
  </r>
  <r>
    <m/>
    <d v="2025-08-06T00:00:00"/>
    <m/>
    <s v="2019/RQLC/0394/0002/R4"/>
    <s v="NARA ES SOLAR 6 SL-B88380373"/>
    <s v="MARCH JLT"/>
    <s v="Accredited Insurance (Europe) Limited"/>
    <n v="2781.78"/>
    <n v="0.15"/>
    <n v="479.85599999999999"/>
    <n v="383.12170049999997"/>
    <n v="417.26"/>
    <x v="1"/>
    <s v="Performance"/>
    <s v="Cartera"/>
    <d v="2025-08-31T00:00:00"/>
    <n v="3199.04"/>
    <n v="1280.2377004999998"/>
    <x v="8"/>
    <x v="0"/>
  </r>
  <r>
    <m/>
    <d v="2025-11-29T00:00:00"/>
    <m/>
    <s v="2018/RQLC/0180/0005/R6"/>
    <s v="OLIVIA CARBURANTES S.L.-B72359573"/>
    <s v="MARCH JLT"/>
    <s v="Accredited Insurance (Europe) Limited"/>
    <n v="339.13"/>
    <n v="0.15"/>
    <n v="58.5"/>
    <n v="46.706604249999984"/>
    <n v="50.87"/>
    <x v="1"/>
    <s v="Performance"/>
    <s v="Cartera"/>
    <d v="2025-11-30T00:00:00"/>
    <n v="390"/>
    <n v="156.07660424999997"/>
    <x v="4"/>
    <x v="0"/>
  </r>
  <r>
    <m/>
    <d v="2025-10-10T00:00:00"/>
    <m/>
    <s v="2019/RQLC/0450/0003/R6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10-31T00:00:00"/>
    <n v="100"/>
    <n v="40.017165999999996"/>
    <x v="3"/>
    <x v="0"/>
  </r>
  <r>
    <m/>
    <d v="2025-10-10T00:00:00"/>
    <m/>
    <s v="2019/RQLC/0450/0007/R6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10-31T00:00:00"/>
    <n v="100"/>
    <n v="40.017165999999996"/>
    <x v="3"/>
    <x v="0"/>
  </r>
  <r>
    <m/>
    <d v="2025-10-10T00:00:00"/>
    <m/>
    <s v="2019/RQLC/0450/0004/R6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10-31T00:00:00"/>
    <n v="100"/>
    <n v="40.017165999999996"/>
    <x v="3"/>
    <x v="0"/>
  </r>
  <r>
    <m/>
    <d v="2025-10-02T00:00:00"/>
    <m/>
    <s v="2020/RQLC/0613/0004/R5"/>
    <s v="ESPACIOS INTEGRALES EUROVIP, S.L.-B87737573"/>
    <s v="VIAFINA"/>
    <s v="Accredited Insurance (Europe) Limited"/>
    <n v="173.91"/>
    <n v="0"/>
    <n v="0"/>
    <n v="53.951229749999996"/>
    <n v="26.09"/>
    <x v="1"/>
    <s v="Performance"/>
    <s v="Cartera"/>
    <d v="2025-10-31T00:00:00"/>
    <n v="200"/>
    <n v="80.041229749999999"/>
    <x v="3"/>
    <x v="0"/>
  </r>
  <r>
    <m/>
    <d v="2025-10-08T00:00:00"/>
    <m/>
    <s v="2018/RQLC/0048/0025/R6"/>
    <s v="INGEMONT TECNOLOGIAS SA. (EN LIQUIDACION)-A91614263"/>
    <s v="ORES"/>
    <s v="Accredited Insurance (Europe) Limited"/>
    <n v="86.96"/>
    <n v="0.17499999999999999"/>
    <n v="17.5"/>
    <n v="9.4771659999999969"/>
    <n v="13.04"/>
    <x v="1"/>
    <s v="Performance"/>
    <s v="Cartera"/>
    <d v="2025-10-31T00:00:00"/>
    <n v="100"/>
    <n v="40.017165999999996"/>
    <x v="3"/>
    <x v="0"/>
  </r>
  <r>
    <m/>
    <d v="2025-10-10T00:00:00"/>
    <m/>
    <s v="2019/RQLC/0450/0002/R6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10-31T00:00:00"/>
    <n v="100"/>
    <n v="40.017165999999996"/>
    <x v="3"/>
    <x v="0"/>
  </r>
  <r>
    <m/>
    <d v="2025-09-05T00:00:00"/>
    <m/>
    <s v="2024/RQLC/1243/0001/R1"/>
    <s v="SICILY BY CAR SPAIN S.L.-B55475982"/>
    <s v="CONFIDE"/>
    <s v="Accredited Insurance (Europe) Limited"/>
    <n v="387.45"/>
    <n v="0.1"/>
    <n v="44.557000000000002"/>
    <n v="75.63967624999998"/>
    <n v="58.12"/>
    <x v="1"/>
    <s v="Performance"/>
    <s v="Cartera"/>
    <d v="2025-09-30T00:00:00"/>
    <n v="445.57"/>
    <n v="178.31667624999997"/>
    <x v="9"/>
    <x v="0"/>
  </r>
  <r>
    <m/>
    <d v="2025-10-07T00:00:00"/>
    <m/>
    <s v="2019/RQLC/0450/0017/R5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10-31T00:00:00"/>
    <n v="100"/>
    <n v="40.017165999999996"/>
    <x v="3"/>
    <x v="0"/>
  </r>
  <r>
    <m/>
    <d v="2025-10-23T00:00:00"/>
    <m/>
    <s v="2019/RQLC/0450/0018/R5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10-31T00:00:00"/>
    <n v="100"/>
    <n v="40.017165999999996"/>
    <x v="3"/>
    <x v="0"/>
  </r>
  <r>
    <m/>
    <d v="2025-10-24T00:00:00"/>
    <m/>
    <s v="2023/RQLC/1110/0002/R2"/>
    <s v="GRAND INVESTMENT 2022 SL.-B16994964"/>
    <s v="ORES"/>
    <s v="Accredited Insurance (Europe) Limited"/>
    <n v="514.09"/>
    <n v="0.17499999999999999"/>
    <n v="103.46000000000001"/>
    <n v="56.023570249999977"/>
    <n v="77.11"/>
    <x v="1"/>
    <s v="Performance"/>
    <s v="Cartera"/>
    <d v="2025-10-31T00:00:00"/>
    <n v="591.20000000000005"/>
    <n v="236.59357024999997"/>
    <x v="3"/>
    <x v="0"/>
  </r>
  <r>
    <m/>
    <d v="2025-10-24T00:00:00"/>
    <m/>
    <s v="2023/RQLC/1110/0001/R2"/>
    <s v="GRAND INVESTMENT 2022 SL.-B16994964"/>
    <s v="ORES"/>
    <s v="Accredited Insurance (Europe) Limited"/>
    <n v="204.87"/>
    <n v="0.17499999999999999"/>
    <n v="41.23"/>
    <n v="22.325795749999997"/>
    <n v="30.73"/>
    <x v="1"/>
    <s v="Performance"/>
    <s v="Cartera"/>
    <d v="2025-10-31T00:00:00"/>
    <n v="235.6"/>
    <n v="94.285795749999991"/>
    <x v="3"/>
    <x v="0"/>
  </r>
  <r>
    <m/>
    <d v="2025-10-23T00:00:00"/>
    <m/>
    <s v="2019/RQLC/0450/0019/R5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10-31T00:00:00"/>
    <n v="100"/>
    <n v="40.017165999999996"/>
    <x v="3"/>
    <x v="0"/>
  </r>
  <r>
    <m/>
    <d v="2025-10-10T00:00:00"/>
    <m/>
    <s v="2019/RQLC/0450/0005/R6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10-31T00:00:00"/>
    <n v="100"/>
    <n v="40.017165999999996"/>
    <x v="3"/>
    <x v="0"/>
  </r>
  <r>
    <m/>
    <d v="2025-10-24T00:00:00"/>
    <m/>
    <s v="2023/RQLC/1110/0003/R2"/>
    <s v="GRAND INVESTMENT 2022 SL.-B16994964"/>
    <s v="ORES"/>
    <s v="Accredited Insurance (Europe) Limited"/>
    <n v="234.89"/>
    <n v="0.17499999999999999"/>
    <n v="47.271000000000001"/>
    <n v="25.59775024999999"/>
    <n v="35.229999999999997"/>
    <x v="1"/>
    <s v="Performance"/>
    <s v="Cartera"/>
    <d v="2025-10-31T00:00:00"/>
    <n v="270.12"/>
    <n v="108.09875024999999"/>
    <x v="3"/>
    <x v="0"/>
  </r>
  <r>
    <m/>
    <d v="2025-10-07T00:00:00"/>
    <m/>
    <s v="2019/RQLC/0450/0016/R5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10-31T00:00:00"/>
    <n v="100"/>
    <n v="40.017165999999996"/>
    <x v="3"/>
    <x v="0"/>
  </r>
  <r>
    <m/>
    <d v="2025-11-03T00:00:00"/>
    <m/>
    <s v="2023/RQLC/1127/0001/R2"/>
    <s v="RETURN ENERGY STORAGE SOLUTIONS SL.-B16948762"/>
    <s v="MARSH"/>
    <s v="Accredited Insurance (Europe) Limited"/>
    <n v="22608.7"/>
    <n v="0.16500000000000001"/>
    <n v="4290"/>
    <n v="2723.7839574999998"/>
    <n v="3391.3"/>
    <x v="1"/>
    <s v="Performance"/>
    <s v="Cartera"/>
    <d v="2025-11-30T00:00:00"/>
    <n v="26000"/>
    <n v="10405.083957499999"/>
    <x v="4"/>
    <x v="0"/>
  </r>
  <r>
    <m/>
    <d v="2025-10-10T00:00:00"/>
    <m/>
    <s v="2019/RQLC/0450/0001/R6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10-31T00:00:00"/>
    <n v="100"/>
    <n v="40.017165999999996"/>
    <x v="3"/>
    <x v="0"/>
  </r>
  <r>
    <m/>
    <d v="2025-10-10T00:00:00"/>
    <m/>
    <s v="2019/RQLC/0450/0006/R6"/>
    <s v="OTERO BUILDERS SL.-B93539310"/>
    <s v="ORES"/>
    <s v="Accredited Insurance (Europe) Limited"/>
    <n v="86.96"/>
    <n v="0.17499999999999999"/>
    <n v="17.5"/>
    <n v="9.4771659999999969"/>
    <n v="13.04"/>
    <x v="1"/>
    <s v="Performance"/>
    <s v="Cartera"/>
    <d v="2025-10-31T00:00:00"/>
    <n v="100"/>
    <n v="40.017165999999996"/>
    <x v="3"/>
    <x v="0"/>
  </r>
  <r>
    <m/>
    <d v="2025-11-19T00:00:00"/>
    <m/>
    <s v="2018/RQLC/0048/0029/R6"/>
    <s v="PROYECTOS Y MONTAJES INGEMONT SA-A91614263"/>
    <s v="ORES"/>
    <s v="Accredited Insurance (Europe) Limited"/>
    <n v="124.37"/>
    <n v="0.17499999999999999"/>
    <n v="25.030249999999999"/>
    <n v="13.552433249999996"/>
    <n v="18.66"/>
    <x v="1"/>
    <s v="Performance"/>
    <s v="Cartera"/>
    <d v="2025-11-30T00:00:00"/>
    <n v="143.03"/>
    <n v="57.242683249999999"/>
    <x v="4"/>
    <x v="0"/>
  </r>
  <r>
    <m/>
    <d v="2025-11-19T00:00:00"/>
    <m/>
    <s v="2018/RQLC/0048/0028/R6"/>
    <s v="PROYECTOS Y MONTAJES INGEMONT SA-A91614263"/>
    <s v="ORES"/>
    <s v="Accredited Insurance (Europe) Limited"/>
    <n v="110.02"/>
    <n v="0.17499999999999999"/>
    <n v="22.140999999999998"/>
    <n v="11.989954499999996"/>
    <n v="16.5"/>
    <x v="1"/>
    <s v="Performance"/>
    <s v="Cartera"/>
    <d v="2025-11-30T00:00:00"/>
    <n v="126.52"/>
    <n v="50.630954499999994"/>
    <x v="4"/>
    <x v="0"/>
  </r>
  <r>
    <m/>
    <d v="2025-11-12T00:00:00"/>
    <m/>
    <s v="2018/RQLC/0048/0026/R6"/>
    <s v="PROYECTOS Y MONTAJES INGEMONT SA-A91614263"/>
    <s v="ORES"/>
    <s v="Accredited Insurance (Europe) Limited"/>
    <n v="86.96"/>
    <n v="0.17499999999999999"/>
    <n v="17.5"/>
    <n v="9.4771659999999969"/>
    <n v="13.04"/>
    <x v="1"/>
    <s v="Performance"/>
    <s v="Cartera"/>
    <d v="2025-11-30T00:00:00"/>
    <n v="100"/>
    <n v="40.017165999999996"/>
    <x v="4"/>
    <x v="0"/>
  </r>
  <r>
    <m/>
    <d v="2025-11-19T00:00:00"/>
    <m/>
    <s v="2018/RQLC/0048/0027/R6"/>
    <s v="PROYECTOS Y MONTAJES INGEMONT SA-A91614263"/>
    <s v="ORES"/>
    <s v="Accredited Insurance (Europe) Limited"/>
    <n v="86.96"/>
    <n v="0.17499999999999999"/>
    <n v="17.5"/>
    <n v="9.4771659999999969"/>
    <n v="13.04"/>
    <x v="1"/>
    <s v="Performance"/>
    <s v="Cartera"/>
    <d v="2025-11-30T00:00:00"/>
    <n v="100"/>
    <n v="40.017165999999996"/>
    <x v="4"/>
    <x v="0"/>
  </r>
  <r>
    <m/>
    <d v="2025-11-26T00:00:00"/>
    <m/>
    <s v="2018/RQLC/0048/0031/R6"/>
    <s v="PROYECTOS Y MONTAJES INGEMONT SA-A91614263"/>
    <s v="ORES"/>
    <s v="Accredited Insurance (Europe) Limited"/>
    <n v="140.22999999999999"/>
    <n v="0.17499999999999999"/>
    <n v="28.220499999999998"/>
    <n v="15.282351749999993"/>
    <n v="21.03"/>
    <x v="1"/>
    <s v="Performance"/>
    <s v="Cartera"/>
    <d v="2025-11-30T00:00:00"/>
    <n v="161.26"/>
    <n v="64.532851749999992"/>
    <x v="4"/>
    <x v="0"/>
  </r>
  <r>
    <m/>
    <d v="2025-11-24T00:00:00"/>
    <m/>
    <s v="2021/RQLC/0889/0001/R4"/>
    <s v="INSTALACION CONTROL Y PROTECCION DE SEGURIDAD SOCIEDAD-B98920838"/>
    <s v="ORES"/>
    <s v="Accredited Insurance (Europe) Limited"/>
    <n v="1525.65"/>
    <n v="0.17499999999999999"/>
    <n v="307.03749999999997"/>
    <n v="166.25727125000003"/>
    <n v="228.85"/>
    <x v="1"/>
    <s v="Performance"/>
    <s v="Cartera"/>
    <d v="2025-11-30T00:00:00"/>
    <n v="1754.5"/>
    <n v="702.14477124999996"/>
    <x v="4"/>
    <x v="0"/>
  </r>
  <r>
    <m/>
    <d v="2025-11-19T00:00:00"/>
    <m/>
    <s v="2018/RQLC/0048/0030/R6"/>
    <s v="PROYECTOS Y MONTAJES INGEMONT SA-A91614263"/>
    <s v="ORES"/>
    <s v="Accredited Insurance (Europe) Limited"/>
    <n v="86.96"/>
    <n v="0.17499999999999999"/>
    <n v="17.5"/>
    <n v="9.4771659999999969"/>
    <n v="13.04"/>
    <x v="1"/>
    <s v="Performance"/>
    <s v="Cartera"/>
    <d v="2025-11-30T00:00:00"/>
    <n v="100"/>
    <n v="40.017165999999996"/>
    <x v="4"/>
    <x v="0"/>
  </r>
  <r>
    <m/>
    <d v="2025-11-26T00:00:00"/>
    <m/>
    <s v="2019/RQLC/0200/0011/R6"/>
    <s v="REALAN SERVICES .L.-B76121078"/>
    <s v="BRUZON"/>
    <s v="Accredited Insurance (Europe) Limited"/>
    <n v="173.91"/>
    <n v="0.16"/>
    <n v="32"/>
    <n v="21.951229749999996"/>
    <n v="26.09"/>
    <x v="1"/>
    <s v="Performance"/>
    <s v="Cartera"/>
    <d v="2025-11-30T00:00:00"/>
    <n v="200"/>
    <n v="80.041229749999999"/>
    <x v="4"/>
    <x v="0"/>
  </r>
  <r>
    <m/>
    <d v="2025-11-27T00:00:00"/>
    <m/>
    <s v="2019/RQLC/0354/0001/R6"/>
    <s v="CONSTRUCCIONES HERMATINSA SL-B37052602"/>
    <s v="WILLIS"/>
    <s v="Accredited Insurance (Europe) Limited"/>
    <n v="212.78"/>
    <n v="0.14000000000000001"/>
    <n v="34.258000000000003"/>
    <n v="31.751675499999997"/>
    <n v="31.92"/>
    <x v="1"/>
    <s v="Performance"/>
    <s v="Cartera"/>
    <d v="2025-11-30T00:00:00"/>
    <n v="244.7"/>
    <n v="97.929675500000002"/>
    <x v="4"/>
    <x v="0"/>
  </r>
  <r>
    <m/>
    <d v="2025-12-05T00:00:00"/>
    <m/>
    <s v="2018/RQLC/0051/0001/R7"/>
    <s v="MERSANT VIGILANCIA SOCIEDAD LIMITADA.-B90229790"/>
    <s v="ORES"/>
    <s v="Accredited Insurance (Europe) Limited"/>
    <n v="187.51"/>
    <n v="0.17499999999999999"/>
    <n v="37.736999999999995"/>
    <n v="20.43328975"/>
    <n v="28.13"/>
    <x v="1"/>
    <s v="Performance"/>
    <s v="Cartera"/>
    <d v="2025-12-31T00:00:00"/>
    <n v="215.64"/>
    <n v="86.30028974999999"/>
    <x v="0"/>
    <x v="0"/>
  </r>
  <r>
    <m/>
    <d v="2025-12-02T00:00:00"/>
    <m/>
    <s v="2024/RQLC/1206/0003/R1"/>
    <s v="TALES SOSTENIBLE SL.-B42919464"/>
    <s v="AON"/>
    <s v="Accredited Insurance (Europe) Limited"/>
    <n v="20869.580000000002"/>
    <n v="0.15"/>
    <n v="3600"/>
    <n v="2874.2654554999999"/>
    <n v="3130.42"/>
    <x v="1"/>
    <s v="Performance"/>
    <s v="Cartera"/>
    <d v="2025-12-31T00:00:00"/>
    <n v="24000"/>
    <n v="9604.6854554999991"/>
    <x v="0"/>
    <x v="0"/>
  </r>
  <r>
    <m/>
    <d v="2025-12-02T00:00:00"/>
    <m/>
    <s v="2024/RQLC/1206/0004/R1"/>
    <s v="TALES SOSTENIBLE SL.-B42919464"/>
    <s v="AON"/>
    <s v="Accredited Insurance (Europe) Limited"/>
    <n v="9391.31"/>
    <n v="0.15"/>
    <n v="1620"/>
    <n v="1293.4191447499998"/>
    <n v="1408.69"/>
    <x v="1"/>
    <s v="Performance"/>
    <s v="Cartera"/>
    <d v="2025-12-31T00:00:00"/>
    <n v="10800"/>
    <n v="4322.1091447500003"/>
    <x v="0"/>
    <x v="0"/>
  </r>
  <r>
    <m/>
    <d v="2025-12-16T00:00:00"/>
    <m/>
    <s v="2021/RQLC/0911/0001/R4"/>
    <s v="OPROYECTS IBERICA SL.-B98699507"/>
    <s v="BONDINGBROKERS"/>
    <s v="Accredited Insurance (Europe) Limited"/>
    <n v="268.48"/>
    <n v="0.13500000000000001"/>
    <n v="41.681250000000006"/>
    <n v="41.607957999999996"/>
    <n v="40.270000000000003"/>
    <x v="1"/>
    <s v="Performance"/>
    <s v="Cartera"/>
    <d v="2025-12-31T00:00:00"/>
    <n v="308.75"/>
    <n v="123.55920800000001"/>
    <x v="0"/>
    <x v="0"/>
  </r>
  <r>
    <m/>
    <d v="2025-12-12T00:00:00"/>
    <m/>
    <s v="2024/RQLC/1270/0001/R1"/>
    <s v="BESIDE DESARROLLO 1, SOCIEDAD LIMITADA.-B05544069"/>
    <s v="HOWDEN"/>
    <s v="Accredited Insurance (Europe) Limited"/>
    <n v="2211.13"/>
    <n v="0.15"/>
    <n v="381.42"/>
    <n v="304.52780424999997"/>
    <n v="331.67"/>
    <x v="1"/>
    <s v="Performance"/>
    <s v="Cartera"/>
    <d v="2025-12-31T00:00:00"/>
    <n v="2542.8000000000002"/>
    <n v="1017.6178042500001"/>
    <x v="0"/>
    <x v="0"/>
  </r>
  <r>
    <m/>
    <d v="2025-12-21T00:00:00"/>
    <m/>
    <s v="2022/RQLC/0989/0005/R3"/>
    <s v="GREENING SOLAR V, S.L.-B72560428"/>
    <s v="WILLIS"/>
    <s v="Accredited Insurance (Europe) Limited"/>
    <n v="173.91"/>
    <n v="0.14000000000000001"/>
    <n v="28.000000000000004"/>
    <n v="25.951229749999992"/>
    <n v="26.09"/>
    <x v="1"/>
    <s v="Performance"/>
    <s v="Cartera"/>
    <d v="2025-12-31T00:00:00"/>
    <n v="200"/>
    <n v="80.041229749999999"/>
    <x v="0"/>
    <x v="0"/>
  </r>
  <r>
    <m/>
    <d v="2025-12-10T00:00:00"/>
    <m/>
    <s v="2019/RQLC/0490/0001/R6"/>
    <s v="WAKEFUL SL-B66322421"/>
    <s v="ORES"/>
    <s v="Accredited Insurance (Europe) Limited"/>
    <n v="86.96"/>
    <n v="0.17499999999999999"/>
    <n v="17.5"/>
    <n v="9.4771659999999969"/>
    <n v="13.04"/>
    <x v="1"/>
    <s v="Performance"/>
    <s v="Cartera"/>
    <d v="2025-12-31T00:00:00"/>
    <n v="100"/>
    <n v="40.017165999999996"/>
    <x v="0"/>
    <x v="0"/>
  </r>
  <r>
    <m/>
    <d v="2025-12-30T00:00:00"/>
    <m/>
    <s v="2021/RQLC/0878/0004/R4"/>
    <s v="HERCULES SERVICIOS GENERALES DE INTEGRACION SL-B51025591"/>
    <s v="ORES"/>
    <s v="Accredited Insurance (Europe) Limited"/>
    <n v="208.96"/>
    <n v="0.17499999999999999"/>
    <n v="42.052500000000002"/>
    <n v="22.77211599999999"/>
    <n v="31.34"/>
    <x v="1"/>
    <s v="Performance"/>
    <s v="Cartera"/>
    <d v="2025-12-31T00:00:00"/>
    <n v="240.3"/>
    <n v="96.164615999999995"/>
    <x v="0"/>
    <x v="0"/>
  </r>
  <r>
    <m/>
    <d v="2025-12-16T00:00:00"/>
    <m/>
    <s v="2021/RQLC/0911/0002/R4"/>
    <s v="OPROYECTS IBERICA SL.-B98699507"/>
    <s v="BONDINGBROKERS"/>
    <s v="Accredited Insurance (Europe) Limited"/>
    <n v="300.89999999999998"/>
    <n v="0.13500000000000001"/>
    <n v="46.71405"/>
    <n v="46.632652499999978"/>
    <n v="45.13"/>
    <x v="1"/>
    <s v="Performance"/>
    <s v="Cartera"/>
    <d v="2025-12-31T00:00:00"/>
    <n v="346.03"/>
    <n v="138.47670249999999"/>
    <x v="0"/>
    <x v="0"/>
  </r>
  <r>
    <m/>
    <d v="2025-12-02T00:00:00"/>
    <m/>
    <s v="2024/RQLC/1206/0005/R1"/>
    <s v="GABRIEL ENERGIA SL.-B01591395"/>
    <s v="AON"/>
    <s v="Accredited Insurance (Europe) Limited"/>
    <n v="20869.580000000002"/>
    <n v="0.15"/>
    <n v="3600"/>
    <n v="2874.2654554999999"/>
    <n v="3130.42"/>
    <x v="1"/>
    <s v="Performance"/>
    <s v="Cartera"/>
    <d v="2025-12-31T00:00:00"/>
    <n v="24000"/>
    <n v="9604.6854554999991"/>
    <x v="0"/>
    <x v="0"/>
  </r>
  <r>
    <m/>
    <d v="2025-12-02T00:00:00"/>
    <m/>
    <s v="2021/RQLC/0768/0002/R4"/>
    <s v="CONSTRUCCIONES GOVASUR INGENIEROS ASOCIADOS SL.-B93384626"/>
    <s v="ORES"/>
    <s v="Accredited Insurance (Europe) Limited"/>
    <n v="212.81"/>
    <n v="0.17499999999999999"/>
    <n v="42.827750000000002"/>
    <n v="23.191232249999992"/>
    <n v="31.92"/>
    <x v="1"/>
    <s v="Performance"/>
    <s v="Cartera"/>
    <d v="2025-12-31T00:00:00"/>
    <n v="244.73000000000002"/>
    <n v="97.938982249999995"/>
    <x v="0"/>
    <x v="0"/>
  </r>
  <r>
    <m/>
    <d v="2025-12-22T00:00:00"/>
    <m/>
    <s v="2019/RQLC/0458/0051/R2"/>
    <s v="ATHISA MEDIO AMBIENTE, S.A.U.-A18485516"/>
    <s v="ORES"/>
    <s v="Accredited Insurance (Europe) Limited"/>
    <n v="173.91"/>
    <n v="0.17499999999999999"/>
    <n v="35"/>
    <n v="18.951229749999996"/>
    <n v="26.09"/>
    <x v="1"/>
    <s v="Performance"/>
    <s v="Cartera"/>
    <d v="2025-12-31T00:00:00"/>
    <n v="200"/>
    <n v="80.041229749999999"/>
    <x v="0"/>
    <x v="0"/>
  </r>
  <r>
    <m/>
    <d v="2025-12-21T00:00:00"/>
    <m/>
    <s v="2022/RQLC/0989/0007/R3"/>
    <s v="GREENING SOLAR IV, S.L.-B72560378"/>
    <s v="WILLIS"/>
    <s v="Accredited Insurance (Europe) Limited"/>
    <n v="234.78"/>
    <n v="0.14000000000000001"/>
    <n v="37.800000000000004"/>
    <n v="35.034625499999983"/>
    <n v="35.22"/>
    <x v="1"/>
    <s v="Performance"/>
    <s v="Cartera"/>
    <d v="2025-12-31T00:00:00"/>
    <n v="270"/>
    <n v="108.05462549999999"/>
    <x v="0"/>
    <x v="0"/>
  </r>
  <r>
    <m/>
    <d v="2025-12-03T00:00:00"/>
    <m/>
    <s v="2024/RQLC/1206/0002/R1"/>
    <s v="FRESNO SOSTENIBLE SL.-B67959338"/>
    <s v="AON"/>
    <s v="Accredited Insurance (Europe) Limited"/>
    <n v="9391.31"/>
    <n v="0.15"/>
    <n v="1620"/>
    <n v="1293.4191447499998"/>
    <n v="1408.69"/>
    <x v="1"/>
    <s v="Performance"/>
    <s v="Cartera"/>
    <d v="2025-12-31T00:00:00"/>
    <n v="10800"/>
    <n v="4322.1091447500003"/>
    <x v="0"/>
    <x v="0"/>
  </r>
  <r>
    <m/>
    <d v="2025-12-02T00:00:00"/>
    <m/>
    <s v="2024/RQLC/1206/0006/R1"/>
    <s v="GABRIEL ENERGIA SL.-B01591395"/>
    <s v="AON"/>
    <s v="Accredited Insurance (Europe) Limited"/>
    <n v="9391.31"/>
    <n v="0.15"/>
    <n v="1620"/>
    <n v="1293.4191447499998"/>
    <n v="1408.69"/>
    <x v="1"/>
    <s v="Performance"/>
    <s v="Cartera"/>
    <d v="2025-12-31T00:00:00"/>
    <n v="10800"/>
    <n v="4322.1091447500003"/>
    <x v="0"/>
    <x v="0"/>
  </r>
  <r>
    <m/>
    <d v="2025-12-02T00:00:00"/>
    <m/>
    <s v="2024/RQLC/1206/0001/R1"/>
    <s v="FRESNO SOSTENIBLE SL.-B67959338"/>
    <s v="AON"/>
    <s v="Accredited Insurance (Europe) Limited"/>
    <n v="20869.580000000002"/>
    <n v="0.15"/>
    <n v="3600"/>
    <n v="2874.2654554999999"/>
    <n v="3130.42"/>
    <x v="1"/>
    <s v="Performance"/>
    <s v="Cartera"/>
    <d v="2025-12-31T00:00:00"/>
    <n v="24000"/>
    <n v="9604.6854554999991"/>
    <x v="0"/>
    <x v="0"/>
  </r>
  <r>
    <m/>
    <d v="2025-12-27T00:00:00"/>
    <m/>
    <s v="2021/RQLC/0878/0003/R4"/>
    <s v="HERCULES SERVICIOS GENERALES DE INTEGRACION SL-B51025591"/>
    <s v="ORES"/>
    <s v="Accredited Insurance (Europe) Limited"/>
    <n v="152.61000000000001"/>
    <n v="0.17499999999999999"/>
    <n v="30.712499999999999"/>
    <n v="16.630937250000002"/>
    <n v="22.89"/>
    <x v="1"/>
    <s v="Performance"/>
    <s v="Cartera"/>
    <d v="2025-12-31T00:00:00"/>
    <n v="175.5"/>
    <n v="70.233437250000009"/>
    <x v="0"/>
    <x v="0"/>
  </r>
  <r>
    <m/>
    <d v="2025-12-02T00:00:00"/>
    <m/>
    <s v="2019/RQLC/0251/0002/R6"/>
    <s v="WAKEFUL SL-B66322421"/>
    <s v="ORES"/>
    <s v="Accredited Insurance (Europe) Limited"/>
    <n v="86.96"/>
    <n v="0.17499999999999999"/>
    <n v="17.5"/>
    <n v="9.4771659999999969"/>
    <n v="13.04"/>
    <x v="1"/>
    <s v="Performance"/>
    <s v="Cartera"/>
    <d v="2025-12-31T00:00:00"/>
    <n v="100"/>
    <n v="40.017165999999996"/>
    <x v="0"/>
    <x v="0"/>
  </r>
  <r>
    <m/>
    <d v="2026-01-21T00:00:00"/>
    <m/>
    <s v="2018/RQLC/0048/0015/R7"/>
    <s v="PROYECTOS Y MONTAJES INGEMONT SA-A91614263"/>
    <s v="ORES"/>
    <s v="Accredited Insurance (Europe) Limited"/>
    <n v="86.96"/>
    <n v="0.17499999999999999"/>
    <n v="17.5"/>
    <n v="9.6510859999999994"/>
    <n v="13.04"/>
    <x v="1"/>
    <s v="Performance"/>
    <s v="Cartera"/>
    <d v="2026-01-31T00:00:00"/>
    <n v="100"/>
    <n v="40.191085999999999"/>
    <x v="1"/>
    <x v="1"/>
  </r>
  <r>
    <m/>
    <d v="2026-01-18T00:00:00"/>
    <m/>
    <s v="2022/RQLC/0989/0014/R2"/>
    <s v="GRANATA GREEN FV I, S.L.-B67824078"/>
    <s v="WILLIS"/>
    <s v="Accredited Insurance (Europe) Limited"/>
    <n v="2272.6999999999998"/>
    <n v="0.14000000000000001"/>
    <n v="365.904"/>
    <n v="343.68975750000004"/>
    <n v="340.9"/>
    <x v="1"/>
    <s v="Performance"/>
    <s v="Cartera"/>
    <d v="2026-01-31T00:00:00"/>
    <n v="2613.6"/>
    <n v="1050.4937574999999"/>
    <x v="1"/>
    <x v="1"/>
  </r>
  <r>
    <m/>
    <d v="2026-01-21T00:00:00"/>
    <m/>
    <s v="2018/RQLC/0048/0016/R7"/>
    <s v="PROYECTOS Y MONTAJES INGEMONT SA-A91614263"/>
    <s v="ORES"/>
    <s v="Accredited Insurance (Europe) Limited"/>
    <n v="86.96"/>
    <n v="0.17499999999999999"/>
    <n v="17.5"/>
    <n v="9.6510859999999994"/>
    <n v="13.04"/>
    <x v="1"/>
    <s v="Performance"/>
    <s v="Cartera"/>
    <d v="2026-01-31T00:00:00"/>
    <n v="100"/>
    <n v="40.191085999999999"/>
    <x v="1"/>
    <x v="1"/>
  </r>
  <r>
    <m/>
    <d v="2026-01-01T00:00:00"/>
    <m/>
    <s v="2021/RQLC/0892/0003/R4"/>
    <s v="HAZAPIERNA EL CASTILLAR-B88472600"/>
    <s v="RASHER"/>
    <s v="Accredited Insurance (Europe) Limited"/>
    <n v="26086.959999999999"/>
    <n v="0.14000000000000001"/>
    <n v="4200"/>
    <n v="3945.0010860000002"/>
    <n v="3913.04"/>
    <x v="1"/>
    <s v="Performance"/>
    <s v="Cartera"/>
    <d v="2026-01-31T00:00:00"/>
    <n v="30000"/>
    <n v="12058.041086000001"/>
    <x v="1"/>
    <x v="1"/>
  </r>
  <r>
    <m/>
    <d v="2026-01-20T00:00:00"/>
    <m/>
    <s v="2019/RQLC/0280/0006/R6"/>
    <s v="GCL CASTILLA FOTOVOLTAICA ENERGÍA SL-B88288170"/>
    <s v="ORES"/>
    <s v="Accredited Insurance (Europe) Limited"/>
    <n v="40000"/>
    <n v="0.17499999999999999"/>
    <n v="8049.9999999999991"/>
    <n v="4439.0000000000027"/>
    <n v="6000"/>
    <x v="1"/>
    <s v="Performance"/>
    <s v="Cartera"/>
    <d v="2026-01-31T00:00:00"/>
    <n v="46000"/>
    <n v="18489"/>
    <x v="1"/>
    <x v="1"/>
  </r>
  <r>
    <m/>
    <d v="2026-01-29T00:00:00"/>
    <m/>
    <s v="2019/RQLC/0458/0054/R2"/>
    <s v="ATHISA MEDIO AMBIENTE, S.A.U.-A18485516"/>
    <s v="ORES"/>
    <s v="Accredited Insurance (Europe) Limited"/>
    <n v="222.7"/>
    <n v="0.17499999999999999"/>
    <n v="44.817499999999988"/>
    <n v="24.71500750000002"/>
    <n v="33.4"/>
    <x v="1"/>
    <s v="Performance"/>
    <s v="Cartera"/>
    <d v="2026-01-31T00:00:00"/>
    <n v="256.09999999999997"/>
    <n v="102.93250750000001"/>
    <x v="1"/>
    <x v="1"/>
  </r>
  <r>
    <m/>
    <d v="2026-01-01T00:00:00"/>
    <m/>
    <s v="2021/RQLC/0901/0003/R4"/>
    <s v="LA ENCANTADA LA RAMBLA-B01635606"/>
    <s v="RASHER"/>
    <s v="Accredited Insurance (Europe) Limited"/>
    <n v="23478.26"/>
    <n v="0.14000000000000001"/>
    <n v="3780.0000000000005"/>
    <n v="3550.4997284999995"/>
    <n v="3521.74"/>
    <x v="1"/>
    <s v="Performance"/>
    <s v="Cartera"/>
    <d v="2026-01-31T00:00:00"/>
    <n v="27000"/>
    <n v="10852.239728500001"/>
    <x v="1"/>
    <x v="1"/>
  </r>
  <r>
    <m/>
    <d v="2026-01-02T00:00:00"/>
    <m/>
    <s v="2022/RQLC/1008/0010/R1"/>
    <s v="WESTOVER CORPORATE GROUP SL.-B05334966"/>
    <s v="AON"/>
    <s v="Accredited Insurance (Europe) Limited"/>
    <n v="15217.41"/>
    <n v="0.15"/>
    <n v="2625.0014999999999"/>
    <n v="2126.2543372500008"/>
    <n v="2282.6"/>
    <x v="1"/>
    <s v="Performance"/>
    <s v="Cartera"/>
    <d v="2026-01-31T00:00:00"/>
    <n v="17500.009999999998"/>
    <n v="7033.8558372500011"/>
    <x v="1"/>
    <x v="1"/>
  </r>
  <r>
    <m/>
    <d v="2026-01-03T00:00:00"/>
    <m/>
    <s v="2018/RQLC/0175/0001/R7"/>
    <s v="VIDEOJUEGOS SL-B59091108"/>
    <s v="DIAGONAL"/>
    <s v="Accredited Insurance (Europe) Limited"/>
    <n v="391.3"/>
    <n v="0.13500000000000001"/>
    <n v="60.750000000000007"/>
    <n v="61.423642500000007"/>
    <n v="58.7"/>
    <x v="1"/>
    <s v="Performance"/>
    <s v="Cartera"/>
    <d v="2026-01-31T00:00:00"/>
    <n v="450"/>
    <n v="180.87364250000002"/>
    <x v="1"/>
    <x v="1"/>
  </r>
  <r>
    <m/>
    <d v="2026-01-17T00:00:00"/>
    <m/>
    <s v="2019/RQLC/0458/0053/R2"/>
    <s v="ATHISA MEDIO AMBIENTE, S.A.U.-A18485516"/>
    <s v="ORES"/>
    <s v="Accredited Insurance (Europe) Limited"/>
    <n v="173.91"/>
    <n v="0.17499999999999999"/>
    <n v="35"/>
    <n v="19.299049750000002"/>
    <n v="26.09"/>
    <x v="1"/>
    <s v="Performance"/>
    <s v="Cartera"/>
    <d v="2026-01-31T00:00:00"/>
    <n v="200"/>
    <n v="80.389049749999998"/>
    <x v="1"/>
    <x v="1"/>
  </r>
  <r>
    <m/>
    <d v="2026-01-01T00:00:00"/>
    <m/>
    <s v="2021/RQLC/0892/0002/R4"/>
    <s v="HAZAPIERNA EL CASTILLAR-B88472600"/>
    <s v="RASHER"/>
    <s v="Accredited Insurance (Europe) Limited"/>
    <n v="15652.17"/>
    <n v="0.14000000000000001"/>
    <n v="2520.0000000000005"/>
    <n v="2366.9987782499998"/>
    <n v="2347.83"/>
    <x v="1"/>
    <s v="Performance"/>
    <s v="Cartera"/>
    <d v="2026-01-31T00:00:00"/>
    <n v="18000"/>
    <n v="7234.8287782500001"/>
    <x v="1"/>
    <x v="1"/>
  </r>
  <r>
    <m/>
    <d v="2026-01-01T00:00:00"/>
    <m/>
    <s v="2021/RQLC/0900/0002/R4"/>
    <s v="LEO PEREGILES-B01623198"/>
    <s v="RASHER"/>
    <s v="Accredited Insurance (Europe) Limited"/>
    <n v="14086.96"/>
    <n v="0.14000000000000001"/>
    <n v="2268"/>
    <n v="2130.3010860000004"/>
    <n v="2113.04"/>
    <x v="1"/>
    <s v="Performance"/>
    <s v="Cartera"/>
    <d v="2026-01-31T00:00:00"/>
    <n v="16200"/>
    <n v="6511.3410860000004"/>
    <x v="1"/>
    <x v="1"/>
  </r>
  <r>
    <m/>
    <d v="2026-01-15T00:00:00"/>
    <m/>
    <s v="2019/RQLC/0458/0052/R2"/>
    <s v="ATHISA MEDIO AMBIENTE, S.A.U.-A18485516"/>
    <s v="ORES"/>
    <s v="Accredited Insurance (Europe) Limited"/>
    <n v="173.91"/>
    <n v="0.17499999999999999"/>
    <n v="35"/>
    <n v="19.299049750000002"/>
    <n v="26.09"/>
    <x v="1"/>
    <s v="Performance"/>
    <s v="Cartera"/>
    <d v="2026-01-31T00:00:00"/>
    <n v="200"/>
    <n v="80.389049749999998"/>
    <x v="1"/>
    <x v="1"/>
  </r>
  <r>
    <m/>
    <d v="2026-01-30T00:00:00"/>
    <m/>
    <s v="2025/RQLC/1292/0001/R1"/>
    <s v="CONSTRUCCIONES APLIBUR SL.-B09588740"/>
    <s v="ORES"/>
    <s v="Accredited Insurance (Europe) Limited"/>
    <n v="173.91"/>
    <n v="0.17499999999999999"/>
    <n v="35"/>
    <n v="19.299049750000002"/>
    <n v="26.09"/>
    <x v="1"/>
    <s v="Performance"/>
    <s v="Cartera"/>
    <d v="2026-01-31T00:00:00"/>
    <n v="200"/>
    <n v="80.389049749999998"/>
    <x v="1"/>
    <x v="1"/>
  </r>
  <r>
    <m/>
    <d v="2026-01-01T00:00:00"/>
    <m/>
    <s v="2021/RQLC/0901/0004/R4"/>
    <s v="LA ENCANTADA LA RAMBLA-B01635606"/>
    <s v="RASHER"/>
    <s v="Accredited Insurance (Europe) Limited"/>
    <n v="4173.91"/>
    <n v="0.14000000000000001"/>
    <n v="672.00000000000011"/>
    <n v="631.19904974999997"/>
    <n v="626.09"/>
    <x v="1"/>
    <s v="Performance"/>
    <s v="Cartera"/>
    <d v="2026-01-31T00:00:00"/>
    <n v="4800"/>
    <n v="1929.2890497500002"/>
    <x v="1"/>
    <x v="1"/>
  </r>
  <r>
    <m/>
    <d v="2026-01-01T00:00:00"/>
    <m/>
    <s v="2021/RQLC/0901/0002/R4"/>
    <s v="LA ENCANTADA LA RAMBLA-B01635606"/>
    <s v="RASHER"/>
    <s v="Accredited Insurance (Europe) Limited"/>
    <n v="14086.96"/>
    <n v="0.14000000000000001"/>
    <n v="2268"/>
    <n v="2130.3010860000004"/>
    <n v="2113.04"/>
    <x v="1"/>
    <s v="Performance"/>
    <s v="Cartera"/>
    <d v="2026-01-31T00:00:00"/>
    <n v="16200"/>
    <n v="6511.3410860000004"/>
    <x v="1"/>
    <x v="1"/>
  </r>
  <r>
    <m/>
    <d v="2026-01-01T00:00:00"/>
    <m/>
    <s v="2021/RQLC/0894/0003/R4"/>
    <s v="LAUSIA MAREAS I-B01584143"/>
    <s v="RASHER"/>
    <s v="Accredited Insurance (Europe) Limited"/>
    <n v="23478.26"/>
    <n v="0.14000000000000001"/>
    <n v="3780.0000000000005"/>
    <n v="3550.4997284999995"/>
    <n v="3521.74"/>
    <x v="1"/>
    <s v="Performance"/>
    <s v="Cartera"/>
    <d v="2026-01-31T00:00:00"/>
    <n v="27000"/>
    <n v="10852.239728500001"/>
    <x v="1"/>
    <x v="1"/>
  </r>
  <r>
    <m/>
    <d v="2026-01-01T00:00:00"/>
    <m/>
    <s v="2021/RQLC/0898/0003/R4"/>
    <s v="CASSIOPEA LANTUENO-B88645056"/>
    <s v="RASHER"/>
    <s v="Accredited Insurance (Europe) Limited"/>
    <n v="23478.26"/>
    <n v="0.14000000000000001"/>
    <n v="3780.0000000000005"/>
    <n v="3550.4997284999995"/>
    <n v="3521.74"/>
    <x v="1"/>
    <s v="Performance"/>
    <s v="Cartera"/>
    <d v="2026-01-31T00:00:00"/>
    <n v="27000"/>
    <n v="10852.239728500001"/>
    <x v="1"/>
    <x v="1"/>
  </r>
  <r>
    <m/>
    <d v="2026-01-01T00:00:00"/>
    <m/>
    <s v="2021/RQLC/0891/0002/R4"/>
    <s v="LA RASA ENERGY SLU-B74451436"/>
    <s v="RASHER"/>
    <s v="Accredited Insurance (Europe) Limited"/>
    <n v="15652.17"/>
    <n v="0.14000000000000001"/>
    <n v="2520.0000000000005"/>
    <n v="2366.9987782499998"/>
    <n v="2347.83"/>
    <x v="1"/>
    <s v="Performance"/>
    <s v="Cartera"/>
    <d v="2026-01-31T00:00:00"/>
    <n v="18000"/>
    <n v="7234.8287782500001"/>
    <x v="1"/>
    <x v="1"/>
  </r>
  <r>
    <m/>
    <d v="2026-01-30T00:00:00"/>
    <m/>
    <s v="2024/RQLC/1170/0010/R1"/>
    <s v="MODUS SOLAR SPAIN SL.-B87781449"/>
    <s v="WILLIS"/>
    <s v="Accredited Insurance (Europe) Limited"/>
    <n v="5019.83"/>
    <n v="0.14000000000000001"/>
    <n v="808.19200000000012"/>
    <n v="759.1244217499999"/>
    <n v="752.97"/>
    <x v="1"/>
    <s v="Performance"/>
    <s v="Cartera"/>
    <d v="2026-01-31T00:00:00"/>
    <n v="5772.8"/>
    <n v="2320.28642175"/>
    <x v="1"/>
    <x v="1"/>
  </r>
  <r>
    <m/>
    <d v="2026-01-01T00:00:00"/>
    <m/>
    <s v="2021/RQLC/0897/0002/R4"/>
    <s v="BRAÑADESELLA PRADERAS ALTAS-B88632302"/>
    <s v="RASHER"/>
    <s v="Accredited Insurance (Europe) Limited"/>
    <n v="14086.96"/>
    <n v="0.14000000000000001"/>
    <n v="2268"/>
    <n v="2130.3010860000004"/>
    <n v="2113.04"/>
    <x v="1"/>
    <s v="Performance"/>
    <s v="Cartera"/>
    <d v="2026-01-31T00:00:00"/>
    <n v="16200"/>
    <n v="6511.3410860000004"/>
    <x v="1"/>
    <x v="1"/>
  </r>
  <r>
    <m/>
    <d v="2026-01-01T00:00:00"/>
    <m/>
    <s v="2021/RQLC/0893/0003/R4"/>
    <s v="TURKANA PEDRECHA-B88504741"/>
    <s v="RASHER"/>
    <s v="Accredited Insurance (Europe) Limited"/>
    <n v="23478.26"/>
    <n v="0.14000000000000001"/>
    <n v="3780.0000000000005"/>
    <n v="3550.4997284999995"/>
    <n v="3521.74"/>
    <x v="1"/>
    <s v="Performance"/>
    <s v="Cartera"/>
    <d v="2026-01-31T00:00:00"/>
    <n v="27000"/>
    <n v="10852.239728500001"/>
    <x v="1"/>
    <x v="1"/>
  </r>
  <r>
    <m/>
    <d v="2026-01-01T00:00:00"/>
    <m/>
    <s v="2021/RQLC/0893/0002/R4"/>
    <s v="TURKANA PEDRECHA-B88504741"/>
    <s v="RASHER"/>
    <s v="Accredited Insurance (Europe) Limited"/>
    <n v="14086.96"/>
    <n v="0.14000000000000001"/>
    <n v="2268"/>
    <n v="2130.3010860000004"/>
    <n v="2113.04"/>
    <x v="1"/>
    <s v="Performance"/>
    <s v="Cartera"/>
    <d v="2026-01-31T00:00:00"/>
    <n v="16200"/>
    <n v="6511.3410860000004"/>
    <x v="1"/>
    <x v="1"/>
  </r>
  <r>
    <m/>
    <d v="2026-01-01T00:00:00"/>
    <m/>
    <s v="2021/RQLC/0899/0003/R4"/>
    <s v="PICO LIEBRES CABEZUELAS-B01623206"/>
    <s v="RASHER"/>
    <s v="Accredited Insurance (Europe) Limited"/>
    <n v="23478.26"/>
    <n v="0.14000000000000001"/>
    <n v="3780.0000000000005"/>
    <n v="3550.4997284999995"/>
    <n v="3521.74"/>
    <x v="1"/>
    <s v="Performance"/>
    <s v="Cartera"/>
    <d v="2026-01-31T00:00:00"/>
    <n v="27000"/>
    <n v="10852.239728500001"/>
    <x v="1"/>
    <x v="1"/>
  </r>
  <r>
    <m/>
    <d v="2026-01-01T00:00:00"/>
    <m/>
    <s v="2021/RQLC/0894/0002/R4"/>
    <s v="LAUSIA MAREAS I-B01584143"/>
    <s v="RASHER"/>
    <s v="Accredited Insurance (Europe) Limited"/>
    <n v="14086.96"/>
    <n v="0.14000000000000001"/>
    <n v="2268"/>
    <n v="2130.3010860000004"/>
    <n v="2113.04"/>
    <x v="1"/>
    <s v="Performance"/>
    <s v="Cartera"/>
    <d v="2026-01-31T00:00:00"/>
    <n v="16200"/>
    <n v="6511.3410860000004"/>
    <x v="1"/>
    <x v="1"/>
  </r>
  <r>
    <m/>
    <d v="2026-01-25T00:00:00"/>
    <m/>
    <s v="2019/RQLC/0209/0001/R7"/>
    <s v="HERYSAN 2007 SL-B92861152"/>
    <s v="ORES"/>
    <s v="Accredited Insurance (Europe) Limited"/>
    <n v="86.96"/>
    <n v="0.17499999999999999"/>
    <n v="17.5"/>
    <n v="9.6510859999999994"/>
    <n v="13.04"/>
    <x v="1"/>
    <s v="Performance"/>
    <s v="Cartera"/>
    <d v="2026-01-31T00:00:00"/>
    <n v="100"/>
    <n v="40.191085999999999"/>
    <x v="1"/>
    <x v="1"/>
  </r>
  <r>
    <m/>
    <d v="2026-01-15T00:00:00"/>
    <m/>
    <s v="2018/RQLC/0146/0001/R7"/>
    <s v="FEDERMAN GLOBAL WORK ETT-A64778061"/>
    <s v="ORES"/>
    <s v="Accredited Insurance (Europe) Limited"/>
    <n v="1490.87"/>
    <n v="0.17499999999999999"/>
    <n v="300.03749999999997"/>
    <n v="165.44938575000003"/>
    <n v="223.63"/>
    <x v="1"/>
    <s v="Performance"/>
    <s v="Cartera"/>
    <d v="2026-01-31T00:00:00"/>
    <n v="1714.5"/>
    <n v="689.11688574999994"/>
    <x v="1"/>
    <x v="1"/>
  </r>
  <r>
    <m/>
    <d v="2026-01-01T00:00:00"/>
    <m/>
    <s v="2021/RQLC/0899/0002/R4"/>
    <s v="PICO LIEBRES CABEZUELAS-B01623206"/>
    <s v="RASHER"/>
    <s v="Accredited Insurance (Europe) Limited"/>
    <n v="14086.96"/>
    <n v="0.14000000000000001"/>
    <n v="2268"/>
    <n v="2130.3010860000004"/>
    <n v="2113.04"/>
    <x v="1"/>
    <s v="Performance"/>
    <s v="Cartera"/>
    <d v="2026-01-31T00:00:00"/>
    <n v="16200"/>
    <n v="6511.3410860000004"/>
    <x v="1"/>
    <x v="1"/>
  </r>
  <r>
    <m/>
    <d v="2026-01-07T00:00:00"/>
    <m/>
    <s v="2020/RQLC/0514/0001/R6"/>
    <s v="ACCEDA SERVICIOS Y SOLUCIONES INTEGRALES SL.-B90226671"/>
    <s v="ii-BROKER"/>
    <s v="Accredited Insurance (Europe) Limited"/>
    <n v="173.91"/>
    <n v="0.15"/>
    <n v="30"/>
    <n v="24.299049750000002"/>
    <n v="26.09"/>
    <x v="1"/>
    <s v="Performance"/>
    <s v="Cartera"/>
    <d v="2026-01-31T00:00:00"/>
    <n v="200"/>
    <n v="80.389049749999998"/>
    <x v="1"/>
    <x v="1"/>
  </r>
  <r>
    <m/>
    <d v="2026-01-01T00:00:00"/>
    <m/>
    <s v="2021/RQLC/0891/0003/R4"/>
    <s v="LA RASA ENERGY SLU-B74451436"/>
    <s v="RASHER"/>
    <s v="Accredited Insurance (Europe) Limited"/>
    <n v="26086.959999999999"/>
    <n v="0.14000000000000001"/>
    <n v="4200"/>
    <n v="3945.0010860000002"/>
    <n v="3913.04"/>
    <x v="1"/>
    <s v="Performance"/>
    <s v="Cartera"/>
    <d v="2026-01-31T00:00:00"/>
    <n v="30000"/>
    <n v="12058.041086000001"/>
    <x v="1"/>
    <x v="1"/>
  </r>
  <r>
    <m/>
    <d v="2026-01-29T00:00:00"/>
    <m/>
    <s v="2018/RQLC/0051/0002/R7"/>
    <s v="MERSANT VIGILANCIA SOCIEDAD LIMITADA.-B90229790"/>
    <s v="ORES"/>
    <s v="Accredited Insurance (Europe) Limited"/>
    <n v="419.95"/>
    <n v="0.17499999999999999"/>
    <n v="84.514499999999998"/>
    <n v="46.604388749999998"/>
    <n v="62.99"/>
    <x v="1"/>
    <s v="Performance"/>
    <s v="Cartera"/>
    <d v="2026-01-31T00:00:00"/>
    <n v="482.94"/>
    <n v="194.10888875000001"/>
    <x v="1"/>
    <x v="1"/>
  </r>
  <r>
    <m/>
    <d v="2026-01-02T00:00:00"/>
    <m/>
    <s v="2022/RQLC/1008/0011/R1"/>
    <s v="WESTOVER CORPORATE GROUP SL.-B05334966"/>
    <s v="AON"/>
    <s v="Accredited Insurance (Europe) Limited"/>
    <n v="7608.7"/>
    <n v="0.15"/>
    <n v="1312.5"/>
    <n v="1063.1263575000003"/>
    <n v="1141.3"/>
    <x v="1"/>
    <s v="Performance"/>
    <s v="Cartera"/>
    <d v="2026-01-31T00:00:00"/>
    <n v="8750"/>
    <n v="3516.9263575000004"/>
    <x v="1"/>
    <x v="1"/>
  </r>
  <r>
    <m/>
    <d v="2026-01-01T00:00:00"/>
    <m/>
    <s v="2021/RQLC/0900/0003/R4"/>
    <s v="LEO PEREGILES-B01623198"/>
    <s v="RASHER"/>
    <s v="Accredited Insurance (Europe) Limited"/>
    <n v="23478.26"/>
    <n v="0.14000000000000001"/>
    <n v="3780.0000000000005"/>
    <n v="3550.4997284999995"/>
    <n v="3521.74"/>
    <x v="1"/>
    <s v="Performance"/>
    <s v="Cartera"/>
    <d v="2026-01-31T00:00:00"/>
    <n v="27000"/>
    <n v="10852.239728500001"/>
    <x v="1"/>
    <x v="1"/>
  </r>
  <r>
    <m/>
    <d v="2026-01-01T00:00:00"/>
    <m/>
    <s v="2021/RQLC/0891/0005/R4"/>
    <s v="LA RASA ENERGY SLU-B74451436"/>
    <s v="RASHER"/>
    <s v="Accredited Insurance (Europe) Limited"/>
    <n v="15652.17"/>
    <n v="0.14000000000000001"/>
    <n v="2520.0000000000005"/>
    <n v="2366.9987782499998"/>
    <n v="2347.83"/>
    <x v="1"/>
    <s v="Performance"/>
    <s v="Cartera"/>
    <d v="2026-01-31T00:00:00"/>
    <n v="18000"/>
    <n v="7234.8287782500001"/>
    <x v="1"/>
    <x v="1"/>
  </r>
  <r>
    <m/>
    <d v="2026-01-01T00:00:00"/>
    <m/>
    <s v="2021/RQLC/0895/0002/R4"/>
    <s v="LA HERRADA MAREAS II-B88624754"/>
    <s v="RASHER"/>
    <s v="Accredited Insurance (Europe) Limited"/>
    <n v="14086.96"/>
    <n v="0.14000000000000001"/>
    <n v="2268"/>
    <n v="2130.3010860000004"/>
    <n v="2113.04"/>
    <x v="1"/>
    <s v="Performance"/>
    <s v="Cartera"/>
    <d v="2026-01-31T00:00:00"/>
    <n v="16200"/>
    <n v="6511.3410860000004"/>
    <x v="1"/>
    <x v="1"/>
  </r>
  <r>
    <m/>
    <d v="2026-01-01T00:00:00"/>
    <m/>
    <s v="2021/RQLC/0895/0003/R4"/>
    <s v="LA HERRADA MAREAS II-B88624754"/>
    <s v="RASHER"/>
    <s v="Accredited Insurance (Europe) Limited"/>
    <n v="23478.26"/>
    <n v="0.14000000000000001"/>
    <n v="3780.0000000000005"/>
    <n v="3550.4997284999995"/>
    <n v="3521.74"/>
    <x v="1"/>
    <s v="Performance"/>
    <s v="Cartera"/>
    <d v="2026-01-31T00:00:00"/>
    <n v="27000"/>
    <n v="10852.239728500001"/>
    <x v="1"/>
    <x v="1"/>
  </r>
  <r>
    <m/>
    <d v="2026-01-01T00:00:00"/>
    <m/>
    <s v="2021/RQLC/0896/0003/R4"/>
    <s v="PINAREJO I SAN CRISTÓBAL-B88627658"/>
    <s v="RASHER"/>
    <s v="Accredited Insurance (Europe) Limited"/>
    <n v="23478.26"/>
    <n v="0.14000000000000001"/>
    <n v="3780.0000000000005"/>
    <n v="3550.4997284999995"/>
    <n v="3521.74"/>
    <x v="1"/>
    <s v="Performance"/>
    <s v="Cartera"/>
    <d v="2026-01-31T00:00:00"/>
    <n v="27000"/>
    <n v="10852.239728500001"/>
    <x v="1"/>
    <x v="1"/>
  </r>
  <r>
    <m/>
    <d v="2026-01-01T00:00:00"/>
    <m/>
    <s v="2021/RQLC/0891/0006/R4"/>
    <s v="LA RASA ENERGY SLU-B74451436"/>
    <s v="RASHER"/>
    <s v="Accredited Insurance (Europe) Limited"/>
    <n v="26086.959999999999"/>
    <n v="0.14000000000000001"/>
    <n v="4200"/>
    <n v="3945.0010860000002"/>
    <n v="3913.04"/>
    <x v="1"/>
    <s v="Performance"/>
    <s v="Cartera"/>
    <d v="2026-01-31T00:00:00"/>
    <n v="30000"/>
    <n v="12058.041086000001"/>
    <x v="1"/>
    <x v="1"/>
  </r>
  <r>
    <m/>
    <d v="2026-01-01T00:00:00"/>
    <m/>
    <s v="2021/RQLC/0897/0003/R4"/>
    <s v="BRAÑADESELLA PRADERAS ALTAS-B88632302"/>
    <s v="RASHER"/>
    <s v="Accredited Insurance (Europe) Limited"/>
    <n v="23478.26"/>
    <n v="0.14000000000000001"/>
    <n v="3780.0000000000005"/>
    <n v="3550.4997284999995"/>
    <n v="3521.74"/>
    <x v="1"/>
    <s v="Performance"/>
    <s v="Cartera"/>
    <d v="2026-01-31T00:00:00"/>
    <n v="27000"/>
    <n v="10852.239728500001"/>
    <x v="1"/>
    <x v="1"/>
  </r>
  <r>
    <m/>
    <d v="2026-01-01T00:00:00"/>
    <m/>
    <s v="2021/RQLC/0899/0004/R4"/>
    <s v="PICO LIEBRES CABEZUELAS-B01623206"/>
    <s v="RASHER"/>
    <s v="Accredited Insurance (Europe) Limited"/>
    <n v="4173.91"/>
    <n v="0.14000000000000001"/>
    <n v="672.00000000000011"/>
    <n v="631.19904974999997"/>
    <n v="626.09"/>
    <x v="1"/>
    <s v="Performance"/>
    <s v="Cartera"/>
    <d v="2026-01-31T00:00:00"/>
    <n v="4800"/>
    <n v="1929.2890497500002"/>
    <x v="1"/>
    <x v="1"/>
  </r>
  <r>
    <m/>
    <d v="2026-01-01T00:00:00"/>
    <m/>
    <s v="2021/RQLC/0896/0002/R4"/>
    <s v="PINAREJO I SAN CRISTÓBAL-B88627658"/>
    <s v="RASHER"/>
    <s v="Accredited Insurance (Europe) Limited"/>
    <n v="14086.96"/>
    <n v="0.14000000000000001"/>
    <n v="2268"/>
    <n v="2130.3010860000004"/>
    <n v="2113.04"/>
    <x v="1"/>
    <s v="Performance"/>
    <s v="Cartera"/>
    <d v="2026-01-31T00:00:00"/>
    <n v="16200"/>
    <n v="6511.3410860000004"/>
    <x v="1"/>
    <x v="1"/>
  </r>
  <r>
    <m/>
    <d v="2026-01-01T00:00:00"/>
    <m/>
    <s v="2021/RQLC/0898/0002/R4"/>
    <s v="CASSIOPEA LANTUENO-B88645056"/>
    <s v="RASHER"/>
    <s v="Accredited Insurance (Europe) Limited"/>
    <n v="14086.96"/>
    <n v="0.14000000000000001"/>
    <n v="2268"/>
    <n v="2130.3010860000004"/>
    <n v="2113.04"/>
    <x v="1"/>
    <s v="Performance"/>
    <s v="Cartera"/>
    <d v="2026-01-31T00:00:00"/>
    <n v="16200"/>
    <n v="6511.3410860000004"/>
    <x v="1"/>
    <x v="1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  <r>
    <m/>
    <m/>
    <m/>
    <m/>
    <m/>
    <m/>
    <m/>
    <m/>
    <m/>
    <m/>
    <m/>
    <m/>
    <x v="2"/>
    <m/>
    <m/>
    <m/>
    <m/>
    <m/>
    <x v="1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E7A64-AFB3-4769-9B6A-95FC693F4A0E}" name="TablaDinámica5" cacheId="26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H15:K18" firstHeaderRow="0" firstDataRow="1" firstDataCol="1" rowPageCount="2" colPageCount="1"/>
  <pivotFields count="20"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6">
        <item x="1"/>
        <item m="1" x="3"/>
        <item x="2"/>
        <item m="1" x="4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axis="axisPage" compact="0" outline="0" multipleItemSelectionAllowed="1" showAll="0">
      <items count="14">
        <item x="1"/>
        <item h="1" x="7"/>
        <item h="1" x="6"/>
        <item h="1" x="10"/>
        <item h="1" x="11"/>
        <item h="1" x="2"/>
        <item h="1" x="5"/>
        <item h="1" x="8"/>
        <item h="1" x="9"/>
        <item h="1" x="12"/>
        <item h="1" x="3"/>
        <item h="1" x="4"/>
        <item h="1" x="0"/>
        <item t="default"/>
      </items>
    </pivotField>
    <pivotField axis="axisPage" compact="0" outline="0" multipleItemSelectionAllowed="1" showAll="0">
      <items count="11">
        <item h="1" x="7"/>
        <item h="1" x="6"/>
        <item h="1" x="5"/>
        <item h="1" x="2"/>
        <item h="1" x="4"/>
        <item h="1" x="3"/>
        <item h="1" x="0"/>
        <item h="1" x="8"/>
        <item x="1"/>
        <item h="1" m="1" x="9"/>
        <item t="default"/>
      </items>
    </pivotField>
  </pivotFields>
  <rowFields count="1">
    <field x="12"/>
  </rowFields>
  <rowItems count="3">
    <i>
      <x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9" hier="-1"/>
    <pageField fld="18" hier="-1"/>
  </pageFields>
  <dataFields count="3">
    <dataField name="Suma de Prima total _x000a_(Neta + Honorarios)" fld="16" baseField="0" baseItem="0"/>
    <dataField name="Suma de Comisión Bruta_x000a_(Cedida + Neta + Honorarios)" fld="17" baseField="0" baseItem="0"/>
    <dataField name="Suma de Comisión cedida €" fld="9" baseField="0" baseItem="0"/>
  </dataFields>
  <formats count="15">
    <format dxfId="13">
      <pivotArea outline="0" collapsedLevelsAreSubtotals="1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field="12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type="origin" dataOnly="0" labelOnly="1" outline="0" fieldPosition="0"/>
    </format>
    <format dxfId="18">
      <pivotArea outline="0" collapsedLevelsAreSubtotals="1" fieldPosition="0"/>
    </format>
    <format dxfId="19">
      <pivotArea field="18" type="button" dataOnly="0" labelOnly="1" outline="0" axis="axisPage" fieldPosition="1"/>
    </format>
    <format dxfId="20">
      <pivotArea type="topRight" dataOnly="0" labelOnly="1" outline="0" fieldPosition="0"/>
    </format>
    <format dxfId="21">
      <pivotArea dataOnly="0" labelOnly="1" grandCol="1" outline="0" fieldPosition="0"/>
    </format>
    <format dxfId="22">
      <pivotArea dataOnly="0" labelOnly="1" outline="0" fieldPosition="0">
        <references count="1">
          <reference field="19" count="0"/>
        </references>
      </pivotArea>
    </format>
    <format dxfId="23">
      <pivotArea dataOnly="0" labelOnly="1" outline="0" fieldPosition="0">
        <references count="1">
          <reference field="19" count="0"/>
        </references>
      </pivotArea>
    </format>
    <format dxfId="24">
      <pivotArea dataOnly="0" labelOnly="1" outline="0" fieldPosition="0">
        <references count="1">
          <reference field="19" count="0"/>
        </references>
      </pivotArea>
    </format>
    <format dxfId="25">
      <pivotArea dataOnly="0" labelOnly="1" outline="0" fieldPosition="0">
        <references count="1">
          <reference field="19" count="0"/>
        </references>
      </pivotArea>
    </format>
    <format dxfId="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1CF84-901E-425C-9966-67D1D9C6C798}" name="TablaDinámica12" cacheId="26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4:D7" firstHeaderRow="0" firstDataRow="1" firstDataCol="1" rowPageCount="2" colPageCount="1"/>
  <pivotFields count="20"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6">
        <item x="1"/>
        <item m="1" x="3"/>
        <item x="2"/>
        <item m="1" x="4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axis="axisPage" compact="0" outline="0" multipleItemSelectionAllowed="1" showAll="0">
      <items count="14">
        <item x="1"/>
        <item x="7"/>
        <item h="1" x="6"/>
        <item h="1" x="10"/>
        <item h="1" x="11"/>
        <item h="1" x="2"/>
        <item h="1" x="5"/>
        <item h="1" x="8"/>
        <item h="1" x="9"/>
        <item h="1" x="12"/>
        <item h="1" x="3"/>
        <item h="1" x="4"/>
        <item h="1" x="0"/>
        <item t="default"/>
      </items>
    </pivotField>
    <pivotField axis="axisPage" compact="0" outline="0" multipleItemSelectionAllowed="1" showAll="0">
      <items count="11">
        <item h="1" x="7"/>
        <item h="1" x="6"/>
        <item h="1" x="5"/>
        <item h="1" x="2"/>
        <item h="1" x="4"/>
        <item h="1" x="3"/>
        <item h="1" x="0"/>
        <item h="1" x="8"/>
        <item x="1"/>
        <item h="1" m="1" x="9"/>
        <item t="default"/>
      </items>
    </pivotField>
  </pivotFields>
  <rowFields count="1">
    <field x="12"/>
  </rowFields>
  <rowItems count="3">
    <i>
      <x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9" hier="-1"/>
    <pageField fld="18" hier="-1"/>
  </pageFields>
  <dataFields count="3">
    <dataField name="Suma de Prima total _x000a_(Neta + Honorarios)" fld="16" baseField="0" baseItem="0"/>
    <dataField name="Suma de Comisión Bruta_x000a_(Cedida + Neta + Honorarios)" fld="17" baseField="0" baseItem="0"/>
    <dataField name="Suma de Comisión cedida €" fld="9" baseField="0" baseItem="0"/>
  </dataFields>
  <formats count="13">
    <format dxfId="0">
      <pivotArea outline="0" collapsedLevelsAreSubtotals="1" fieldPosition="0"/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field="12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type="origin" dataOnly="0" labelOnly="1" outline="0" fieldPosition="0"/>
    </format>
    <format dxfId="5">
      <pivotArea outline="0" collapsedLevelsAreSubtotals="1" fieldPosition="0"/>
    </format>
    <format dxfId="6">
      <pivotArea field="18" type="button" dataOnly="0" labelOnly="1" outline="0" axis="axisPage" fieldPosition="1"/>
    </format>
    <format dxfId="7">
      <pivotArea type="topRight" dataOnly="0" labelOnly="1" outline="0" fieldPosition="0"/>
    </format>
    <format dxfId="8">
      <pivotArea dataOnly="0" labelOnly="1" grandCol="1" outline="0" fieldPosition="0"/>
    </format>
    <format dxfId="9">
      <pivotArea dataOnly="0" labelOnly="1" outline="0" fieldPosition="0">
        <references count="1">
          <reference field="19" count="0"/>
        </references>
      </pivotArea>
    </format>
    <format dxfId="10">
      <pivotArea dataOnly="0" labelOnly="1" outline="0" fieldPosition="0">
        <references count="1">
          <reference field="19" count="0"/>
        </references>
      </pivotArea>
    </format>
    <format dxfId="11">
      <pivotArea dataOnly="0" labelOnly="1" outline="0" fieldPosition="0">
        <references count="1">
          <reference field="19" count="0"/>
        </references>
      </pivotArea>
    </format>
    <format dxfId="12">
      <pivotArea dataOnly="0" labelOnly="1" outline="0" fieldPosition="0">
        <references count="1">
          <reference field="1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C29EF-67D9-4868-B374-58C8A53B8933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C6" firstHeaderRow="0" firstDataRow="1" firstDataCol="0" rowPageCount="3" colPageCount="1"/>
  <pivotFields count="21">
    <pivotField numFmtId="14" showAll="0"/>
    <pivotField numFmtId="14" showAll="0"/>
    <pivotField numFmtId="14" showAll="0"/>
    <pivotField showAll="0"/>
    <pivotField showAll="0"/>
    <pivotField showAll="0"/>
    <pivotField showAll="0"/>
    <pivotField numFmtId="4" showAll="0"/>
    <pivotField numFmtId="10" showAll="0"/>
    <pivotField dataField="1" numFmtId="4" showAll="0"/>
    <pivotField numFmtId="4" showAll="0"/>
    <pivotField numFmtId="4" showAll="0"/>
    <pivotField showAll="0"/>
    <pivotField showAll="0"/>
    <pivotField showAll="0"/>
    <pivotField numFmtId="14" showAll="0"/>
    <pivotField dataField="1" showAll="0"/>
    <pivotField dataField="1" showAll="0"/>
    <pivotField axis="axisPage" multipleItemSelectionAllowed="1" showAll="0">
      <items count="8">
        <item x="1"/>
        <item x="2"/>
        <item x="5"/>
        <item x="3"/>
        <item x="4"/>
        <item x="0"/>
        <item x="6"/>
        <item t="default"/>
      </items>
    </pivotField>
    <pivotField axis="axisPage" multipleItemSelectionAllowed="1" showAll="0">
      <items count="5">
        <item x="2"/>
        <item x="0"/>
        <item x="1"/>
        <item x="3"/>
        <item t="default"/>
      </items>
    </pivotField>
    <pivotField axis="axisPage" multipleItemSelectionAllowed="1" showAll="0">
      <items count="4">
        <item x="0"/>
        <item x="1"/>
        <item h="1" x="2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3">
    <pageField fld="18" hier="-1"/>
    <pageField fld="19" hier="-1"/>
    <pageField fld="20" hier="-1"/>
  </pageFields>
  <dataFields count="3">
    <dataField name="Suma de Prima total _x000a_(Neta + Honorarios)" fld="16" baseField="0" baseItem="0"/>
    <dataField name="Suma de Comisión Bruta_x000a_(Cedida + Neta + Honorarios)" fld="17" baseField="0" baseItem="0"/>
    <dataField name="Suma de Comisión cedida €" fld="9" baseField="0" baseItem="0" numFmtId="4"/>
  </dataFields>
  <formats count="1"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36C1-6E45-4DEC-805B-00FAD73ED044}">
  <dimension ref="A1:L76"/>
  <sheetViews>
    <sheetView tabSelected="1" zoomScale="115" zoomScaleNormal="115" workbookViewId="0">
      <selection activeCell="D22" sqref="D22"/>
    </sheetView>
  </sheetViews>
  <sheetFormatPr baseColWidth="10" defaultColWidth="11.44140625" defaultRowHeight="14.4" x14ac:dyDescent="0.3"/>
  <cols>
    <col min="1" max="1" width="38.44140625" bestFit="1" customWidth="1"/>
    <col min="2" max="12" width="15.6640625" style="17" customWidth="1"/>
    <col min="13" max="13" width="13" bestFit="1" customWidth="1"/>
    <col min="14" max="14" width="12.5546875" bestFit="1" customWidth="1"/>
    <col min="15" max="15" width="16.33203125" customWidth="1"/>
    <col min="16" max="20" width="19" bestFit="1" customWidth="1"/>
    <col min="21" max="21" width="23.33203125" bestFit="1" customWidth="1"/>
    <col min="22" max="24" width="12.33203125" bestFit="1" customWidth="1"/>
    <col min="26" max="27" width="12.33203125" bestFit="1" customWidth="1"/>
    <col min="28" max="28" width="52.6640625" bestFit="1" customWidth="1"/>
    <col min="29" max="29" width="30" bestFit="1" customWidth="1"/>
    <col min="31" max="32" width="12.33203125" bestFit="1" customWidth="1"/>
    <col min="34" max="35" width="12.33203125" bestFit="1" customWidth="1"/>
    <col min="38" max="39" width="12.33203125" bestFit="1" customWidth="1"/>
    <col min="41" max="41" width="40.88671875" bestFit="1" customWidth="1"/>
    <col min="42" max="42" width="52.6640625" bestFit="1" customWidth="1"/>
    <col min="43" max="43" width="30" bestFit="1" customWidth="1"/>
    <col min="44" max="44" width="12.33203125" bestFit="1" customWidth="1"/>
    <col min="47" max="47" width="12.33203125" bestFit="1" customWidth="1"/>
    <col min="51" max="51" width="12.33203125" bestFit="1" customWidth="1"/>
    <col min="53" max="53" width="12.33203125" bestFit="1" customWidth="1"/>
    <col min="54" max="54" width="31.44140625" bestFit="1" customWidth="1"/>
    <col min="55" max="55" width="40.88671875" bestFit="1" customWidth="1"/>
    <col min="56" max="56" width="52.6640625" bestFit="1" customWidth="1"/>
    <col min="57" max="57" width="30" bestFit="1" customWidth="1"/>
    <col min="59" max="59" width="12.33203125" bestFit="1" customWidth="1"/>
    <col min="64" max="65" width="12.33203125" bestFit="1" customWidth="1"/>
    <col min="67" max="67" width="27.88671875" bestFit="1" customWidth="1"/>
    <col min="68" max="68" width="31.44140625" bestFit="1" customWidth="1"/>
    <col min="69" max="69" width="40.88671875" bestFit="1" customWidth="1"/>
    <col min="70" max="70" width="52.6640625" bestFit="1" customWidth="1"/>
    <col min="71" max="71" width="30" bestFit="1" customWidth="1"/>
    <col min="77" max="77" width="12.33203125" bestFit="1" customWidth="1"/>
    <col min="80" max="80" width="24.5546875" bestFit="1" customWidth="1"/>
    <col min="81" max="81" width="27.88671875" bestFit="1" customWidth="1"/>
    <col min="82" max="82" width="31.44140625" bestFit="1" customWidth="1"/>
    <col min="83" max="83" width="40.88671875" bestFit="1" customWidth="1"/>
    <col min="84" max="84" width="52.6640625" bestFit="1" customWidth="1"/>
    <col min="85" max="85" width="30" bestFit="1" customWidth="1"/>
  </cols>
  <sheetData>
    <row r="1" spans="1:12" x14ac:dyDescent="0.3">
      <c r="A1" s="14" t="s">
        <v>0</v>
      </c>
      <c r="B1" s="22">
        <v>2026</v>
      </c>
      <c r="F1"/>
      <c r="G1"/>
    </row>
    <row r="2" spans="1:12" x14ac:dyDescent="0.3">
      <c r="A2" s="35" t="s">
        <v>1</v>
      </c>
      <c r="B2" t="s">
        <v>18</v>
      </c>
      <c r="F2"/>
      <c r="G2"/>
    </row>
    <row r="3" spans="1:12" x14ac:dyDescent="0.3">
      <c r="A3" s="58"/>
      <c r="F3"/>
      <c r="H3" s="17" t="s">
        <v>2</v>
      </c>
    </row>
    <row r="4" spans="1:12" ht="15" customHeight="1" x14ac:dyDescent="0.3">
      <c r="A4" s="15" t="s">
        <v>3</v>
      </c>
      <c r="B4" s="24" t="s">
        <v>4</v>
      </c>
      <c r="C4" s="17" t="s">
        <v>5</v>
      </c>
      <c r="D4" s="17" t="s">
        <v>6</v>
      </c>
      <c r="E4"/>
      <c r="F4"/>
      <c r="G4"/>
      <c r="H4" s="31" t="s">
        <v>7</v>
      </c>
      <c r="I4" s="32" t="s">
        <v>8</v>
      </c>
      <c r="J4" s="34" t="s">
        <v>9</v>
      </c>
      <c r="K4"/>
      <c r="L4"/>
    </row>
    <row r="5" spans="1:12" x14ac:dyDescent="0.3">
      <c r="A5" t="s">
        <v>10</v>
      </c>
      <c r="B5" s="18">
        <v>2613202.0293366984</v>
      </c>
      <c r="C5" s="18">
        <v>1048630.3223822948</v>
      </c>
      <c r="D5" s="18">
        <v>417696.80136306322</v>
      </c>
      <c r="E5"/>
      <c r="F5"/>
      <c r="G5"/>
      <c r="H5" t="s">
        <v>10</v>
      </c>
      <c r="I5" s="33"/>
      <c r="J5" s="29"/>
      <c r="K5"/>
      <c r="L5"/>
    </row>
    <row r="6" spans="1:12" x14ac:dyDescent="0.3">
      <c r="A6" t="s">
        <v>11</v>
      </c>
      <c r="B6" s="18">
        <v>1899.0400000000002</v>
      </c>
      <c r="C6" s="18">
        <v>743.60500000000002</v>
      </c>
      <c r="D6" s="18">
        <v>340.86500000000001</v>
      </c>
      <c r="E6"/>
      <c r="F6"/>
      <c r="G6"/>
      <c r="H6" t="s">
        <v>11</v>
      </c>
      <c r="I6" s="33"/>
      <c r="J6" s="29"/>
      <c r="K6"/>
      <c r="L6"/>
    </row>
    <row r="7" spans="1:12" x14ac:dyDescent="0.3">
      <c r="A7" t="s">
        <v>12</v>
      </c>
      <c r="B7" s="18">
        <v>2615101.0693366984</v>
      </c>
      <c r="C7" s="18">
        <v>1049373.9273822948</v>
      </c>
      <c r="D7" s="18">
        <v>418037.66636306321</v>
      </c>
      <c r="E7"/>
      <c r="F7"/>
      <c r="G7"/>
      <c r="L7"/>
    </row>
    <row r="8" spans="1:12" x14ac:dyDescent="0.3">
      <c r="B8"/>
      <c r="C8"/>
      <c r="D8"/>
      <c r="E8"/>
      <c r="F8"/>
      <c r="G8"/>
      <c r="L8"/>
    </row>
    <row r="9" spans="1:12" x14ac:dyDescent="0.3">
      <c r="B9"/>
      <c r="C9"/>
      <c r="D9"/>
      <c r="E9"/>
      <c r="F9"/>
      <c r="G9"/>
      <c r="L9"/>
    </row>
    <row r="10" spans="1:12" x14ac:dyDescent="0.3">
      <c r="B10" s="18"/>
      <c r="C10" s="18"/>
      <c r="D10" s="18"/>
      <c r="E10"/>
      <c r="F10"/>
      <c r="G10"/>
      <c r="L10"/>
    </row>
    <row r="11" spans="1:12" x14ac:dyDescent="0.3">
      <c r="B11"/>
      <c r="C11"/>
      <c r="D11"/>
      <c r="E11"/>
      <c r="F11"/>
      <c r="G11"/>
    </row>
    <row r="12" spans="1:12" ht="15.75" customHeight="1" x14ac:dyDescent="0.3">
      <c r="A12" t="s">
        <v>13</v>
      </c>
      <c r="F12"/>
      <c r="G12"/>
      <c r="H12" s="14" t="s">
        <v>0</v>
      </c>
      <c r="I12" s="22">
        <v>2026</v>
      </c>
      <c r="J12"/>
      <c r="K12"/>
      <c r="L12"/>
    </row>
    <row r="13" spans="1:12" ht="27.75" customHeight="1" x14ac:dyDescent="0.3">
      <c r="A13" s="25" t="s">
        <v>3</v>
      </c>
      <c r="B13" s="26" t="s">
        <v>4</v>
      </c>
      <c r="C13" s="27" t="s">
        <v>5</v>
      </c>
      <c r="D13" s="27" t="s">
        <v>6</v>
      </c>
      <c r="E13"/>
      <c r="F13"/>
      <c r="G13"/>
      <c r="H13" s="35" t="s">
        <v>1</v>
      </c>
      <c r="I13" s="11">
        <v>1</v>
      </c>
      <c r="L13"/>
    </row>
    <row r="14" spans="1:12" ht="15" customHeight="1" x14ac:dyDescent="0.3">
      <c r="B14" s="18">
        <v>1707483.9159615026</v>
      </c>
      <c r="C14" s="18">
        <v>685500.80407876521</v>
      </c>
      <c r="D14" s="18"/>
      <c r="E14"/>
      <c r="F14"/>
      <c r="G14"/>
      <c r="H14"/>
      <c r="L14"/>
    </row>
    <row r="15" spans="1:12" ht="18" customHeight="1" x14ac:dyDescent="0.3">
      <c r="B15" s="18">
        <v>1461.07</v>
      </c>
      <c r="C15" s="18">
        <v>572.01</v>
      </c>
      <c r="D15" s="18"/>
      <c r="E15"/>
      <c r="F15"/>
      <c r="G15"/>
      <c r="H15" s="15" t="s">
        <v>3</v>
      </c>
      <c r="I15" s="36" t="s">
        <v>4</v>
      </c>
      <c r="J15" s="17" t="s">
        <v>5</v>
      </c>
      <c r="K15" s="17" t="s">
        <v>6</v>
      </c>
      <c r="L15"/>
    </row>
    <row r="16" spans="1:12" x14ac:dyDescent="0.3">
      <c r="A16" s="23"/>
      <c r="B16" s="28">
        <f>SUM(B14:B15)</f>
        <v>1708944.9859615027</v>
      </c>
      <c r="C16" s="28">
        <f>SUM(C14:C15)</f>
        <v>686072.81407876522</v>
      </c>
      <c r="D16" s="28">
        <v>-273630.50133056298</v>
      </c>
      <c r="E16"/>
      <c r="F16"/>
      <c r="G16"/>
      <c r="H16" t="s">
        <v>10</v>
      </c>
      <c r="I16" s="18">
        <v>1793930.8659615023</v>
      </c>
      <c r="J16" s="18">
        <v>719395.84976603684</v>
      </c>
      <c r="K16" s="18">
        <v>288337.96683056303</v>
      </c>
      <c r="L16"/>
    </row>
    <row r="17" spans="1:12" x14ac:dyDescent="0.3">
      <c r="B17"/>
      <c r="C17"/>
      <c r="D17"/>
      <c r="E17"/>
      <c r="F17"/>
      <c r="G17"/>
      <c r="H17" t="s">
        <v>11</v>
      </c>
      <c r="I17" s="18">
        <v>1461.0700000000002</v>
      </c>
      <c r="J17" s="18">
        <v>572.005</v>
      </c>
      <c r="K17" s="18">
        <v>260.13499999999999</v>
      </c>
      <c r="L17"/>
    </row>
    <row r="18" spans="1:12" x14ac:dyDescent="0.3">
      <c r="A18" t="s">
        <v>14</v>
      </c>
      <c r="B18"/>
      <c r="C18"/>
      <c r="D18"/>
      <c r="E18"/>
      <c r="F18"/>
      <c r="G18"/>
      <c r="H18" t="s">
        <v>12</v>
      </c>
      <c r="I18" s="18">
        <v>1795391.9359615024</v>
      </c>
      <c r="J18" s="18">
        <v>719967.85476603685</v>
      </c>
      <c r="K18" s="18">
        <v>288598.10183056304</v>
      </c>
      <c r="L18"/>
    </row>
    <row r="19" spans="1:12" ht="22.5" customHeight="1" x14ac:dyDescent="0.3">
      <c r="A19" s="25" t="s">
        <v>3</v>
      </c>
      <c r="B19" s="26" t="s">
        <v>4</v>
      </c>
      <c r="C19" s="27" t="s">
        <v>5</v>
      </c>
      <c r="D19" s="27" t="s">
        <v>6</v>
      </c>
      <c r="E19"/>
      <c r="F19"/>
      <c r="G19"/>
      <c r="H19"/>
      <c r="I19"/>
      <c r="J19"/>
      <c r="K19"/>
      <c r="L19"/>
    </row>
    <row r="20" spans="1:12" x14ac:dyDescent="0.3">
      <c r="A20" t="s">
        <v>10</v>
      </c>
      <c r="B20" s="18">
        <f>+B5-B14</f>
        <v>905718.11337519577</v>
      </c>
      <c r="C20" s="18">
        <f>+C5-C14</f>
        <v>363129.51830352959</v>
      </c>
      <c r="D20" s="18"/>
      <c r="E20"/>
      <c r="F20"/>
      <c r="G20"/>
      <c r="H20" s="37" t="s">
        <v>15</v>
      </c>
      <c r="I20"/>
      <c r="J20"/>
      <c r="K20"/>
      <c r="L20"/>
    </row>
    <row r="21" spans="1:12" x14ac:dyDescent="0.3">
      <c r="A21" t="s">
        <v>11</v>
      </c>
      <c r="B21" s="18">
        <f>+B6-B15</f>
        <v>437.97000000000025</v>
      </c>
      <c r="C21" s="18">
        <f>+C6-C15</f>
        <v>171.59500000000003</v>
      </c>
      <c r="D21" s="18"/>
      <c r="E21"/>
      <c r="F21"/>
      <c r="G21"/>
      <c r="H21" t="s">
        <v>10</v>
      </c>
      <c r="I21" s="38">
        <f>IFERROR(VLOOKUP(H21,$A$4:$C$7,2,0),0)-IFERROR(VLOOKUP(H21,$H$15:$J$17,2,0),0)-IFERROR(VLOOKUP(H21,$H$4:$J$6,2,0),0)</f>
        <v>819271.16337519605</v>
      </c>
      <c r="J21" s="38">
        <f>IFERROR(VLOOKUP(H21,$A$4:$C$7,3,0),0)-IFERROR(VLOOKUP(H21,$H$15:$J$17,3,0),0)-IFERROR(VLOOKUP(H21,$H$4:$J$6,3,0),0)</f>
        <v>329234.47261625796</v>
      </c>
      <c r="K21"/>
      <c r="L21"/>
    </row>
    <row r="22" spans="1:12" x14ac:dyDescent="0.3">
      <c r="A22" s="23" t="s">
        <v>12</v>
      </c>
      <c r="B22" s="28">
        <f>SUM(B20:B21)</f>
        <v>906156.08337519574</v>
      </c>
      <c r="C22" s="28">
        <f t="shared" ref="C22" si="0">SUM(C20:C21)</f>
        <v>363301.11330352956</v>
      </c>
      <c r="D22" s="28">
        <f>-GETPIVOTDATA("Suma de Comisión cedida €",$A$4)-D16</f>
        <v>-144407.16503250023</v>
      </c>
      <c r="E22"/>
      <c r="F22"/>
      <c r="G22"/>
      <c r="H22" t="s">
        <v>11</v>
      </c>
      <c r="I22" s="38">
        <f>IFERROR(VLOOKUP(H22,$A$4:$C$7,2,0),0)-IFERROR(VLOOKUP(H22,$H$15:$J$17,2,0),0)-IFERROR(VLOOKUP(H22,$H$4:$J$6,2,0),0)</f>
        <v>437.97</v>
      </c>
      <c r="J22" s="38">
        <f>IFERROR(VLOOKUP(H22,$A$4:$C$7,3,0),0)-IFERROR(VLOOKUP(H22,$H$15:$J$17,3,0),0)-IFERROR(VLOOKUP(H22,$H$4:$J$6,3,0),0)</f>
        <v>171.60000000000002</v>
      </c>
      <c r="K22"/>
      <c r="L22"/>
    </row>
    <row r="23" spans="1:12" x14ac:dyDescent="0.3">
      <c r="B23"/>
      <c r="C23"/>
      <c r="D23"/>
      <c r="E23"/>
      <c r="F23"/>
      <c r="G23"/>
      <c r="H23"/>
      <c r="I23"/>
      <c r="J23"/>
      <c r="K23"/>
      <c r="L23"/>
    </row>
    <row r="24" spans="1:12" x14ac:dyDescent="0.3">
      <c r="B24"/>
      <c r="C24"/>
      <c r="D24"/>
      <c r="E24"/>
      <c r="F24"/>
      <c r="G24"/>
      <c r="H24"/>
      <c r="I24"/>
      <c r="J24"/>
      <c r="K24"/>
      <c r="L24"/>
    </row>
    <row r="25" spans="1:12" x14ac:dyDescent="0.3">
      <c r="B25"/>
      <c r="C25"/>
      <c r="D25"/>
      <c r="E25"/>
      <c r="F25"/>
      <c r="G25"/>
      <c r="H25"/>
      <c r="I25"/>
      <c r="J25"/>
      <c r="K25"/>
      <c r="L25"/>
    </row>
    <row r="26" spans="1:12" x14ac:dyDescent="0.3">
      <c r="B26"/>
      <c r="C26"/>
      <c r="D26"/>
      <c r="E26"/>
      <c r="F26"/>
      <c r="G26"/>
      <c r="H26"/>
      <c r="I26"/>
      <c r="J26"/>
      <c r="K26"/>
      <c r="L26"/>
    </row>
    <row r="27" spans="1:12" x14ac:dyDescent="0.3">
      <c r="B27"/>
      <c r="C27"/>
      <c r="D27"/>
      <c r="E27"/>
      <c r="F27"/>
      <c r="G27"/>
      <c r="H27"/>
      <c r="I27"/>
      <c r="J27"/>
      <c r="K27"/>
      <c r="L27"/>
    </row>
    <row r="28" spans="1:12" x14ac:dyDescent="0.3">
      <c r="B28"/>
      <c r="C28"/>
      <c r="D28"/>
      <c r="E28"/>
      <c r="F28"/>
      <c r="G28"/>
      <c r="H28"/>
      <c r="I28"/>
      <c r="J28"/>
      <c r="K28"/>
      <c r="L28"/>
    </row>
    <row r="29" spans="1:12" x14ac:dyDescent="0.3">
      <c r="B29"/>
      <c r="C29"/>
      <c r="D29"/>
      <c r="E29"/>
      <c r="F29"/>
      <c r="G29"/>
      <c r="H29"/>
      <c r="I29"/>
      <c r="J29"/>
      <c r="K29"/>
      <c r="L29"/>
    </row>
    <row r="30" spans="1:12" x14ac:dyDescent="0.3">
      <c r="B30"/>
      <c r="C30"/>
      <c r="D30"/>
      <c r="E30"/>
      <c r="F30"/>
      <c r="G30"/>
      <c r="H30"/>
      <c r="I30"/>
      <c r="J30"/>
      <c r="K30"/>
      <c r="L30"/>
    </row>
    <row r="31" spans="1:12" x14ac:dyDescent="0.3">
      <c r="B31"/>
      <c r="C31"/>
      <c r="D31"/>
      <c r="E31"/>
      <c r="F31"/>
      <c r="G31"/>
      <c r="H31"/>
      <c r="I31"/>
      <c r="J31"/>
      <c r="K31"/>
      <c r="L31"/>
    </row>
    <row r="32" spans="1:12" x14ac:dyDescent="0.3">
      <c r="B32"/>
      <c r="C32"/>
      <c r="D32"/>
      <c r="E32"/>
      <c r="F32"/>
      <c r="G32"/>
      <c r="H32"/>
      <c r="I32"/>
      <c r="J32"/>
      <c r="K32"/>
      <c r="L32"/>
    </row>
    <row r="33" spans="2:12" x14ac:dyDescent="0.3">
      <c r="B33"/>
      <c r="C33"/>
      <c r="D33"/>
      <c r="E33"/>
      <c r="F33"/>
      <c r="G33"/>
      <c r="H33"/>
      <c r="I33"/>
      <c r="J33"/>
      <c r="K33"/>
      <c r="L33"/>
    </row>
    <row r="34" spans="2:12" x14ac:dyDescent="0.3">
      <c r="B34"/>
      <c r="C34"/>
      <c r="D34"/>
      <c r="E34"/>
      <c r="F34"/>
      <c r="G34"/>
      <c r="H34"/>
      <c r="I34"/>
      <c r="J34"/>
      <c r="K34"/>
      <c r="L34"/>
    </row>
    <row r="35" spans="2:12" x14ac:dyDescent="0.3">
      <c r="B35"/>
      <c r="C35"/>
      <c r="D35"/>
      <c r="E35"/>
      <c r="F35"/>
      <c r="G35"/>
      <c r="H35"/>
      <c r="I35"/>
      <c r="J35"/>
      <c r="K35"/>
      <c r="L35"/>
    </row>
    <row r="36" spans="2:12" x14ac:dyDescent="0.3">
      <c r="B36"/>
      <c r="C36"/>
      <c r="D36"/>
      <c r="E36"/>
      <c r="F36"/>
      <c r="G36"/>
      <c r="H36"/>
      <c r="I36"/>
      <c r="J36"/>
      <c r="K36"/>
      <c r="L36"/>
    </row>
    <row r="37" spans="2:12" x14ac:dyDescent="0.3">
      <c r="B37"/>
      <c r="C37"/>
      <c r="D37"/>
      <c r="E37"/>
      <c r="F37"/>
      <c r="G37"/>
      <c r="H37"/>
      <c r="I37"/>
      <c r="J37"/>
      <c r="K37"/>
      <c r="L37"/>
    </row>
    <row r="38" spans="2:12" x14ac:dyDescent="0.3">
      <c r="B38"/>
      <c r="C38"/>
      <c r="D38"/>
      <c r="E38"/>
      <c r="F38"/>
      <c r="G38"/>
      <c r="H38"/>
      <c r="I38"/>
      <c r="J38"/>
      <c r="K38"/>
      <c r="L38"/>
    </row>
    <row r="39" spans="2:12" x14ac:dyDescent="0.3">
      <c r="B39"/>
      <c r="C39"/>
      <c r="D39"/>
      <c r="E39"/>
      <c r="F39"/>
      <c r="G39"/>
      <c r="H39"/>
      <c r="I39"/>
      <c r="J39"/>
      <c r="K39"/>
      <c r="L39"/>
    </row>
    <row r="40" spans="2:12" x14ac:dyDescent="0.3">
      <c r="B40"/>
      <c r="C40"/>
      <c r="D40"/>
      <c r="E40"/>
      <c r="F40"/>
      <c r="G40"/>
      <c r="H40"/>
      <c r="I40"/>
      <c r="J40"/>
      <c r="K40"/>
      <c r="L40"/>
    </row>
    <row r="41" spans="2:12" x14ac:dyDescent="0.3">
      <c r="B41"/>
      <c r="C41"/>
      <c r="D41"/>
      <c r="E41"/>
      <c r="F41"/>
      <c r="G41"/>
      <c r="H41"/>
      <c r="I41"/>
      <c r="J41"/>
      <c r="K41"/>
      <c r="L41"/>
    </row>
    <row r="42" spans="2:12" x14ac:dyDescent="0.3">
      <c r="B42"/>
      <c r="C42"/>
      <c r="D42"/>
      <c r="E42"/>
      <c r="F42"/>
      <c r="G42"/>
      <c r="H42"/>
      <c r="I42"/>
      <c r="J42"/>
      <c r="K42"/>
      <c r="L42"/>
    </row>
    <row r="43" spans="2:12" x14ac:dyDescent="0.3">
      <c r="B43"/>
      <c r="C43"/>
      <c r="D43"/>
      <c r="E43"/>
      <c r="F43"/>
      <c r="G43"/>
      <c r="H43"/>
      <c r="I43"/>
      <c r="J43"/>
      <c r="K43"/>
      <c r="L43"/>
    </row>
    <row r="44" spans="2:12" x14ac:dyDescent="0.3">
      <c r="B44"/>
      <c r="C44"/>
      <c r="D44"/>
      <c r="E44"/>
      <c r="F44"/>
      <c r="G44"/>
      <c r="H44"/>
      <c r="I44"/>
      <c r="J44"/>
      <c r="K44"/>
      <c r="L44"/>
    </row>
    <row r="45" spans="2:12" x14ac:dyDescent="0.3">
      <c r="B45"/>
      <c r="C45"/>
      <c r="D45"/>
      <c r="E45"/>
      <c r="F45"/>
      <c r="G45"/>
      <c r="H45"/>
      <c r="I45"/>
      <c r="J45"/>
      <c r="K45"/>
      <c r="L45"/>
    </row>
    <row r="46" spans="2:12" x14ac:dyDescent="0.3">
      <c r="B46"/>
      <c r="C46"/>
      <c r="D46"/>
      <c r="E46"/>
      <c r="F46"/>
      <c r="G46"/>
      <c r="H46"/>
      <c r="I46"/>
      <c r="J46"/>
      <c r="K46"/>
      <c r="L46"/>
    </row>
    <row r="47" spans="2:12" x14ac:dyDescent="0.3">
      <c r="B47"/>
      <c r="C47"/>
      <c r="D47"/>
      <c r="E47"/>
      <c r="F47"/>
      <c r="G47"/>
      <c r="H47"/>
      <c r="I47"/>
      <c r="J47"/>
      <c r="K47"/>
      <c r="L47"/>
    </row>
    <row r="48" spans="2:12" x14ac:dyDescent="0.3">
      <c r="B48"/>
      <c r="C48"/>
      <c r="D48"/>
      <c r="E48"/>
      <c r="F48"/>
      <c r="G48"/>
      <c r="H48"/>
      <c r="I48"/>
      <c r="J48"/>
      <c r="K48"/>
      <c r="L48"/>
    </row>
    <row r="49" spans="2:12" x14ac:dyDescent="0.3">
      <c r="B49"/>
      <c r="C49"/>
      <c r="D49"/>
      <c r="E49"/>
      <c r="F49"/>
      <c r="G49"/>
      <c r="H49"/>
      <c r="I49"/>
      <c r="J49"/>
      <c r="K49"/>
      <c r="L49"/>
    </row>
    <row r="50" spans="2:12" x14ac:dyDescent="0.3">
      <c r="B50"/>
      <c r="C50"/>
      <c r="D50"/>
      <c r="E50"/>
      <c r="F50"/>
      <c r="G50"/>
      <c r="H50"/>
      <c r="I50"/>
      <c r="J50"/>
      <c r="K50"/>
      <c r="L50"/>
    </row>
    <row r="51" spans="2:12" x14ac:dyDescent="0.3">
      <c r="B51"/>
      <c r="C51"/>
      <c r="D51"/>
      <c r="E51"/>
      <c r="F51"/>
      <c r="G51"/>
      <c r="H51"/>
      <c r="I51"/>
      <c r="J51"/>
      <c r="K51"/>
      <c r="L51"/>
    </row>
    <row r="52" spans="2:12" x14ac:dyDescent="0.3">
      <c r="B52"/>
      <c r="C52"/>
      <c r="D52"/>
      <c r="E52"/>
      <c r="F52"/>
      <c r="G52"/>
      <c r="H52"/>
      <c r="I52"/>
      <c r="J52"/>
      <c r="K52"/>
      <c r="L52"/>
    </row>
    <row r="53" spans="2:12" x14ac:dyDescent="0.3">
      <c r="B53"/>
      <c r="C53"/>
      <c r="D53"/>
      <c r="E53"/>
      <c r="F53"/>
      <c r="G53"/>
      <c r="H53"/>
      <c r="I53"/>
      <c r="J53"/>
      <c r="K53"/>
      <c r="L53"/>
    </row>
    <row r="54" spans="2:12" x14ac:dyDescent="0.3">
      <c r="B54"/>
      <c r="C54"/>
      <c r="D54"/>
      <c r="E54"/>
      <c r="F54"/>
      <c r="G54"/>
      <c r="H54"/>
      <c r="I54"/>
      <c r="J54"/>
      <c r="K54"/>
      <c r="L54"/>
    </row>
    <row r="55" spans="2:12" x14ac:dyDescent="0.3">
      <c r="B55"/>
      <c r="C55"/>
      <c r="D55"/>
      <c r="E55"/>
      <c r="F55"/>
      <c r="G55"/>
      <c r="H55"/>
      <c r="I55"/>
      <c r="J55"/>
      <c r="K55"/>
      <c r="L55"/>
    </row>
    <row r="56" spans="2:12" x14ac:dyDescent="0.3">
      <c r="B56"/>
      <c r="C56"/>
      <c r="D56"/>
      <c r="E56"/>
      <c r="F56"/>
      <c r="G56"/>
      <c r="H56"/>
      <c r="I56"/>
      <c r="J56"/>
      <c r="K56"/>
      <c r="L56"/>
    </row>
    <row r="57" spans="2:12" x14ac:dyDescent="0.3">
      <c r="B57"/>
      <c r="C57"/>
      <c r="D57"/>
      <c r="E57"/>
      <c r="F57"/>
      <c r="G57"/>
      <c r="H57"/>
      <c r="I57"/>
      <c r="J57"/>
      <c r="K57"/>
      <c r="L57"/>
    </row>
    <row r="58" spans="2:12" x14ac:dyDescent="0.3">
      <c r="B58"/>
      <c r="C58"/>
      <c r="D58"/>
      <c r="E58"/>
      <c r="F58"/>
      <c r="G58"/>
      <c r="H58"/>
      <c r="I58"/>
      <c r="J58"/>
      <c r="K58"/>
      <c r="L58"/>
    </row>
    <row r="59" spans="2:12" x14ac:dyDescent="0.3">
      <c r="B59"/>
      <c r="C59"/>
      <c r="D59"/>
      <c r="E59"/>
      <c r="F59"/>
      <c r="G59"/>
      <c r="H59"/>
      <c r="I59"/>
      <c r="J59"/>
      <c r="K59"/>
      <c r="L59"/>
    </row>
    <row r="60" spans="2:12" x14ac:dyDescent="0.3">
      <c r="B60"/>
      <c r="C60"/>
      <c r="D60"/>
      <c r="E60"/>
      <c r="F60"/>
      <c r="G60"/>
      <c r="H60"/>
      <c r="I60"/>
      <c r="J60"/>
      <c r="K60"/>
      <c r="L60"/>
    </row>
    <row r="61" spans="2:12" x14ac:dyDescent="0.3">
      <c r="B61"/>
      <c r="C61"/>
      <c r="D61"/>
      <c r="E61"/>
      <c r="F61"/>
      <c r="G61"/>
      <c r="H61"/>
      <c r="I61"/>
      <c r="J61"/>
      <c r="K61"/>
      <c r="L61"/>
    </row>
    <row r="62" spans="2:12" x14ac:dyDescent="0.3">
      <c r="B62"/>
      <c r="C62"/>
      <c r="D62"/>
      <c r="E62"/>
      <c r="F62"/>
      <c r="G62"/>
      <c r="H62"/>
      <c r="I62"/>
      <c r="J62"/>
      <c r="K62"/>
      <c r="L62"/>
    </row>
    <row r="63" spans="2:12" x14ac:dyDescent="0.3">
      <c r="B63"/>
      <c r="C63"/>
      <c r="D63"/>
      <c r="E63"/>
      <c r="F63"/>
      <c r="G63"/>
      <c r="H63"/>
      <c r="I63"/>
      <c r="J63"/>
      <c r="K63"/>
      <c r="L63"/>
    </row>
    <row r="64" spans="2:12" x14ac:dyDescent="0.3">
      <c r="B64"/>
      <c r="C64"/>
      <c r="D64"/>
      <c r="E64"/>
      <c r="F64"/>
      <c r="G64"/>
      <c r="H64"/>
      <c r="I64"/>
      <c r="J64"/>
      <c r="K64"/>
      <c r="L64"/>
    </row>
    <row r="65" spans="2:12" x14ac:dyDescent="0.3">
      <c r="B65"/>
      <c r="C65"/>
      <c r="D65"/>
      <c r="E65"/>
      <c r="F65"/>
      <c r="G65"/>
      <c r="H65"/>
      <c r="I65"/>
      <c r="J65"/>
      <c r="K65"/>
      <c r="L65"/>
    </row>
    <row r="66" spans="2:12" x14ac:dyDescent="0.3">
      <c r="B66"/>
      <c r="C66"/>
      <c r="D66"/>
      <c r="E66"/>
      <c r="F66"/>
      <c r="G66"/>
      <c r="H66"/>
      <c r="I66"/>
      <c r="J66"/>
      <c r="K66"/>
      <c r="L66"/>
    </row>
    <row r="67" spans="2:12" x14ac:dyDescent="0.3">
      <c r="B67"/>
      <c r="C67"/>
      <c r="D67"/>
      <c r="E67"/>
      <c r="F67"/>
      <c r="G67"/>
      <c r="H67"/>
      <c r="I67"/>
      <c r="J67"/>
      <c r="K67"/>
      <c r="L67"/>
    </row>
    <row r="68" spans="2:12" x14ac:dyDescent="0.3">
      <c r="K68"/>
      <c r="L68"/>
    </row>
    <row r="69" spans="2:12" x14ac:dyDescent="0.3">
      <c r="K69"/>
      <c r="L69"/>
    </row>
    <row r="70" spans="2:12" x14ac:dyDescent="0.3">
      <c r="K70"/>
      <c r="L70"/>
    </row>
    <row r="71" spans="2:12" x14ac:dyDescent="0.3">
      <c r="B71"/>
      <c r="C71"/>
      <c r="D71"/>
      <c r="E71"/>
      <c r="F71"/>
      <c r="G71"/>
      <c r="H71"/>
      <c r="I71"/>
      <c r="J71"/>
      <c r="K71"/>
      <c r="L71"/>
    </row>
    <row r="72" spans="2:12" x14ac:dyDescent="0.3">
      <c r="B72"/>
      <c r="C72"/>
      <c r="D72"/>
      <c r="E72"/>
      <c r="F72"/>
      <c r="G72"/>
      <c r="H72"/>
      <c r="I72"/>
      <c r="J72"/>
      <c r="K72"/>
      <c r="L72"/>
    </row>
    <row r="73" spans="2:12" x14ac:dyDescent="0.3">
      <c r="B73"/>
      <c r="C73"/>
      <c r="D73"/>
      <c r="E73"/>
      <c r="F73"/>
      <c r="G73"/>
      <c r="H73"/>
      <c r="I73"/>
      <c r="J73"/>
      <c r="K73"/>
      <c r="L73"/>
    </row>
    <row r="74" spans="2:12" x14ac:dyDescent="0.3">
      <c r="B74"/>
      <c r="C74"/>
      <c r="D74"/>
      <c r="E74"/>
      <c r="F74"/>
      <c r="G74"/>
      <c r="H74"/>
      <c r="I74"/>
      <c r="J74"/>
      <c r="K74"/>
      <c r="L74"/>
    </row>
    <row r="75" spans="2:12" x14ac:dyDescent="0.3">
      <c r="B75"/>
      <c r="C75"/>
      <c r="D75"/>
      <c r="E75"/>
      <c r="F75"/>
      <c r="G75"/>
      <c r="H75"/>
      <c r="I75"/>
      <c r="J75"/>
      <c r="K75"/>
      <c r="L75"/>
    </row>
    <row r="76" spans="2:12" x14ac:dyDescent="0.3">
      <c r="K76"/>
      <c r="L7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D2B8-592F-4976-99CB-F2580471823A}">
  <dimension ref="A1:C6"/>
  <sheetViews>
    <sheetView workbookViewId="0">
      <selection activeCell="B18" sqref="B18"/>
    </sheetView>
  </sheetViews>
  <sheetFormatPr baseColWidth="10" defaultColWidth="11.44140625" defaultRowHeight="14.4" x14ac:dyDescent="0.3"/>
  <cols>
    <col min="1" max="1" width="37.44140625" bestFit="1" customWidth="1"/>
    <col min="2" max="2" width="49.5546875" bestFit="1" customWidth="1"/>
    <col min="3" max="3" width="26.109375" bestFit="1" customWidth="1"/>
  </cols>
  <sheetData>
    <row r="1" spans="1:3" x14ac:dyDescent="0.3">
      <c r="A1" s="14" t="s">
        <v>1</v>
      </c>
      <c r="B1" t="s">
        <v>16</v>
      </c>
    </row>
    <row r="2" spans="1:3" x14ac:dyDescent="0.3">
      <c r="A2" s="14" t="s">
        <v>0</v>
      </c>
      <c r="B2" t="s">
        <v>16</v>
      </c>
    </row>
    <row r="3" spans="1:3" x14ac:dyDescent="0.3">
      <c r="A3" s="14" t="s">
        <v>17</v>
      </c>
      <c r="B3" t="s">
        <v>18</v>
      </c>
    </row>
    <row r="5" spans="1:3" x14ac:dyDescent="0.3">
      <c r="A5" t="s">
        <v>4</v>
      </c>
      <c r="B5" t="s">
        <v>5</v>
      </c>
      <c r="C5" t="s">
        <v>6</v>
      </c>
    </row>
    <row r="6" spans="1:3" x14ac:dyDescent="0.3">
      <c r="A6" s="40">
        <v>2141330.8422854156</v>
      </c>
      <c r="B6" s="40">
        <v>859025.92798957718</v>
      </c>
      <c r="C6" s="40">
        <v>338520.96163181314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7076-4D4F-4CCE-AE9B-659D33CAE13C}">
  <dimension ref="A1:U1976"/>
  <sheetViews>
    <sheetView topLeftCell="C1" workbookViewId="0">
      <selection activeCell="R7" sqref="R7"/>
    </sheetView>
  </sheetViews>
  <sheetFormatPr baseColWidth="10" defaultColWidth="11.44140625" defaultRowHeight="15" customHeight="1" x14ac:dyDescent="0.3"/>
  <cols>
    <col min="1" max="3" width="11.44140625" style="47"/>
    <col min="4" max="4" width="36.88671875" style="47" customWidth="1"/>
    <col min="5" max="16" width="11.44140625" style="47"/>
    <col min="17" max="17" width="11.44140625" style="53"/>
    <col min="18" max="16384" width="11.44140625" style="47"/>
  </cols>
  <sheetData>
    <row r="1" spans="1:21" customFormat="1" ht="72" x14ac:dyDescent="0.3">
      <c r="A1" s="1" t="s">
        <v>19</v>
      </c>
      <c r="B1" s="21" t="s">
        <v>20</v>
      </c>
      <c r="C1" s="1" t="s">
        <v>21</v>
      </c>
      <c r="D1" s="2" t="s">
        <v>22</v>
      </c>
      <c r="E1" s="2" t="s">
        <v>23</v>
      </c>
      <c r="F1" s="3" t="s">
        <v>24</v>
      </c>
      <c r="G1" s="3" t="s">
        <v>25</v>
      </c>
      <c r="H1" s="4" t="s">
        <v>26</v>
      </c>
      <c r="I1" s="5" t="s">
        <v>27</v>
      </c>
      <c r="J1" s="6" t="s">
        <v>28</v>
      </c>
      <c r="K1" s="4" t="s">
        <v>29</v>
      </c>
      <c r="L1" s="4" t="s">
        <v>30</v>
      </c>
      <c r="M1" s="7" t="s">
        <v>3</v>
      </c>
      <c r="N1" s="7" t="s">
        <v>31</v>
      </c>
      <c r="O1" s="7" t="s">
        <v>32</v>
      </c>
      <c r="P1" s="16" t="s">
        <v>33</v>
      </c>
      <c r="Q1" s="30" t="s">
        <v>34</v>
      </c>
      <c r="R1" s="8" t="s">
        <v>35</v>
      </c>
      <c r="S1" s="9" t="s">
        <v>1</v>
      </c>
      <c r="T1" s="9" t="s">
        <v>0</v>
      </c>
      <c r="U1" s="42" t="s">
        <v>17</v>
      </c>
    </row>
    <row r="2" spans="1:21" customFormat="1" ht="15" customHeight="1" x14ac:dyDescent="0.3">
      <c r="A2" s="10">
        <v>46053</v>
      </c>
      <c r="B2" s="10">
        <v>45999</v>
      </c>
      <c r="C2" s="10">
        <v>46053</v>
      </c>
      <c r="D2" s="11" t="s">
        <v>36</v>
      </c>
      <c r="E2" s="11" t="s">
        <v>37</v>
      </c>
      <c r="F2" t="s">
        <v>38</v>
      </c>
      <c r="G2" s="11" t="s">
        <v>39</v>
      </c>
      <c r="H2" s="12">
        <v>910</v>
      </c>
      <c r="I2" s="13">
        <v>0.15</v>
      </c>
      <c r="J2" s="12">
        <v>156.97499999999999</v>
      </c>
      <c r="K2" s="12">
        <v>127.39999999999999</v>
      </c>
      <c r="L2" s="12">
        <v>116.02499999999999</v>
      </c>
      <c r="M2" t="s">
        <v>11</v>
      </c>
      <c r="N2" t="s">
        <v>40</v>
      </c>
      <c r="O2" t="s">
        <v>41</v>
      </c>
      <c r="P2" s="19">
        <v>46053</v>
      </c>
      <c r="Q2">
        <f t="shared" ref="Q2:Q6" si="0">+H2+L2</f>
        <v>1026.0250000000001</v>
      </c>
      <c r="R2">
        <f t="shared" ref="R2:R6" si="1">+J2+K2+L2</f>
        <v>400.4</v>
      </c>
      <c r="S2">
        <f t="shared" ref="S2:S6" si="2">+MONTH(B2)</f>
        <v>12</v>
      </c>
      <c r="T2">
        <f t="shared" ref="T2:T6" si="3">+YEAR(B2)</f>
        <v>2025</v>
      </c>
      <c r="U2" t="s">
        <v>42</v>
      </c>
    </row>
    <row r="3" spans="1:21" customFormat="1" ht="15" customHeight="1" x14ac:dyDescent="0.3">
      <c r="A3" s="10">
        <v>46053</v>
      </c>
      <c r="B3" s="10">
        <v>45999</v>
      </c>
      <c r="C3" s="10">
        <v>46053</v>
      </c>
      <c r="D3" s="11" t="s">
        <v>43</v>
      </c>
      <c r="E3" s="11" t="s">
        <v>37</v>
      </c>
      <c r="F3" t="s">
        <v>38</v>
      </c>
      <c r="G3" s="11" t="s">
        <v>39</v>
      </c>
      <c r="H3" s="12">
        <v>910</v>
      </c>
      <c r="I3" s="13">
        <v>0.15</v>
      </c>
      <c r="J3" s="12">
        <v>156.97499999999999</v>
      </c>
      <c r="K3" s="12">
        <v>127.39999999999999</v>
      </c>
      <c r="L3" s="12">
        <v>116.02499999999999</v>
      </c>
      <c r="M3" t="s">
        <v>11</v>
      </c>
      <c r="N3" t="s">
        <v>40</v>
      </c>
      <c r="O3" t="s">
        <v>41</v>
      </c>
      <c r="P3" s="19">
        <v>46053</v>
      </c>
      <c r="Q3">
        <f t="shared" si="0"/>
        <v>1026.0250000000001</v>
      </c>
      <c r="R3">
        <f t="shared" si="1"/>
        <v>400.4</v>
      </c>
      <c r="S3">
        <f t="shared" si="2"/>
        <v>12</v>
      </c>
      <c r="T3">
        <f t="shared" si="3"/>
        <v>2025</v>
      </c>
      <c r="U3" t="s">
        <v>42</v>
      </c>
    </row>
    <row r="4" spans="1:21" customFormat="1" ht="15" customHeight="1" x14ac:dyDescent="0.3">
      <c r="A4" s="10">
        <v>46043</v>
      </c>
      <c r="B4" s="10">
        <v>46043</v>
      </c>
      <c r="C4" s="10">
        <v>46043</v>
      </c>
      <c r="D4" s="11" t="s">
        <v>132</v>
      </c>
      <c r="E4" s="11" t="s">
        <v>126</v>
      </c>
      <c r="F4" s="11" t="s">
        <v>90</v>
      </c>
      <c r="G4" s="11" t="s">
        <v>53</v>
      </c>
      <c r="H4" s="12">
        <v>69703.02</v>
      </c>
      <c r="I4" s="13">
        <v>0.17499999999999996</v>
      </c>
      <c r="J4" s="12">
        <v>14027.719999999998</v>
      </c>
      <c r="K4" s="12">
        <v>7735.3054195000041</v>
      </c>
      <c r="L4" s="12">
        <v>10455.379999999999</v>
      </c>
      <c r="M4" t="s">
        <v>10</v>
      </c>
      <c r="N4" t="s">
        <v>85</v>
      </c>
      <c r="O4" t="s">
        <v>41</v>
      </c>
      <c r="P4" s="19">
        <v>46053</v>
      </c>
      <c r="Q4">
        <f>+H4+L4</f>
        <v>80158.400000000009</v>
      </c>
      <c r="R4">
        <f>+J4+K4+L4</f>
        <v>32218.405419499999</v>
      </c>
      <c r="S4">
        <f>+MONTH(B4)</f>
        <v>1</v>
      </c>
      <c r="T4">
        <f>+YEAR(B4)</f>
        <v>2026</v>
      </c>
      <c r="U4" t="s">
        <v>42</v>
      </c>
    </row>
    <row r="5" spans="1:21" customFormat="1" ht="15" customHeight="1" x14ac:dyDescent="0.3">
      <c r="A5" s="10">
        <v>46053</v>
      </c>
      <c r="B5" s="10">
        <v>45999</v>
      </c>
      <c r="C5" s="10">
        <v>46053</v>
      </c>
      <c r="D5" s="11" t="s">
        <v>45</v>
      </c>
      <c r="E5" s="11" t="s">
        <v>37</v>
      </c>
      <c r="F5" t="s">
        <v>38</v>
      </c>
      <c r="G5" s="11" t="s">
        <v>39</v>
      </c>
      <c r="H5" s="12">
        <v>910</v>
      </c>
      <c r="I5" s="13">
        <v>0.15</v>
      </c>
      <c r="J5" s="12">
        <v>156.97499999999999</v>
      </c>
      <c r="K5" s="12">
        <v>127.39999999999999</v>
      </c>
      <c r="L5" s="12">
        <v>116.02499999999999</v>
      </c>
      <c r="M5" t="s">
        <v>11</v>
      </c>
      <c r="N5" t="s">
        <v>40</v>
      </c>
      <c r="O5" t="s">
        <v>41</v>
      </c>
      <c r="P5" s="19">
        <v>46053</v>
      </c>
      <c r="Q5">
        <f>+H5+L5</f>
        <v>1026.0250000000001</v>
      </c>
      <c r="R5">
        <f>+J5+K5+L5</f>
        <v>400.4</v>
      </c>
      <c r="S5">
        <f>+MONTH(B5)</f>
        <v>12</v>
      </c>
      <c r="T5">
        <f>+YEAR(B5)</f>
        <v>2025</v>
      </c>
      <c r="U5" t="s">
        <v>42</v>
      </c>
    </row>
    <row r="6" spans="1:21" customFormat="1" ht="15" customHeight="1" x14ac:dyDescent="0.3">
      <c r="A6" s="10">
        <v>46033</v>
      </c>
      <c r="B6" s="10">
        <v>46033</v>
      </c>
      <c r="C6" s="10">
        <v>46049</v>
      </c>
      <c r="D6" s="11" t="s">
        <v>310</v>
      </c>
      <c r="E6" s="11" t="s">
        <v>311</v>
      </c>
      <c r="F6" s="11" t="s">
        <v>90</v>
      </c>
      <c r="G6" s="11" t="s">
        <v>53</v>
      </c>
      <c r="H6" s="12">
        <v>59130.434782608703</v>
      </c>
      <c r="I6" s="13">
        <v>0.17499999999999999</v>
      </c>
      <c r="J6" s="12">
        <v>11900</v>
      </c>
      <c r="K6" s="12">
        <v>6562.0000000000036</v>
      </c>
      <c r="L6" s="12">
        <v>8869.5652173912968</v>
      </c>
      <c r="M6" t="s">
        <v>10</v>
      </c>
      <c r="N6" t="s">
        <v>54</v>
      </c>
      <c r="O6" t="s">
        <v>55</v>
      </c>
      <c r="P6" s="19">
        <v>46053</v>
      </c>
      <c r="Q6">
        <f>+H6+L6</f>
        <v>68000</v>
      </c>
      <c r="R6">
        <f>+J6+K6+L6</f>
        <v>27331.5652173913</v>
      </c>
      <c r="S6">
        <f>+MONTH(B6)</f>
        <v>1</v>
      </c>
      <c r="T6">
        <f>+YEAR(B6)</f>
        <v>2026</v>
      </c>
      <c r="U6" t="s">
        <v>42</v>
      </c>
    </row>
    <row r="7" spans="1:21" customFormat="1" ht="15" customHeight="1" x14ac:dyDescent="0.3">
      <c r="A7" s="10">
        <v>45658</v>
      </c>
      <c r="B7" s="10">
        <v>45658</v>
      </c>
      <c r="C7" s="10">
        <v>46048</v>
      </c>
      <c r="D7" s="11" t="s">
        <v>50</v>
      </c>
      <c r="E7" s="11" t="s">
        <v>51</v>
      </c>
      <c r="F7" s="11" t="s">
        <v>52</v>
      </c>
      <c r="G7" s="11" t="s">
        <v>53</v>
      </c>
      <c r="H7" s="12">
        <v>4173.9130434782601</v>
      </c>
      <c r="I7" s="13">
        <v>0.14000000000000012</v>
      </c>
      <c r="J7" s="12">
        <v>672.00000000000045</v>
      </c>
      <c r="K7" s="12">
        <v>622.85217391304263</v>
      </c>
      <c r="L7" s="12">
        <v>626.08695652173901</v>
      </c>
      <c r="M7" t="s">
        <v>10</v>
      </c>
      <c r="N7" t="s">
        <v>54</v>
      </c>
      <c r="O7" t="s">
        <v>55</v>
      </c>
      <c r="P7" s="19">
        <v>46053</v>
      </c>
      <c r="Q7">
        <f>+H7+L7</f>
        <v>4799.9999999999991</v>
      </c>
      <c r="R7">
        <f>+J7+K7+L7</f>
        <v>1920.9391304347821</v>
      </c>
      <c r="S7">
        <f>+MONTH(B7)</f>
        <v>1</v>
      </c>
      <c r="T7">
        <f>+YEAR(B7)</f>
        <v>2025</v>
      </c>
      <c r="U7" t="s">
        <v>42</v>
      </c>
    </row>
    <row r="8" spans="1:21" customFormat="1" ht="15" customHeight="1" x14ac:dyDescent="0.3">
      <c r="A8" s="10">
        <v>45829</v>
      </c>
      <c r="B8" s="10">
        <v>45829</v>
      </c>
      <c r="C8" s="10">
        <v>46035</v>
      </c>
      <c r="D8" s="11" t="s">
        <v>56</v>
      </c>
      <c r="E8" s="11" t="s">
        <v>57</v>
      </c>
      <c r="F8" s="11" t="s">
        <v>58</v>
      </c>
      <c r="G8" s="11" t="s">
        <v>53</v>
      </c>
      <c r="H8" s="12">
        <v>12521.7391304348</v>
      </c>
      <c r="I8" s="13">
        <v>0.14000000000000029</v>
      </c>
      <c r="J8" s="12">
        <v>2016.0000000000068</v>
      </c>
      <c r="K8" s="12">
        <v>1868.5565217391286</v>
      </c>
      <c r="L8" s="12">
        <v>1878.2608695652198</v>
      </c>
      <c r="M8" t="s">
        <v>10</v>
      </c>
      <c r="N8" t="s">
        <v>54</v>
      </c>
      <c r="O8" t="s">
        <v>55</v>
      </c>
      <c r="P8" s="19">
        <v>46053</v>
      </c>
      <c r="Q8">
        <f>+H8+L8</f>
        <v>14400.00000000002</v>
      </c>
      <c r="R8">
        <f>+J8+K8+L8</f>
        <v>5762.8173913043556</v>
      </c>
      <c r="S8">
        <f>+MONTH(B8)</f>
        <v>6</v>
      </c>
      <c r="T8">
        <f>+YEAR(B8)</f>
        <v>2025</v>
      </c>
      <c r="U8" t="s">
        <v>42</v>
      </c>
    </row>
    <row r="9" spans="1:21" customFormat="1" ht="15" customHeight="1" x14ac:dyDescent="0.3">
      <c r="A9" s="10">
        <v>45829</v>
      </c>
      <c r="B9" s="10">
        <v>45829</v>
      </c>
      <c r="C9" s="10">
        <v>46035</v>
      </c>
      <c r="D9" s="11" t="s">
        <v>59</v>
      </c>
      <c r="E9" s="11" t="s">
        <v>60</v>
      </c>
      <c r="F9" s="11" t="s">
        <v>58</v>
      </c>
      <c r="G9" s="11" t="s">
        <v>53</v>
      </c>
      <c r="H9" s="12">
        <v>15636.521739130398</v>
      </c>
      <c r="I9" s="13">
        <v>0.14000000000000032</v>
      </c>
      <c r="J9" s="12">
        <v>2517.4800000000009</v>
      </c>
      <c r="K9" s="12">
        <v>2333.359956521726</v>
      </c>
      <c r="L9" s="12">
        <v>2345.47826086957</v>
      </c>
      <c r="M9" t="s">
        <v>10</v>
      </c>
      <c r="N9" t="s">
        <v>54</v>
      </c>
      <c r="O9" t="s">
        <v>55</v>
      </c>
      <c r="P9" s="19">
        <v>46053</v>
      </c>
      <c r="Q9">
        <f>+H9+L9</f>
        <v>17981.999999999967</v>
      </c>
      <c r="R9">
        <f>+J9+K9+L9</f>
        <v>7196.3182173912974</v>
      </c>
      <c r="S9">
        <f>+MONTH(B9)</f>
        <v>6</v>
      </c>
      <c r="T9">
        <f>+YEAR(B9)</f>
        <v>2025</v>
      </c>
      <c r="U9" t="s">
        <v>42</v>
      </c>
    </row>
    <row r="10" spans="1:21" customFormat="1" ht="15" customHeight="1" x14ac:dyDescent="0.3">
      <c r="A10" s="10">
        <v>45829</v>
      </c>
      <c r="B10" s="10">
        <v>45829</v>
      </c>
      <c r="C10" s="10">
        <v>46035</v>
      </c>
      <c r="D10" s="11" t="s">
        <v>61</v>
      </c>
      <c r="E10" s="11" t="s">
        <v>62</v>
      </c>
      <c r="F10" s="11" t="s">
        <v>58</v>
      </c>
      <c r="G10" s="11" t="s">
        <v>53</v>
      </c>
      <c r="H10" s="12">
        <v>15652.173913043502</v>
      </c>
      <c r="I10" s="13">
        <v>0.14000000000000012</v>
      </c>
      <c r="J10" s="12">
        <v>2520.0000000000055</v>
      </c>
      <c r="K10" s="12">
        <v>2335.6956521739148</v>
      </c>
      <c r="L10" s="12">
        <v>2347.8260869565202</v>
      </c>
      <c r="M10" t="s">
        <v>10</v>
      </c>
      <c r="N10" t="s">
        <v>54</v>
      </c>
      <c r="O10" t="s">
        <v>55</v>
      </c>
      <c r="P10" s="19">
        <v>46053</v>
      </c>
      <c r="Q10">
        <f>+H10+L10</f>
        <v>18000.000000000022</v>
      </c>
      <c r="R10">
        <f>+J10+K10+L10</f>
        <v>7203.5217391304404</v>
      </c>
      <c r="S10">
        <f>+MONTH(B10)</f>
        <v>6</v>
      </c>
      <c r="T10">
        <f>+YEAR(B10)</f>
        <v>2025</v>
      </c>
      <c r="U10" t="s">
        <v>42</v>
      </c>
    </row>
    <row r="11" spans="1:21" customFormat="1" ht="15" customHeight="1" x14ac:dyDescent="0.3">
      <c r="A11" s="10">
        <v>45829</v>
      </c>
      <c r="B11" s="10">
        <v>45829</v>
      </c>
      <c r="C11" s="10">
        <v>46035</v>
      </c>
      <c r="D11" s="11" t="s">
        <v>63</v>
      </c>
      <c r="E11" s="11" t="s">
        <v>64</v>
      </c>
      <c r="F11" s="11" t="s">
        <v>58</v>
      </c>
      <c r="G11" s="11" t="s">
        <v>53</v>
      </c>
      <c r="H11" s="12">
        <v>10956.5217391304</v>
      </c>
      <c r="I11" s="13">
        <v>0.1400000000000004</v>
      </c>
      <c r="J11" s="12">
        <v>1764.0000000000007</v>
      </c>
      <c r="K11" s="12">
        <v>1634.9869565217271</v>
      </c>
      <c r="L11" s="12">
        <v>1643.4782608695702</v>
      </c>
      <c r="M11" t="s">
        <v>10</v>
      </c>
      <c r="N11" t="s">
        <v>54</v>
      </c>
      <c r="O11" t="s">
        <v>55</v>
      </c>
      <c r="P11" s="19">
        <v>46053</v>
      </c>
      <c r="Q11">
        <f>+H11+L11</f>
        <v>12599.999999999969</v>
      </c>
      <c r="R11">
        <f>+J11+K11+L11</f>
        <v>5042.4652173912982</v>
      </c>
      <c r="S11">
        <f>+MONTH(B11)</f>
        <v>6</v>
      </c>
      <c r="T11">
        <f>+YEAR(B11)</f>
        <v>2025</v>
      </c>
      <c r="U11" t="s">
        <v>42</v>
      </c>
    </row>
    <row r="12" spans="1:21" customFormat="1" ht="15" customHeight="1" x14ac:dyDescent="0.3">
      <c r="A12" s="10">
        <v>45829</v>
      </c>
      <c r="B12" s="10">
        <v>45829</v>
      </c>
      <c r="C12" s="10">
        <v>46035</v>
      </c>
      <c r="D12" s="11" t="s">
        <v>65</v>
      </c>
      <c r="E12" s="11" t="s">
        <v>66</v>
      </c>
      <c r="F12" s="11" t="s">
        <v>58</v>
      </c>
      <c r="G12" s="11" t="s">
        <v>53</v>
      </c>
      <c r="H12" s="12">
        <v>1533.9130434782601</v>
      </c>
      <c r="I12" s="13">
        <v>0.14000000000000029</v>
      </c>
      <c r="J12" s="12">
        <v>246.96000000000038</v>
      </c>
      <c r="K12" s="12">
        <v>228.8981739130428</v>
      </c>
      <c r="L12" s="12">
        <v>230.08695652173901</v>
      </c>
      <c r="M12" t="s">
        <v>10</v>
      </c>
      <c r="N12" t="s">
        <v>54</v>
      </c>
      <c r="O12" t="s">
        <v>55</v>
      </c>
      <c r="P12" s="19">
        <v>46053</v>
      </c>
      <c r="Q12">
        <f>+H12+L12</f>
        <v>1763.9999999999991</v>
      </c>
      <c r="R12">
        <f>+J12+K12+L12</f>
        <v>705.94513043478219</v>
      </c>
      <c r="S12">
        <f>+MONTH(B12)</f>
        <v>6</v>
      </c>
      <c r="T12">
        <f>+YEAR(B12)</f>
        <v>2025</v>
      </c>
      <c r="U12" t="s">
        <v>42</v>
      </c>
    </row>
    <row r="13" spans="1:21" customFormat="1" ht="15" customHeight="1" x14ac:dyDescent="0.3">
      <c r="A13" s="10">
        <v>45829</v>
      </c>
      <c r="B13" s="10">
        <v>45829</v>
      </c>
      <c r="C13" s="10">
        <v>46035</v>
      </c>
      <c r="D13" s="11" t="s">
        <v>67</v>
      </c>
      <c r="E13" s="11" t="s">
        <v>68</v>
      </c>
      <c r="F13" s="11" t="s">
        <v>58</v>
      </c>
      <c r="G13" s="11" t="s">
        <v>53</v>
      </c>
      <c r="H13" s="12">
        <v>15636.521739130398</v>
      </c>
      <c r="I13" s="13">
        <v>0.14000000000000032</v>
      </c>
      <c r="J13" s="12">
        <v>2517.4800000000009</v>
      </c>
      <c r="K13" s="12">
        <v>2333.359956521726</v>
      </c>
      <c r="L13" s="12">
        <v>2345.47826086957</v>
      </c>
      <c r="M13" t="s">
        <v>10</v>
      </c>
      <c r="N13" t="s">
        <v>54</v>
      </c>
      <c r="O13" t="s">
        <v>55</v>
      </c>
      <c r="P13" s="19">
        <v>46053</v>
      </c>
      <c r="Q13">
        <f>+H13+L13</f>
        <v>17981.999999999967</v>
      </c>
      <c r="R13">
        <f>+J13+K13+L13</f>
        <v>7196.3182173912974</v>
      </c>
      <c r="S13">
        <f>+MONTH(B13)</f>
        <v>6</v>
      </c>
      <c r="T13">
        <f>+YEAR(B13)</f>
        <v>2025</v>
      </c>
      <c r="U13" t="s">
        <v>42</v>
      </c>
    </row>
    <row r="14" spans="1:21" customFormat="1" ht="15" customHeight="1" x14ac:dyDescent="0.3">
      <c r="A14" s="10">
        <v>45829</v>
      </c>
      <c r="B14" s="10">
        <v>45829</v>
      </c>
      <c r="C14" s="10">
        <v>46035</v>
      </c>
      <c r="D14" s="11" t="s">
        <v>69</v>
      </c>
      <c r="E14" s="11" t="s">
        <v>70</v>
      </c>
      <c r="F14" s="11" t="s">
        <v>58</v>
      </c>
      <c r="G14" s="11" t="s">
        <v>53</v>
      </c>
      <c r="H14" s="12">
        <v>15652.173913043502</v>
      </c>
      <c r="I14" s="13">
        <v>0.14000000000000012</v>
      </c>
      <c r="J14" s="12">
        <v>2520.0000000000055</v>
      </c>
      <c r="K14" s="12">
        <v>2335.6956521739148</v>
      </c>
      <c r="L14" s="12">
        <v>2347.8260869565202</v>
      </c>
      <c r="M14" t="s">
        <v>10</v>
      </c>
      <c r="N14" t="s">
        <v>54</v>
      </c>
      <c r="O14" t="s">
        <v>55</v>
      </c>
      <c r="P14" s="19">
        <v>46053</v>
      </c>
      <c r="Q14">
        <f>+H14+L14</f>
        <v>18000.000000000022</v>
      </c>
      <c r="R14">
        <f>+J14+K14+L14</f>
        <v>7203.5217391304404</v>
      </c>
      <c r="S14">
        <f>+MONTH(B14)</f>
        <v>6</v>
      </c>
      <c r="T14">
        <f>+YEAR(B14)</f>
        <v>2025</v>
      </c>
      <c r="U14" t="s">
        <v>42</v>
      </c>
    </row>
    <row r="15" spans="1:21" customFormat="1" ht="15" customHeight="1" x14ac:dyDescent="0.3">
      <c r="A15" s="10">
        <v>45829</v>
      </c>
      <c r="B15" s="10">
        <v>45829</v>
      </c>
      <c r="C15" s="10">
        <v>46035</v>
      </c>
      <c r="D15" s="11" t="s">
        <v>71</v>
      </c>
      <c r="E15" s="11" t="s">
        <v>72</v>
      </c>
      <c r="F15" s="11" t="s">
        <v>58</v>
      </c>
      <c r="G15" s="11" t="s">
        <v>53</v>
      </c>
      <c r="H15" s="12">
        <v>9391.3043478260897</v>
      </c>
      <c r="I15" s="13">
        <v>0.13999999999999949</v>
      </c>
      <c r="J15" s="12">
        <v>1511.9999999999945</v>
      </c>
      <c r="K15" s="12">
        <v>1401.4173913043537</v>
      </c>
      <c r="L15" s="12">
        <v>1408.69565217391</v>
      </c>
      <c r="M15" t="s">
        <v>10</v>
      </c>
      <c r="N15" t="s">
        <v>54</v>
      </c>
      <c r="O15" t="s">
        <v>55</v>
      </c>
      <c r="P15" s="19">
        <v>46053</v>
      </c>
      <c r="Q15">
        <f>+H15+L15</f>
        <v>10800</v>
      </c>
      <c r="R15">
        <f>+J15+K15+L15</f>
        <v>4322.1130434782581</v>
      </c>
      <c r="S15">
        <f>+MONTH(B15)</f>
        <v>6</v>
      </c>
      <c r="T15">
        <f>+YEAR(B15)</f>
        <v>2025</v>
      </c>
      <c r="U15" t="s">
        <v>42</v>
      </c>
    </row>
    <row r="16" spans="1:21" customFormat="1" ht="15" customHeight="1" x14ac:dyDescent="0.3">
      <c r="A16" s="10">
        <v>45829</v>
      </c>
      <c r="B16" s="10">
        <v>45829</v>
      </c>
      <c r="C16" s="10">
        <v>46035</v>
      </c>
      <c r="D16" s="11" t="s">
        <v>73</v>
      </c>
      <c r="E16" s="11" t="s">
        <v>74</v>
      </c>
      <c r="F16" s="11" t="s">
        <v>58</v>
      </c>
      <c r="G16" s="11" t="s">
        <v>53</v>
      </c>
      <c r="H16" s="12">
        <v>10956.5217391304</v>
      </c>
      <c r="I16" s="13">
        <v>0.1400000000000004</v>
      </c>
      <c r="J16" s="12">
        <v>1764.0000000000007</v>
      </c>
      <c r="K16" s="12">
        <v>1634.9869565217271</v>
      </c>
      <c r="L16" s="12">
        <v>1643.4782608695702</v>
      </c>
      <c r="M16" t="s">
        <v>10</v>
      </c>
      <c r="N16" t="s">
        <v>54</v>
      </c>
      <c r="O16" t="s">
        <v>55</v>
      </c>
      <c r="P16" s="19">
        <v>46053</v>
      </c>
      <c r="Q16">
        <f>+H16+L16</f>
        <v>12599.999999999969</v>
      </c>
      <c r="R16">
        <f>+J16+K16+L16</f>
        <v>5042.4652173912982</v>
      </c>
      <c r="S16">
        <f>+MONTH(B16)</f>
        <v>6</v>
      </c>
      <c r="T16">
        <f>+YEAR(B16)</f>
        <v>2025</v>
      </c>
      <c r="U16" t="s">
        <v>42</v>
      </c>
    </row>
    <row r="17" spans="1:21" customFormat="1" ht="15" customHeight="1" x14ac:dyDescent="0.3">
      <c r="A17" s="10">
        <v>45829</v>
      </c>
      <c r="B17" s="10">
        <v>45829</v>
      </c>
      <c r="C17" s="10">
        <v>46035</v>
      </c>
      <c r="D17" s="11" t="s">
        <v>75</v>
      </c>
      <c r="E17" s="11" t="s">
        <v>76</v>
      </c>
      <c r="F17" s="11" t="s">
        <v>58</v>
      </c>
      <c r="G17" s="11" t="s">
        <v>53</v>
      </c>
      <c r="H17" s="12">
        <v>2084.8695652173901</v>
      </c>
      <c r="I17" s="13">
        <v>0.14000000000000037</v>
      </c>
      <c r="J17" s="12">
        <v>335.66400000000061</v>
      </c>
      <c r="K17" s="12">
        <v>311.11466086956415</v>
      </c>
      <c r="L17" s="12">
        <v>312.73043478260797</v>
      </c>
      <c r="M17" t="s">
        <v>10</v>
      </c>
      <c r="N17" t="s">
        <v>54</v>
      </c>
      <c r="O17" t="s">
        <v>55</v>
      </c>
      <c r="P17" s="19">
        <v>46053</v>
      </c>
      <c r="Q17">
        <f>+H17+L17</f>
        <v>2397.5999999999981</v>
      </c>
      <c r="R17">
        <f>+J17+K17+L17</f>
        <v>959.50909565217273</v>
      </c>
      <c r="S17">
        <f>+MONTH(B17)</f>
        <v>6</v>
      </c>
      <c r="T17">
        <f>+YEAR(B17)</f>
        <v>2025</v>
      </c>
      <c r="U17" t="s">
        <v>42</v>
      </c>
    </row>
    <row r="18" spans="1:21" customFormat="1" ht="15" customHeight="1" x14ac:dyDescent="0.3">
      <c r="A18" s="10">
        <v>45829</v>
      </c>
      <c r="B18" s="10">
        <v>45829</v>
      </c>
      <c r="C18" s="10">
        <v>46035</v>
      </c>
      <c r="D18" s="11" t="s">
        <v>77</v>
      </c>
      <c r="E18" s="11" t="s">
        <v>78</v>
      </c>
      <c r="F18" s="11" t="s">
        <v>58</v>
      </c>
      <c r="G18" s="11" t="s">
        <v>53</v>
      </c>
      <c r="H18" s="12">
        <v>2084.8695652173901</v>
      </c>
      <c r="I18" s="13">
        <v>0.14000000000000037</v>
      </c>
      <c r="J18" s="12">
        <v>335.66400000000061</v>
      </c>
      <c r="K18" s="12">
        <v>311.11466086956415</v>
      </c>
      <c r="L18" s="12">
        <v>312.73043478260797</v>
      </c>
      <c r="M18" t="s">
        <v>10</v>
      </c>
      <c r="N18" t="s">
        <v>54</v>
      </c>
      <c r="O18" t="s">
        <v>55</v>
      </c>
      <c r="P18" s="19">
        <v>46053</v>
      </c>
      <c r="Q18">
        <f>+H18+L18</f>
        <v>2397.5999999999981</v>
      </c>
      <c r="R18">
        <f>+J18+K18+L18</f>
        <v>959.50909565217273</v>
      </c>
      <c r="S18">
        <f>+MONTH(B18)</f>
        <v>6</v>
      </c>
      <c r="T18">
        <f>+YEAR(B18)</f>
        <v>2025</v>
      </c>
      <c r="U18" t="s">
        <v>42</v>
      </c>
    </row>
    <row r="19" spans="1:21" customFormat="1" ht="15" customHeight="1" x14ac:dyDescent="0.3">
      <c r="A19" s="10">
        <v>45829</v>
      </c>
      <c r="B19" s="10">
        <v>45829</v>
      </c>
      <c r="C19" s="10">
        <v>46035</v>
      </c>
      <c r="D19" s="11" t="s">
        <v>79</v>
      </c>
      <c r="E19" s="11" t="s">
        <v>80</v>
      </c>
      <c r="F19" s="11" t="s">
        <v>58</v>
      </c>
      <c r="G19" s="11" t="s">
        <v>53</v>
      </c>
      <c r="H19" s="12">
        <v>2084.8695652173901</v>
      </c>
      <c r="I19" s="13">
        <v>0.14000000000000037</v>
      </c>
      <c r="J19" s="12">
        <v>335.66400000000061</v>
      </c>
      <c r="K19" s="12">
        <v>311.11466086956415</v>
      </c>
      <c r="L19" s="12">
        <v>312.73043478260797</v>
      </c>
      <c r="M19" t="s">
        <v>10</v>
      </c>
      <c r="N19" t="s">
        <v>54</v>
      </c>
      <c r="O19" t="s">
        <v>55</v>
      </c>
      <c r="P19" s="19">
        <v>46053</v>
      </c>
      <c r="Q19">
        <f>+H19+L19</f>
        <v>2397.5999999999981</v>
      </c>
      <c r="R19">
        <f>+J19+K19+L19</f>
        <v>959.50909565217273</v>
      </c>
      <c r="S19">
        <f>+MONTH(B19)</f>
        <v>6</v>
      </c>
      <c r="T19">
        <f>+YEAR(B19)</f>
        <v>2025</v>
      </c>
      <c r="U19" t="s">
        <v>42</v>
      </c>
    </row>
    <row r="20" spans="1:21" customFormat="1" ht="15" customHeight="1" x14ac:dyDescent="0.3">
      <c r="A20" s="10">
        <v>45831</v>
      </c>
      <c r="B20" s="10">
        <v>45831</v>
      </c>
      <c r="C20" s="10">
        <v>46035</v>
      </c>
      <c r="D20" s="11" t="s">
        <v>81</v>
      </c>
      <c r="E20" s="11" t="s">
        <v>62</v>
      </c>
      <c r="F20" s="11" t="s">
        <v>58</v>
      </c>
      <c r="G20" s="11" t="s">
        <v>53</v>
      </c>
      <c r="H20" s="12">
        <v>15652.173913043502</v>
      </c>
      <c r="I20" s="13">
        <v>0.14000000000000012</v>
      </c>
      <c r="J20" s="12">
        <v>2520.0000000000055</v>
      </c>
      <c r="K20" s="12">
        <v>2335.6956521739148</v>
      </c>
      <c r="L20" s="12">
        <v>2347.8260869565202</v>
      </c>
      <c r="M20" t="s">
        <v>10</v>
      </c>
      <c r="N20" t="s">
        <v>54</v>
      </c>
      <c r="O20" t="s">
        <v>55</v>
      </c>
      <c r="P20" s="19">
        <v>46053</v>
      </c>
      <c r="Q20">
        <f>+H20+L20</f>
        <v>18000.000000000022</v>
      </c>
      <c r="R20">
        <f>+J20+K20+L20</f>
        <v>7203.5217391304404</v>
      </c>
      <c r="S20">
        <f>+MONTH(B20)</f>
        <v>6</v>
      </c>
      <c r="T20">
        <f>+YEAR(B20)</f>
        <v>2025</v>
      </c>
      <c r="U20" t="s">
        <v>42</v>
      </c>
    </row>
    <row r="21" spans="1:21" customFormat="1" ht="15" customHeight="1" x14ac:dyDescent="0.3">
      <c r="A21" s="10">
        <v>44907</v>
      </c>
      <c r="B21" s="10">
        <v>44907</v>
      </c>
      <c r="C21" s="10">
        <v>46038</v>
      </c>
      <c r="D21" s="11" t="s">
        <v>82</v>
      </c>
      <c r="E21" s="11" t="s">
        <v>83</v>
      </c>
      <c r="F21" s="11" t="s">
        <v>84</v>
      </c>
      <c r="G21" s="11" t="s">
        <v>53</v>
      </c>
      <c r="H21" s="12">
        <v>754.05</v>
      </c>
      <c r="I21" s="13">
        <v>0.17499999999999999</v>
      </c>
      <c r="J21" s="12">
        <v>151.75299999999999</v>
      </c>
      <c r="K21" s="12">
        <v>74.084974999999986</v>
      </c>
      <c r="L21" s="12">
        <v>113.11</v>
      </c>
      <c r="M21" t="s">
        <v>10</v>
      </c>
      <c r="N21" t="s">
        <v>85</v>
      </c>
      <c r="O21" t="s">
        <v>41</v>
      </c>
      <c r="P21" s="19">
        <v>46053</v>
      </c>
      <c r="Q21">
        <f>+H21+L21</f>
        <v>867.16</v>
      </c>
      <c r="R21">
        <f>+J21+K21+L21</f>
        <v>338.94797499999999</v>
      </c>
      <c r="S21">
        <f>+MONTH(B21)</f>
        <v>12</v>
      </c>
      <c r="T21">
        <f>+YEAR(B21)</f>
        <v>2022</v>
      </c>
      <c r="U21" t="s">
        <v>42</v>
      </c>
    </row>
    <row r="22" spans="1:21" customFormat="1" ht="15" customHeight="1" x14ac:dyDescent="0.3">
      <c r="A22" s="10">
        <v>45956</v>
      </c>
      <c r="B22" s="10">
        <v>45956</v>
      </c>
      <c r="C22" s="10">
        <v>46034</v>
      </c>
      <c r="D22" s="11" t="s">
        <v>86</v>
      </c>
      <c r="E22" s="11" t="s">
        <v>87</v>
      </c>
      <c r="F22" s="11" t="s">
        <v>84</v>
      </c>
      <c r="G22" s="11" t="s">
        <v>53</v>
      </c>
      <c r="H22" s="12">
        <v>173.91</v>
      </c>
      <c r="I22" s="13">
        <v>0.17499999999999999</v>
      </c>
      <c r="J22" s="12">
        <v>35</v>
      </c>
      <c r="K22" s="12">
        <v>18.951229749999996</v>
      </c>
      <c r="L22" s="12">
        <v>26.09</v>
      </c>
      <c r="M22" t="s">
        <v>10</v>
      </c>
      <c r="N22" t="s">
        <v>54</v>
      </c>
      <c r="O22" t="s">
        <v>55</v>
      </c>
      <c r="P22" s="19">
        <v>46053</v>
      </c>
      <c r="Q22">
        <f>+H22+L22</f>
        <v>200</v>
      </c>
      <c r="R22">
        <f>+J22+K22+L22</f>
        <v>80.041229749999999</v>
      </c>
      <c r="S22">
        <f>+MONTH(B22)</f>
        <v>10</v>
      </c>
      <c r="T22">
        <f>+YEAR(B22)</f>
        <v>2025</v>
      </c>
      <c r="U22" t="s">
        <v>42</v>
      </c>
    </row>
    <row r="23" spans="1:21" customFormat="1" ht="15" customHeight="1" x14ac:dyDescent="0.3">
      <c r="A23" s="10">
        <v>45974</v>
      </c>
      <c r="B23" s="10">
        <v>45974</v>
      </c>
      <c r="C23" s="10">
        <v>46042</v>
      </c>
      <c r="D23" s="11" t="s">
        <v>88</v>
      </c>
      <c r="E23" s="11" t="s">
        <v>89</v>
      </c>
      <c r="F23" s="11" t="s">
        <v>90</v>
      </c>
      <c r="G23" s="11" t="s">
        <v>53</v>
      </c>
      <c r="H23" s="12">
        <v>2921.7391304347798</v>
      </c>
      <c r="I23" s="13">
        <v>0.17500000000000002</v>
      </c>
      <c r="J23" s="12">
        <v>587.99999999999955</v>
      </c>
      <c r="K23" s="12">
        <v>318.39652173912998</v>
      </c>
      <c r="L23" s="12">
        <v>438.26086956521698</v>
      </c>
      <c r="M23" t="s">
        <v>10</v>
      </c>
      <c r="N23" t="s">
        <v>54</v>
      </c>
      <c r="O23" t="s">
        <v>55</v>
      </c>
      <c r="P23" s="19">
        <v>46053</v>
      </c>
      <c r="Q23">
        <f>+H23+L23</f>
        <v>3359.9999999999968</v>
      </c>
      <c r="R23">
        <f>+J23+K23+L23</f>
        <v>1344.6573913043464</v>
      </c>
      <c r="S23">
        <f>+MONTH(B23)</f>
        <v>11</v>
      </c>
      <c r="T23">
        <f>+YEAR(B23)</f>
        <v>2025</v>
      </c>
      <c r="U23" t="s">
        <v>42</v>
      </c>
    </row>
    <row r="24" spans="1:21" customFormat="1" ht="15" customHeight="1" x14ac:dyDescent="0.3">
      <c r="A24" s="10">
        <v>45983</v>
      </c>
      <c r="B24" s="10">
        <v>45983</v>
      </c>
      <c r="C24" s="10">
        <v>46048</v>
      </c>
      <c r="D24" s="11" t="s">
        <v>91</v>
      </c>
      <c r="E24" s="11" t="s">
        <v>92</v>
      </c>
      <c r="F24" s="11" t="s">
        <v>84</v>
      </c>
      <c r="G24" s="11" t="s">
        <v>53</v>
      </c>
      <c r="H24" s="12">
        <v>365.70944347826099</v>
      </c>
      <c r="I24" s="13">
        <v>0.17499999999999977</v>
      </c>
      <c r="J24" s="12">
        <v>73.599025499999925</v>
      </c>
      <c r="K24" s="12">
        <v>39.853186603043582</v>
      </c>
      <c r="L24" s="12">
        <v>54.856416521739099</v>
      </c>
      <c r="M24" t="s">
        <v>10</v>
      </c>
      <c r="N24" t="s">
        <v>54</v>
      </c>
      <c r="O24" t="s">
        <v>55</v>
      </c>
      <c r="P24" s="19">
        <v>46053</v>
      </c>
      <c r="Q24">
        <f>+H24+L24</f>
        <v>420.5658600000001</v>
      </c>
      <c r="R24">
        <f>+J24+K24+L24</f>
        <v>168.30862862478261</v>
      </c>
      <c r="S24">
        <f>+MONTH(B24)</f>
        <v>11</v>
      </c>
      <c r="T24">
        <f>+YEAR(B24)</f>
        <v>2025</v>
      </c>
      <c r="U24" t="s">
        <v>42</v>
      </c>
    </row>
    <row r="25" spans="1:21" customFormat="1" ht="15" customHeight="1" x14ac:dyDescent="0.3">
      <c r="A25" s="10">
        <v>45977</v>
      </c>
      <c r="B25" s="10">
        <v>45977</v>
      </c>
      <c r="C25" s="10">
        <v>46048</v>
      </c>
      <c r="D25" s="11" t="s">
        <v>93</v>
      </c>
      <c r="E25" s="11" t="s">
        <v>94</v>
      </c>
      <c r="F25" s="11" t="s">
        <v>90</v>
      </c>
      <c r="G25" s="11" t="s">
        <v>53</v>
      </c>
      <c r="H25" s="12">
        <v>359.61049999999994</v>
      </c>
      <c r="I25" s="13">
        <v>0.17500000000000002</v>
      </c>
      <c r="J25" s="12">
        <v>72.371613124999996</v>
      </c>
      <c r="K25" s="12">
        <v>39.188554237499972</v>
      </c>
      <c r="L25" s="12">
        <v>53.941575</v>
      </c>
      <c r="M25" t="s">
        <v>10</v>
      </c>
      <c r="N25" t="s">
        <v>54</v>
      </c>
      <c r="O25" t="s">
        <v>55</v>
      </c>
      <c r="P25" s="19">
        <v>46053</v>
      </c>
      <c r="Q25">
        <f>+H25+L25</f>
        <v>413.55207499999995</v>
      </c>
      <c r="R25">
        <f>+J25+K25+L25</f>
        <v>165.50174236249995</v>
      </c>
      <c r="S25">
        <f>+MONTH(B25)</f>
        <v>11</v>
      </c>
      <c r="T25">
        <f>+YEAR(B25)</f>
        <v>2025</v>
      </c>
      <c r="U25" t="s">
        <v>42</v>
      </c>
    </row>
    <row r="26" spans="1:21" customFormat="1" ht="15" customHeight="1" x14ac:dyDescent="0.3">
      <c r="A26" s="10">
        <v>45968</v>
      </c>
      <c r="B26" s="10">
        <v>45968</v>
      </c>
      <c r="C26" s="10">
        <v>46048</v>
      </c>
      <c r="D26" s="11" t="s">
        <v>95</v>
      </c>
      <c r="E26" s="11" t="s">
        <v>87</v>
      </c>
      <c r="F26" s="11" t="s">
        <v>84</v>
      </c>
      <c r="G26" s="11" t="s">
        <v>53</v>
      </c>
      <c r="H26" s="12">
        <v>264.17791304347799</v>
      </c>
      <c r="I26" s="13">
        <v>0.17500000000000002</v>
      </c>
      <c r="J26" s="12">
        <v>53.165804999999956</v>
      </c>
      <c r="K26" s="12">
        <v>28.78878807391299</v>
      </c>
      <c r="L26" s="12">
        <v>39.626686956521702</v>
      </c>
      <c r="M26" t="s">
        <v>10</v>
      </c>
      <c r="N26" t="s">
        <v>54</v>
      </c>
      <c r="O26" t="s">
        <v>55</v>
      </c>
      <c r="P26" s="19">
        <v>46053</v>
      </c>
      <c r="Q26">
        <f>+H26+L26</f>
        <v>303.80459999999971</v>
      </c>
      <c r="R26">
        <f>+J26+K26+L26</f>
        <v>121.58128003043464</v>
      </c>
      <c r="S26">
        <f>+MONTH(B26)</f>
        <v>11</v>
      </c>
      <c r="T26">
        <f>+YEAR(B26)</f>
        <v>2025</v>
      </c>
      <c r="U26" t="s">
        <v>42</v>
      </c>
    </row>
    <row r="27" spans="1:21" customFormat="1" ht="15" customHeight="1" x14ac:dyDescent="0.3">
      <c r="A27" s="10">
        <v>45975</v>
      </c>
      <c r="B27" s="10">
        <v>45975</v>
      </c>
      <c r="C27" s="10">
        <v>46048</v>
      </c>
      <c r="D27" s="11" t="s">
        <v>96</v>
      </c>
      <c r="E27" s="11" t="s">
        <v>87</v>
      </c>
      <c r="F27" s="11" t="s">
        <v>84</v>
      </c>
      <c r="G27" s="11" t="s">
        <v>53</v>
      </c>
      <c r="H27" s="12">
        <v>623.32045217391305</v>
      </c>
      <c r="I27" s="13">
        <v>0.17500000000000002</v>
      </c>
      <c r="J27" s="12">
        <v>125.44324100000001</v>
      </c>
      <c r="K27" s="12">
        <v>67.926346275652136</v>
      </c>
      <c r="L27" s="12">
        <v>93.498067826086995</v>
      </c>
      <c r="M27" t="s">
        <v>10</v>
      </c>
      <c r="N27" t="s">
        <v>54</v>
      </c>
      <c r="O27" t="s">
        <v>55</v>
      </c>
      <c r="P27" s="19">
        <v>46053</v>
      </c>
      <c r="Q27">
        <f>+H27+L27</f>
        <v>716.81852000000003</v>
      </c>
      <c r="R27">
        <f>+J27+K27+L27</f>
        <v>286.86765510173916</v>
      </c>
      <c r="S27">
        <f>+MONTH(B27)</f>
        <v>11</v>
      </c>
      <c r="T27">
        <f>+YEAR(B27)</f>
        <v>2025</v>
      </c>
      <c r="U27" t="s">
        <v>42</v>
      </c>
    </row>
    <row r="28" spans="1:21" customFormat="1" ht="15" customHeight="1" x14ac:dyDescent="0.3">
      <c r="A28" s="10">
        <v>45988</v>
      </c>
      <c r="B28" s="10">
        <v>45988</v>
      </c>
      <c r="C28" s="10">
        <v>46048</v>
      </c>
      <c r="D28" s="11" t="s">
        <v>97</v>
      </c>
      <c r="E28" s="11" t="s">
        <v>87</v>
      </c>
      <c r="F28" s="11" t="s">
        <v>84</v>
      </c>
      <c r="G28" s="11" t="s">
        <v>53</v>
      </c>
      <c r="H28" s="12">
        <v>173.91</v>
      </c>
      <c r="I28" s="13">
        <v>0.17499999999999999</v>
      </c>
      <c r="J28" s="12">
        <v>35</v>
      </c>
      <c r="K28" s="12">
        <v>18.951229749999996</v>
      </c>
      <c r="L28" s="12">
        <v>26.09</v>
      </c>
      <c r="M28" t="s">
        <v>10</v>
      </c>
      <c r="N28" t="s">
        <v>54</v>
      </c>
      <c r="O28" t="s">
        <v>55</v>
      </c>
      <c r="P28" s="19">
        <v>46053</v>
      </c>
      <c r="Q28">
        <f>+H28+L28</f>
        <v>200</v>
      </c>
      <c r="R28">
        <f>+J28+K28+L28</f>
        <v>80.041229749999999</v>
      </c>
      <c r="S28">
        <f>+MONTH(B28)</f>
        <v>11</v>
      </c>
      <c r="T28">
        <f>+YEAR(B28)</f>
        <v>2025</v>
      </c>
      <c r="U28" t="s">
        <v>42</v>
      </c>
    </row>
    <row r="29" spans="1:21" customFormat="1" ht="15" customHeight="1" x14ac:dyDescent="0.3">
      <c r="A29" s="10">
        <v>45991</v>
      </c>
      <c r="B29" s="10">
        <v>45991</v>
      </c>
      <c r="C29" s="10">
        <v>46048</v>
      </c>
      <c r="D29" s="11" t="s">
        <v>98</v>
      </c>
      <c r="E29" s="11" t="s">
        <v>87</v>
      </c>
      <c r="F29" s="11" t="s">
        <v>84</v>
      </c>
      <c r="G29" s="11" t="s">
        <v>53</v>
      </c>
      <c r="H29" s="12">
        <v>173.91</v>
      </c>
      <c r="I29" s="13">
        <v>0.17499999999999999</v>
      </c>
      <c r="J29" s="12">
        <v>35</v>
      </c>
      <c r="K29" s="12">
        <v>18.951229749999996</v>
      </c>
      <c r="L29" s="12">
        <v>26.09</v>
      </c>
      <c r="M29" t="s">
        <v>10</v>
      </c>
      <c r="N29" t="s">
        <v>54</v>
      </c>
      <c r="O29" t="s">
        <v>55</v>
      </c>
      <c r="P29" s="19">
        <v>46053</v>
      </c>
      <c r="Q29">
        <f>+H29+L29</f>
        <v>200</v>
      </c>
      <c r="R29">
        <f>+J29+K29+L29</f>
        <v>80.041229749999999</v>
      </c>
      <c r="S29">
        <f>+MONTH(B29)</f>
        <v>11</v>
      </c>
      <c r="T29">
        <f>+YEAR(B29)</f>
        <v>2025</v>
      </c>
      <c r="U29" t="s">
        <v>42</v>
      </c>
    </row>
    <row r="30" spans="1:21" customFormat="1" ht="15" customHeight="1" x14ac:dyDescent="0.3">
      <c r="A30" s="10">
        <v>45989</v>
      </c>
      <c r="B30" s="10">
        <v>45989</v>
      </c>
      <c r="C30" s="10">
        <v>46048</v>
      </c>
      <c r="D30" s="11" t="s">
        <v>99</v>
      </c>
      <c r="E30" s="11" t="s">
        <v>94</v>
      </c>
      <c r="F30" s="11" t="s">
        <v>90</v>
      </c>
      <c r="G30" s="11" t="s">
        <v>53</v>
      </c>
      <c r="H30" s="12">
        <v>354.0453</v>
      </c>
      <c r="I30" s="13">
        <v>0.17500000000000002</v>
      </c>
      <c r="J30" s="12">
        <v>71.251616624999997</v>
      </c>
      <c r="K30" s="12">
        <v>38.582086567499999</v>
      </c>
      <c r="L30" s="12">
        <v>53.106794999999998</v>
      </c>
      <c r="M30" t="s">
        <v>10</v>
      </c>
      <c r="N30" t="s">
        <v>54</v>
      </c>
      <c r="O30" t="s">
        <v>55</v>
      </c>
      <c r="P30" s="19">
        <v>46053</v>
      </c>
      <c r="Q30">
        <f>+H30+L30</f>
        <v>407.15209499999997</v>
      </c>
      <c r="R30">
        <f>+J30+K30+L30</f>
        <v>162.9404981925</v>
      </c>
      <c r="S30">
        <f>+MONTH(B30)</f>
        <v>11</v>
      </c>
      <c r="T30">
        <f>+YEAR(B30)</f>
        <v>2025</v>
      </c>
      <c r="U30" t="s">
        <v>42</v>
      </c>
    </row>
    <row r="31" spans="1:21" customFormat="1" ht="15" customHeight="1" x14ac:dyDescent="0.3">
      <c r="A31" s="10">
        <v>45968</v>
      </c>
      <c r="B31" s="10">
        <v>45968</v>
      </c>
      <c r="C31" s="10">
        <v>46037</v>
      </c>
      <c r="D31" s="11" t="s">
        <v>100</v>
      </c>
      <c r="E31" s="11" t="s">
        <v>101</v>
      </c>
      <c r="F31" s="11" t="s">
        <v>90</v>
      </c>
      <c r="G31" s="11" t="s">
        <v>53</v>
      </c>
      <c r="H31" s="12">
        <v>18991.304347826099</v>
      </c>
      <c r="I31" s="13">
        <v>0.17499999999999963</v>
      </c>
      <c r="J31" s="12">
        <v>3821.9999999999932</v>
      </c>
      <c r="K31" s="12">
        <v>2069.5773913043581</v>
      </c>
      <c r="L31" s="12">
        <v>2848.6956521739098</v>
      </c>
      <c r="M31" t="s">
        <v>10</v>
      </c>
      <c r="N31" t="s">
        <v>54</v>
      </c>
      <c r="O31" t="s">
        <v>55</v>
      </c>
      <c r="P31" s="19">
        <v>46053</v>
      </c>
      <c r="Q31">
        <f>+H31+L31</f>
        <v>21840.000000000007</v>
      </c>
      <c r="R31">
        <f>+J31+K31+L31</f>
        <v>8740.2730434782607</v>
      </c>
      <c r="S31">
        <f>+MONTH(B31)</f>
        <v>11</v>
      </c>
      <c r="T31">
        <f>+YEAR(B31)</f>
        <v>2025</v>
      </c>
      <c r="U31" t="s">
        <v>42</v>
      </c>
    </row>
    <row r="32" spans="1:21" customFormat="1" ht="15" customHeight="1" x14ac:dyDescent="0.3">
      <c r="A32" s="10">
        <v>45967</v>
      </c>
      <c r="B32" s="10">
        <v>45967</v>
      </c>
      <c r="C32" s="10">
        <v>46037</v>
      </c>
      <c r="D32" s="11" t="s">
        <v>102</v>
      </c>
      <c r="E32" s="11" t="s">
        <v>103</v>
      </c>
      <c r="F32" s="11" t="s">
        <v>90</v>
      </c>
      <c r="G32" s="11" t="s">
        <v>53</v>
      </c>
      <c r="H32" s="12">
        <v>9970.4347826086996</v>
      </c>
      <c r="I32" s="13">
        <v>0.17499999999999979</v>
      </c>
      <c r="J32" s="12">
        <v>2006.5499999999977</v>
      </c>
      <c r="K32" s="12">
        <v>1086.5281304347857</v>
      </c>
      <c r="L32" s="12">
        <v>1495.5652173912997</v>
      </c>
      <c r="M32" t="s">
        <v>10</v>
      </c>
      <c r="N32" t="s">
        <v>54</v>
      </c>
      <c r="O32" t="s">
        <v>55</v>
      </c>
      <c r="P32" s="19">
        <v>46053</v>
      </c>
      <c r="Q32">
        <f>+H32+L32</f>
        <v>11466</v>
      </c>
      <c r="R32">
        <f>+J32+K32+L32</f>
        <v>4588.6433478260833</v>
      </c>
      <c r="S32">
        <f>+MONTH(B32)</f>
        <v>11</v>
      </c>
      <c r="T32">
        <f>+YEAR(B32)</f>
        <v>2025</v>
      </c>
      <c r="U32" t="s">
        <v>42</v>
      </c>
    </row>
    <row r="33" spans="1:21" customFormat="1" ht="15" customHeight="1" x14ac:dyDescent="0.3">
      <c r="A33" s="10">
        <v>45967</v>
      </c>
      <c r="B33" s="10">
        <v>45967</v>
      </c>
      <c r="C33" s="10">
        <v>46037</v>
      </c>
      <c r="D33" s="11" t="s">
        <v>104</v>
      </c>
      <c r="E33" s="11" t="s">
        <v>105</v>
      </c>
      <c r="F33" s="11" t="s">
        <v>90</v>
      </c>
      <c r="G33" s="11" t="s">
        <v>53</v>
      </c>
      <c r="H33" s="12">
        <v>18801.391304347799</v>
      </c>
      <c r="I33" s="13">
        <v>0.17500000000000007</v>
      </c>
      <c r="J33" s="12">
        <v>3783.7799999999961</v>
      </c>
      <c r="K33" s="12">
        <v>2048.8816173912992</v>
      </c>
      <c r="L33" s="12">
        <v>2820.2086956521698</v>
      </c>
      <c r="M33" t="s">
        <v>10</v>
      </c>
      <c r="N33" t="s">
        <v>54</v>
      </c>
      <c r="O33" t="s">
        <v>55</v>
      </c>
      <c r="P33" s="19">
        <v>46053</v>
      </c>
      <c r="Q33">
        <f>+H33+L33</f>
        <v>21621.599999999969</v>
      </c>
      <c r="R33">
        <f>+J33+K33+L33</f>
        <v>8652.870313043466</v>
      </c>
      <c r="S33">
        <f>+MONTH(B33)</f>
        <v>11</v>
      </c>
      <c r="T33">
        <f>+YEAR(B33)</f>
        <v>2025</v>
      </c>
      <c r="U33" t="s">
        <v>42</v>
      </c>
    </row>
    <row r="34" spans="1:21" customFormat="1" ht="15" customHeight="1" x14ac:dyDescent="0.3">
      <c r="A34" s="10">
        <v>45986</v>
      </c>
      <c r="B34" s="10">
        <v>45986</v>
      </c>
      <c r="C34" s="10">
        <v>46042</v>
      </c>
      <c r="D34" s="11" t="s">
        <v>106</v>
      </c>
      <c r="E34" s="11" t="s">
        <v>107</v>
      </c>
      <c r="F34" s="11" t="s">
        <v>52</v>
      </c>
      <c r="G34" s="11" t="s">
        <v>53</v>
      </c>
      <c r="H34" s="12">
        <v>3270.52</v>
      </c>
      <c r="I34" s="13">
        <v>0.14000000000000001</v>
      </c>
      <c r="J34" s="12">
        <v>526.5526000000001</v>
      </c>
      <c r="K34" s="12">
        <v>488.04446699999983</v>
      </c>
      <c r="L34" s="12">
        <v>490.57</v>
      </c>
      <c r="M34" t="s">
        <v>10</v>
      </c>
      <c r="N34" t="s">
        <v>54</v>
      </c>
      <c r="O34" t="s">
        <v>55</v>
      </c>
      <c r="P34" s="19">
        <v>46053</v>
      </c>
      <c r="Q34">
        <f>+H34+L34</f>
        <v>3761.09</v>
      </c>
      <c r="R34">
        <f>+J34+K34+L34</f>
        <v>1505.1670669999999</v>
      </c>
      <c r="S34">
        <f>+MONTH(B34)</f>
        <v>11</v>
      </c>
      <c r="T34">
        <f>+YEAR(B34)</f>
        <v>2025</v>
      </c>
      <c r="U34" t="s">
        <v>42</v>
      </c>
    </row>
    <row r="35" spans="1:21" customFormat="1" ht="15" customHeight="1" x14ac:dyDescent="0.3">
      <c r="A35" s="10">
        <v>46043</v>
      </c>
      <c r="B35" s="10">
        <v>46043</v>
      </c>
      <c r="C35" s="10">
        <v>46043</v>
      </c>
      <c r="D35" s="11" t="s">
        <v>133</v>
      </c>
      <c r="E35" s="11" t="s">
        <v>126</v>
      </c>
      <c r="F35" s="11" t="s">
        <v>90</v>
      </c>
      <c r="G35" s="11" t="s">
        <v>53</v>
      </c>
      <c r="H35" s="12">
        <v>46431.96</v>
      </c>
      <c r="I35" s="13">
        <v>0.17500000000000002</v>
      </c>
      <c r="J35" s="12">
        <v>9344.42425</v>
      </c>
      <c r="K35" s="12">
        <v>5152.7944610000013</v>
      </c>
      <c r="L35" s="12">
        <v>6964.75</v>
      </c>
      <c r="M35" t="s">
        <v>10</v>
      </c>
      <c r="N35" t="s">
        <v>85</v>
      </c>
      <c r="O35" t="s">
        <v>41</v>
      </c>
      <c r="P35" s="19">
        <v>46053</v>
      </c>
      <c r="Q35">
        <f>+H35+L35</f>
        <v>53396.71</v>
      </c>
      <c r="R35">
        <f>+J35+K35+L35</f>
        <v>21461.968711000001</v>
      </c>
      <c r="S35">
        <f>+MONTH(B35)</f>
        <v>1</v>
      </c>
      <c r="T35">
        <f>+YEAR(B35)</f>
        <v>2026</v>
      </c>
      <c r="U35" t="s">
        <v>42</v>
      </c>
    </row>
    <row r="36" spans="1:21" customFormat="1" ht="15" customHeight="1" x14ac:dyDescent="0.3">
      <c r="A36" s="10">
        <v>44907</v>
      </c>
      <c r="B36" s="10">
        <v>44907</v>
      </c>
      <c r="C36" s="10">
        <v>46038</v>
      </c>
      <c r="D36" s="11" t="s">
        <v>110</v>
      </c>
      <c r="E36" s="11" t="s">
        <v>83</v>
      </c>
      <c r="F36" s="11" t="s">
        <v>84</v>
      </c>
      <c r="G36" s="11" t="s">
        <v>53</v>
      </c>
      <c r="H36" s="12">
        <v>784.84000000000015</v>
      </c>
      <c r="I36" s="13">
        <v>0.17499999999999996</v>
      </c>
      <c r="J36" s="12">
        <v>157.94800000000001</v>
      </c>
      <c r="K36" s="12">
        <v>77.111580000000032</v>
      </c>
      <c r="L36" s="12">
        <v>117.72000000000001</v>
      </c>
      <c r="M36" t="s">
        <v>10</v>
      </c>
      <c r="N36" t="s">
        <v>85</v>
      </c>
      <c r="O36" t="s">
        <v>41</v>
      </c>
      <c r="P36" s="19">
        <v>46053</v>
      </c>
      <c r="Q36">
        <f>+H36+L36</f>
        <v>902.56000000000017</v>
      </c>
      <c r="R36">
        <f>+J36+K36+L36</f>
        <v>352.77958000000007</v>
      </c>
      <c r="S36">
        <f>+MONTH(B36)</f>
        <v>12</v>
      </c>
      <c r="T36">
        <f>+YEAR(B36)</f>
        <v>2022</v>
      </c>
      <c r="U36" t="s">
        <v>42</v>
      </c>
    </row>
    <row r="37" spans="1:21" customFormat="1" ht="15" customHeight="1" x14ac:dyDescent="0.3">
      <c r="A37" s="10">
        <v>44907</v>
      </c>
      <c r="B37" s="10">
        <v>44907</v>
      </c>
      <c r="C37" s="10">
        <v>46038</v>
      </c>
      <c r="D37" s="11" t="s">
        <v>111</v>
      </c>
      <c r="E37" s="11" t="s">
        <v>83</v>
      </c>
      <c r="F37" s="11" t="s">
        <v>84</v>
      </c>
      <c r="G37" s="11" t="s">
        <v>53</v>
      </c>
      <c r="H37" s="12">
        <v>408.16000000000008</v>
      </c>
      <c r="I37" s="13">
        <v>0.17499999999999996</v>
      </c>
      <c r="J37" s="12">
        <v>82.143249999999995</v>
      </c>
      <c r="K37" s="12">
        <v>40.100670000000022</v>
      </c>
      <c r="L37" s="12">
        <v>61.22999999999999</v>
      </c>
      <c r="M37" t="s">
        <v>10</v>
      </c>
      <c r="N37" t="s">
        <v>85</v>
      </c>
      <c r="O37" t="s">
        <v>41</v>
      </c>
      <c r="P37" s="19">
        <v>46053</v>
      </c>
      <c r="Q37">
        <f>+H37+L37</f>
        <v>469.3900000000001</v>
      </c>
      <c r="R37">
        <f>+J37+K37+L37</f>
        <v>183.47392000000002</v>
      </c>
      <c r="S37">
        <f>+MONTH(B37)</f>
        <v>12</v>
      </c>
      <c r="T37">
        <f>+YEAR(B37)</f>
        <v>2022</v>
      </c>
      <c r="U37" t="s">
        <v>42</v>
      </c>
    </row>
    <row r="38" spans="1:21" customFormat="1" ht="15" customHeight="1" x14ac:dyDescent="0.3">
      <c r="A38" s="10">
        <v>45460</v>
      </c>
      <c r="B38" s="10">
        <v>46003</v>
      </c>
      <c r="C38" s="10">
        <v>46031</v>
      </c>
      <c r="D38" s="11" t="s">
        <v>112</v>
      </c>
      <c r="E38" s="11" t="s">
        <v>113</v>
      </c>
      <c r="F38" s="11" t="s">
        <v>90</v>
      </c>
      <c r="G38" s="11" t="s">
        <v>53</v>
      </c>
      <c r="H38" s="12">
        <v>83.2</v>
      </c>
      <c r="I38" s="13">
        <v>0.17499999999999996</v>
      </c>
      <c r="J38" s="12">
        <v>16.743999999999996</v>
      </c>
      <c r="K38" s="12">
        <v>8.933600000000002</v>
      </c>
      <c r="L38" s="12">
        <v>12.479999999999999</v>
      </c>
      <c r="M38" t="s">
        <v>10</v>
      </c>
      <c r="N38" t="s">
        <v>85</v>
      </c>
      <c r="O38" t="s">
        <v>55</v>
      </c>
      <c r="P38" s="19">
        <v>46053</v>
      </c>
      <c r="Q38">
        <f>+H38+L38</f>
        <v>95.68</v>
      </c>
      <c r="R38">
        <f>+J38+K38+L38</f>
        <v>38.157599999999995</v>
      </c>
      <c r="S38">
        <f>+MONTH(B38)</f>
        <v>12</v>
      </c>
      <c r="T38">
        <f>+YEAR(B38)</f>
        <v>2025</v>
      </c>
      <c r="U38" t="s">
        <v>42</v>
      </c>
    </row>
    <row r="39" spans="1:21" customFormat="1" ht="15" customHeight="1" x14ac:dyDescent="0.3">
      <c r="A39" s="10">
        <v>45460</v>
      </c>
      <c r="B39" s="10">
        <v>46003</v>
      </c>
      <c r="C39" s="10">
        <v>46031</v>
      </c>
      <c r="D39" s="11" t="s">
        <v>114</v>
      </c>
      <c r="E39" s="11" t="s">
        <v>113</v>
      </c>
      <c r="F39" s="11" t="s">
        <v>90</v>
      </c>
      <c r="G39" s="11" t="s">
        <v>53</v>
      </c>
      <c r="H39" s="12">
        <v>311.44999999999993</v>
      </c>
      <c r="I39" s="13">
        <v>0.17499999999999999</v>
      </c>
      <c r="J39" s="12">
        <v>62.679749999999991</v>
      </c>
      <c r="K39" s="12">
        <v>33.441506249999982</v>
      </c>
      <c r="L39" s="12">
        <v>46.72</v>
      </c>
      <c r="M39" t="s">
        <v>10</v>
      </c>
      <c r="N39" t="s">
        <v>85</v>
      </c>
      <c r="O39" t="s">
        <v>55</v>
      </c>
      <c r="P39" s="19">
        <v>46053</v>
      </c>
      <c r="Q39">
        <f>+H39+L39</f>
        <v>358.16999999999996</v>
      </c>
      <c r="R39">
        <f>+J39+K39+L39</f>
        <v>142.84125624999996</v>
      </c>
      <c r="S39">
        <f>+MONTH(B39)</f>
        <v>12</v>
      </c>
      <c r="T39">
        <f>+YEAR(B39)</f>
        <v>2025</v>
      </c>
      <c r="U39" t="s">
        <v>42</v>
      </c>
    </row>
    <row r="40" spans="1:21" customFormat="1" ht="15" customHeight="1" x14ac:dyDescent="0.3">
      <c r="A40" s="10">
        <v>45462</v>
      </c>
      <c r="B40" s="10">
        <v>46003</v>
      </c>
      <c r="C40" s="10">
        <v>46031</v>
      </c>
      <c r="D40" s="11" t="s">
        <v>115</v>
      </c>
      <c r="E40" s="11" t="s">
        <v>113</v>
      </c>
      <c r="F40" s="11" t="s">
        <v>90</v>
      </c>
      <c r="G40" s="11" t="s">
        <v>53</v>
      </c>
      <c r="H40" s="12">
        <v>157.19999999999999</v>
      </c>
      <c r="I40" s="13">
        <v>0.17500000000000002</v>
      </c>
      <c r="J40" s="12">
        <v>31.636499999999998</v>
      </c>
      <c r="K40" s="12">
        <v>16.879349999999995</v>
      </c>
      <c r="L40" s="12">
        <v>23.58</v>
      </c>
      <c r="M40" t="s">
        <v>10</v>
      </c>
      <c r="N40" t="s">
        <v>85</v>
      </c>
      <c r="O40" t="s">
        <v>55</v>
      </c>
      <c r="P40" s="19">
        <v>46053</v>
      </c>
      <c r="Q40">
        <f>+H40+L40</f>
        <v>180.77999999999997</v>
      </c>
      <c r="R40">
        <f>+J40+K40+L40</f>
        <v>72.095849999999984</v>
      </c>
      <c r="S40">
        <f>+MONTH(B40)</f>
        <v>12</v>
      </c>
      <c r="T40">
        <f>+YEAR(B40)</f>
        <v>2025</v>
      </c>
      <c r="U40" t="s">
        <v>42</v>
      </c>
    </row>
    <row r="41" spans="1:21" customFormat="1" ht="15" customHeight="1" x14ac:dyDescent="0.3">
      <c r="A41" s="10">
        <v>45471</v>
      </c>
      <c r="B41" s="10">
        <v>46003</v>
      </c>
      <c r="C41" s="10">
        <v>46031</v>
      </c>
      <c r="D41" s="11" t="s">
        <v>116</v>
      </c>
      <c r="E41" s="11" t="s">
        <v>113</v>
      </c>
      <c r="F41" s="11" t="s">
        <v>90</v>
      </c>
      <c r="G41" s="11" t="s">
        <v>53</v>
      </c>
      <c r="H41" s="12">
        <v>119.87999999999998</v>
      </c>
      <c r="I41" s="13">
        <v>0.17499999999999999</v>
      </c>
      <c r="J41" s="12">
        <v>24.125499999999995</v>
      </c>
      <c r="K41" s="12">
        <v>12.872464999999998</v>
      </c>
      <c r="L41" s="12">
        <v>17.98</v>
      </c>
      <c r="M41" t="s">
        <v>10</v>
      </c>
      <c r="N41" t="s">
        <v>85</v>
      </c>
      <c r="O41" t="s">
        <v>55</v>
      </c>
      <c r="P41" s="19">
        <v>46053</v>
      </c>
      <c r="Q41">
        <f>+H41+L41</f>
        <v>137.85999999999999</v>
      </c>
      <c r="R41">
        <f>+J41+K41+L41</f>
        <v>54.977964999999998</v>
      </c>
      <c r="S41">
        <f>+MONTH(B41)</f>
        <v>12</v>
      </c>
      <c r="T41">
        <f>+YEAR(B41)</f>
        <v>2025</v>
      </c>
      <c r="U41" t="s">
        <v>42</v>
      </c>
    </row>
    <row r="42" spans="1:21" customFormat="1" ht="15" customHeight="1" x14ac:dyDescent="0.3">
      <c r="A42" s="10">
        <v>45475</v>
      </c>
      <c r="B42" s="10">
        <v>46003</v>
      </c>
      <c r="C42" s="10">
        <v>46031</v>
      </c>
      <c r="D42" s="11" t="s">
        <v>117</v>
      </c>
      <c r="E42" s="11" t="s">
        <v>113</v>
      </c>
      <c r="F42" s="11" t="s">
        <v>90</v>
      </c>
      <c r="G42" s="11" t="s">
        <v>53</v>
      </c>
      <c r="H42" s="12">
        <v>909.78</v>
      </c>
      <c r="I42" s="13">
        <v>0.17499999999999999</v>
      </c>
      <c r="J42" s="12">
        <v>183.09375</v>
      </c>
      <c r="K42" s="12">
        <v>97.68710249999998</v>
      </c>
      <c r="L42" s="12">
        <v>136.47</v>
      </c>
      <c r="M42" t="s">
        <v>10</v>
      </c>
      <c r="N42" t="s">
        <v>85</v>
      </c>
      <c r="O42" t="s">
        <v>55</v>
      </c>
      <c r="P42" s="19">
        <v>46053</v>
      </c>
      <c r="Q42">
        <f>+H42+L42</f>
        <v>1046.25</v>
      </c>
      <c r="R42">
        <f>+J42+K42+L42</f>
        <v>417.25085249999995</v>
      </c>
      <c r="S42">
        <f>+MONTH(B42)</f>
        <v>12</v>
      </c>
      <c r="T42">
        <f>+YEAR(B42)</f>
        <v>2025</v>
      </c>
      <c r="U42" t="s">
        <v>42</v>
      </c>
    </row>
    <row r="43" spans="1:21" customFormat="1" ht="15" customHeight="1" x14ac:dyDescent="0.3">
      <c r="A43" s="10">
        <v>45475</v>
      </c>
      <c r="B43" s="10">
        <v>46003</v>
      </c>
      <c r="C43" s="10">
        <v>46031</v>
      </c>
      <c r="D43" s="11" t="s">
        <v>118</v>
      </c>
      <c r="E43" s="11" t="s">
        <v>113</v>
      </c>
      <c r="F43" s="11" t="s">
        <v>90</v>
      </c>
      <c r="G43" s="11" t="s">
        <v>53</v>
      </c>
      <c r="H43" s="12">
        <v>141.13</v>
      </c>
      <c r="I43" s="13">
        <v>0.17499999999999996</v>
      </c>
      <c r="J43" s="12">
        <v>28.402499999999996</v>
      </c>
      <c r="K43" s="12">
        <v>15.153746249999998</v>
      </c>
      <c r="L43" s="12">
        <v>21.17</v>
      </c>
      <c r="M43" t="s">
        <v>10</v>
      </c>
      <c r="N43" t="s">
        <v>85</v>
      </c>
      <c r="O43" t="s">
        <v>55</v>
      </c>
      <c r="P43" s="19">
        <v>46053</v>
      </c>
      <c r="Q43">
        <f>+H43+L43</f>
        <v>162.30000000000001</v>
      </c>
      <c r="R43">
        <f>+J43+K43+L43</f>
        <v>64.726246250000003</v>
      </c>
      <c r="S43">
        <f>+MONTH(B43)</f>
        <v>12</v>
      </c>
      <c r="T43">
        <f>+YEAR(B43)</f>
        <v>2025</v>
      </c>
      <c r="U43" t="s">
        <v>42</v>
      </c>
    </row>
    <row r="44" spans="1:21" customFormat="1" ht="15" customHeight="1" x14ac:dyDescent="0.3">
      <c r="A44" s="10">
        <v>45485</v>
      </c>
      <c r="B44" s="10">
        <v>46003</v>
      </c>
      <c r="C44" s="10">
        <v>46031</v>
      </c>
      <c r="D44" s="11" t="s">
        <v>119</v>
      </c>
      <c r="E44" s="11" t="s">
        <v>113</v>
      </c>
      <c r="F44" s="11" t="s">
        <v>90</v>
      </c>
      <c r="G44" s="11" t="s">
        <v>53</v>
      </c>
      <c r="H44" s="12">
        <v>1007.8999999999999</v>
      </c>
      <c r="I44" s="13">
        <v>0.17499999999999999</v>
      </c>
      <c r="J44" s="12">
        <v>202.83899999999997</v>
      </c>
      <c r="K44" s="12">
        <v>108.22413749999996</v>
      </c>
      <c r="L44" s="12">
        <v>151.18</v>
      </c>
      <c r="M44" t="s">
        <v>10</v>
      </c>
      <c r="N44" t="s">
        <v>85</v>
      </c>
      <c r="O44" t="s">
        <v>55</v>
      </c>
      <c r="P44" s="19">
        <v>46053</v>
      </c>
      <c r="Q44">
        <f>+H44+L44</f>
        <v>1159.08</v>
      </c>
      <c r="R44">
        <f>+J44+K44+L44</f>
        <v>462.24313749999993</v>
      </c>
      <c r="S44">
        <f>+MONTH(B44)</f>
        <v>12</v>
      </c>
      <c r="T44">
        <f>+YEAR(B44)</f>
        <v>2025</v>
      </c>
      <c r="U44" t="s">
        <v>42</v>
      </c>
    </row>
    <row r="45" spans="1:21" customFormat="1" ht="15" customHeight="1" x14ac:dyDescent="0.3">
      <c r="A45" s="10">
        <v>45488</v>
      </c>
      <c r="B45" s="10">
        <v>46003</v>
      </c>
      <c r="C45" s="10">
        <v>46031</v>
      </c>
      <c r="D45" s="11" t="s">
        <v>120</v>
      </c>
      <c r="E45" s="11" t="s">
        <v>113</v>
      </c>
      <c r="F45" s="11" t="s">
        <v>90</v>
      </c>
      <c r="G45" s="11" t="s">
        <v>53</v>
      </c>
      <c r="H45" s="12">
        <v>612.96</v>
      </c>
      <c r="I45" s="13">
        <v>0.17499999999999999</v>
      </c>
      <c r="J45" s="12">
        <v>123.3575</v>
      </c>
      <c r="K45" s="12">
        <v>65.817279999999997</v>
      </c>
      <c r="L45" s="12">
        <v>91.94</v>
      </c>
      <c r="M45" t="s">
        <v>10</v>
      </c>
      <c r="N45" t="s">
        <v>85</v>
      </c>
      <c r="O45" t="s">
        <v>55</v>
      </c>
      <c r="P45" s="19">
        <v>46053</v>
      </c>
      <c r="Q45">
        <f>+H45+L45</f>
        <v>704.90000000000009</v>
      </c>
      <c r="R45">
        <f>+J45+K45+L45</f>
        <v>281.11478</v>
      </c>
      <c r="S45">
        <f>+MONTH(B45)</f>
        <v>12</v>
      </c>
      <c r="T45">
        <f>+YEAR(B45)</f>
        <v>2025</v>
      </c>
      <c r="U45" t="s">
        <v>42</v>
      </c>
    </row>
    <row r="46" spans="1:21" customFormat="1" ht="15" customHeight="1" x14ac:dyDescent="0.3">
      <c r="A46" s="10">
        <v>45505</v>
      </c>
      <c r="B46" s="10">
        <v>46003</v>
      </c>
      <c r="C46" s="10">
        <v>46031</v>
      </c>
      <c r="D46" s="11" t="s">
        <v>121</v>
      </c>
      <c r="E46" s="11" t="s">
        <v>113</v>
      </c>
      <c r="F46" s="11" t="s">
        <v>90</v>
      </c>
      <c r="G46" s="11" t="s">
        <v>53</v>
      </c>
      <c r="H46" s="12">
        <v>277.17</v>
      </c>
      <c r="I46" s="13">
        <v>0.17499999999999999</v>
      </c>
      <c r="J46" s="12">
        <v>55.779499999999999</v>
      </c>
      <c r="K46" s="12">
        <v>29.762091249999997</v>
      </c>
      <c r="L46" s="12">
        <v>41.57</v>
      </c>
      <c r="M46" t="s">
        <v>10</v>
      </c>
      <c r="N46" t="s">
        <v>85</v>
      </c>
      <c r="O46" t="s">
        <v>55</v>
      </c>
      <c r="P46" s="19">
        <v>46053</v>
      </c>
      <c r="Q46">
        <f>+H46+L46</f>
        <v>318.74</v>
      </c>
      <c r="R46">
        <f>+J46+K46+L46</f>
        <v>127.11159125</v>
      </c>
      <c r="S46">
        <f>+MONTH(B46)</f>
        <v>12</v>
      </c>
      <c r="T46">
        <f>+YEAR(B46)</f>
        <v>2025</v>
      </c>
      <c r="U46" t="s">
        <v>42</v>
      </c>
    </row>
    <row r="47" spans="1:21" customFormat="1" ht="15" customHeight="1" x14ac:dyDescent="0.3">
      <c r="A47" s="10">
        <v>45531</v>
      </c>
      <c r="B47" s="10">
        <v>46003</v>
      </c>
      <c r="C47" s="10">
        <v>46031</v>
      </c>
      <c r="D47" s="11" t="s">
        <v>122</v>
      </c>
      <c r="E47" s="11" t="s">
        <v>113</v>
      </c>
      <c r="F47" s="11" t="s">
        <v>90</v>
      </c>
      <c r="G47" s="11" t="s">
        <v>53</v>
      </c>
      <c r="H47" s="12">
        <v>201.5</v>
      </c>
      <c r="I47" s="13">
        <v>0.17499999999999999</v>
      </c>
      <c r="J47" s="12">
        <v>40.550999999999995</v>
      </c>
      <c r="K47" s="12">
        <v>21.636937500000002</v>
      </c>
      <c r="L47" s="12">
        <v>30.22</v>
      </c>
      <c r="M47" t="s">
        <v>10</v>
      </c>
      <c r="N47" t="s">
        <v>85</v>
      </c>
      <c r="O47" t="s">
        <v>55</v>
      </c>
      <c r="P47" s="19">
        <v>46053</v>
      </c>
      <c r="Q47">
        <f>+H47+L47</f>
        <v>231.72</v>
      </c>
      <c r="R47">
        <f>+J47+K47+L47</f>
        <v>92.407937500000003</v>
      </c>
      <c r="S47">
        <f>+MONTH(B47)</f>
        <v>12</v>
      </c>
      <c r="T47">
        <f>+YEAR(B47)</f>
        <v>2025</v>
      </c>
      <c r="U47" t="s">
        <v>42</v>
      </c>
    </row>
    <row r="48" spans="1:21" customFormat="1" ht="15" customHeight="1" x14ac:dyDescent="0.3">
      <c r="A48" s="10">
        <v>45691</v>
      </c>
      <c r="B48" s="10">
        <v>46003</v>
      </c>
      <c r="C48" s="10">
        <v>46031</v>
      </c>
      <c r="D48" s="11" t="s">
        <v>123</v>
      </c>
      <c r="E48" s="11" t="s">
        <v>113</v>
      </c>
      <c r="F48" s="11" t="s">
        <v>90</v>
      </c>
      <c r="G48" s="11" t="s">
        <v>53</v>
      </c>
      <c r="H48" s="12">
        <v>817.31</v>
      </c>
      <c r="I48" s="13">
        <v>0.17499999999999999</v>
      </c>
      <c r="J48" s="12">
        <v>164.48249999999999</v>
      </c>
      <c r="K48" s="12">
        <v>89.06749474999998</v>
      </c>
      <c r="L48" s="12">
        <v>122.58999999999999</v>
      </c>
      <c r="M48" t="s">
        <v>10</v>
      </c>
      <c r="N48" t="s">
        <v>85</v>
      </c>
      <c r="O48" t="s">
        <v>55</v>
      </c>
      <c r="P48" s="19">
        <v>46053</v>
      </c>
      <c r="Q48">
        <f>+H48+L48</f>
        <v>939.9</v>
      </c>
      <c r="R48">
        <f>+J48+K48+L48</f>
        <v>376.13999474999997</v>
      </c>
      <c r="S48">
        <f>+MONTH(B48)</f>
        <v>12</v>
      </c>
      <c r="T48">
        <f>+YEAR(B48)</f>
        <v>2025</v>
      </c>
      <c r="U48" t="s">
        <v>42</v>
      </c>
    </row>
    <row r="49" spans="1:21" customFormat="1" ht="15" customHeight="1" x14ac:dyDescent="0.3">
      <c r="A49" s="10">
        <v>45699</v>
      </c>
      <c r="B49" s="10">
        <v>46003</v>
      </c>
      <c r="C49" s="10">
        <v>46031</v>
      </c>
      <c r="D49" s="11" t="s">
        <v>124</v>
      </c>
      <c r="E49" s="11" t="s">
        <v>113</v>
      </c>
      <c r="F49" s="11" t="s">
        <v>90</v>
      </c>
      <c r="G49" s="11" t="s">
        <v>53</v>
      </c>
      <c r="H49" s="12">
        <v>177.58000000000004</v>
      </c>
      <c r="I49" s="13">
        <v>0.17499999999999996</v>
      </c>
      <c r="J49" s="12">
        <v>35.738499999999995</v>
      </c>
      <c r="K49" s="12">
        <v>19.351255500000015</v>
      </c>
      <c r="L49" s="12">
        <v>26.64</v>
      </c>
      <c r="M49" t="s">
        <v>10</v>
      </c>
      <c r="N49" t="s">
        <v>85</v>
      </c>
      <c r="O49" t="s">
        <v>55</v>
      </c>
      <c r="P49" s="19">
        <v>46053</v>
      </c>
      <c r="Q49">
        <f>+H49+L49</f>
        <v>204.22000000000003</v>
      </c>
      <c r="R49">
        <f>+J49+K49+L49</f>
        <v>81.72975550000001</v>
      </c>
      <c r="S49">
        <f>+MONTH(B49)</f>
        <v>12</v>
      </c>
      <c r="T49">
        <f>+YEAR(B49)</f>
        <v>2025</v>
      </c>
      <c r="U49" t="s">
        <v>42</v>
      </c>
    </row>
    <row r="50" spans="1:21" customFormat="1" ht="15" customHeight="1" x14ac:dyDescent="0.3">
      <c r="A50" s="10">
        <v>46043</v>
      </c>
      <c r="B50" s="10">
        <v>46043</v>
      </c>
      <c r="C50" s="10">
        <v>46043</v>
      </c>
      <c r="D50" s="11" t="s">
        <v>128</v>
      </c>
      <c r="E50" s="11" t="s">
        <v>126</v>
      </c>
      <c r="F50" s="11" t="s">
        <v>90</v>
      </c>
      <c r="G50" s="11" t="s">
        <v>53</v>
      </c>
      <c r="H50" s="12">
        <v>45834.09</v>
      </c>
      <c r="I50" s="13">
        <v>0.17499999999999999</v>
      </c>
      <c r="J50" s="12">
        <v>9224.1029999999992</v>
      </c>
      <c r="K50" s="12">
        <v>5086.4457502500009</v>
      </c>
      <c r="L50" s="12">
        <v>6875.07</v>
      </c>
      <c r="M50" t="s">
        <v>10</v>
      </c>
      <c r="N50" t="s">
        <v>85</v>
      </c>
      <c r="O50" t="s">
        <v>41</v>
      </c>
      <c r="P50" s="19">
        <v>46053</v>
      </c>
      <c r="Q50">
        <f>+H50+L50</f>
        <v>52709.159999999996</v>
      </c>
      <c r="R50">
        <f>+J50+K50+L50</f>
        <v>21185.61875025</v>
      </c>
      <c r="S50">
        <f>+MONTH(B50)</f>
        <v>1</v>
      </c>
      <c r="T50">
        <f>+YEAR(B50)</f>
        <v>2026</v>
      </c>
      <c r="U50" t="s">
        <v>42</v>
      </c>
    </row>
    <row r="51" spans="1:21" customFormat="1" ht="15" customHeight="1" x14ac:dyDescent="0.3">
      <c r="A51" s="10">
        <v>46030</v>
      </c>
      <c r="B51" s="10">
        <v>46030</v>
      </c>
      <c r="C51" s="10">
        <v>46049</v>
      </c>
      <c r="D51" s="11" t="s">
        <v>348</v>
      </c>
      <c r="E51" s="11" t="s">
        <v>349</v>
      </c>
      <c r="F51" s="11" t="s">
        <v>323</v>
      </c>
      <c r="G51" s="11" t="s">
        <v>53</v>
      </c>
      <c r="H51" s="12">
        <v>40800</v>
      </c>
      <c r="I51" s="13">
        <v>0.15</v>
      </c>
      <c r="J51" s="12">
        <v>7038</v>
      </c>
      <c r="K51" s="12">
        <v>5700.7800000000007</v>
      </c>
      <c r="L51" s="12">
        <v>6120</v>
      </c>
      <c r="M51" t="s">
        <v>10</v>
      </c>
      <c r="N51" t="s">
        <v>54</v>
      </c>
      <c r="O51" t="s">
        <v>55</v>
      </c>
      <c r="P51" s="19">
        <v>46053</v>
      </c>
      <c r="Q51">
        <f>+H51+L51</f>
        <v>46920</v>
      </c>
      <c r="R51">
        <f>+J51+K51+L51</f>
        <v>18858.78</v>
      </c>
      <c r="S51">
        <f>+MONTH(B51)</f>
        <v>1</v>
      </c>
      <c r="T51">
        <f>+YEAR(B51)</f>
        <v>2026</v>
      </c>
      <c r="U51" t="s">
        <v>42</v>
      </c>
    </row>
    <row r="52" spans="1:21" customFormat="1" ht="15" customHeight="1" x14ac:dyDescent="0.3">
      <c r="A52" s="41"/>
      <c r="B52" s="20">
        <v>46042</v>
      </c>
      <c r="C52" s="41"/>
      <c r="D52" s="41" t="s">
        <v>372</v>
      </c>
      <c r="E52" s="41" t="s">
        <v>373</v>
      </c>
      <c r="F52" s="41" t="s">
        <v>363</v>
      </c>
      <c r="G52" s="41" t="s">
        <v>53</v>
      </c>
      <c r="H52" s="55">
        <v>40000</v>
      </c>
      <c r="I52" s="56">
        <v>0.17499999999999999</v>
      </c>
      <c r="J52" s="55">
        <v>8049.9999999999991</v>
      </c>
      <c r="K52" s="55">
        <v>4439.0000000000027</v>
      </c>
      <c r="L52" s="55">
        <v>6000</v>
      </c>
      <c r="M52" s="41" t="s">
        <v>10</v>
      </c>
      <c r="N52" s="41" t="s">
        <v>54</v>
      </c>
      <c r="O52" s="41" t="s">
        <v>55</v>
      </c>
      <c r="P52" s="57">
        <v>46053</v>
      </c>
      <c r="Q52" s="41">
        <f>+H52+L52</f>
        <v>46000</v>
      </c>
      <c r="R52" s="41">
        <f>+J52+K52+L52</f>
        <v>18489</v>
      </c>
      <c r="S52" s="41">
        <f>+MONTH(B52)</f>
        <v>1</v>
      </c>
      <c r="T52" s="41">
        <f>+YEAR(B52)</f>
        <v>2026</v>
      </c>
      <c r="U52" s="41" t="s">
        <v>364</v>
      </c>
    </row>
    <row r="53" spans="1:21" customFormat="1" ht="15" customHeight="1" x14ac:dyDescent="0.3">
      <c r="A53" s="10">
        <v>46043</v>
      </c>
      <c r="B53" s="10">
        <v>46043</v>
      </c>
      <c r="C53" s="10">
        <v>46043</v>
      </c>
      <c r="D53" s="11" t="s">
        <v>125</v>
      </c>
      <c r="E53" s="11" t="s">
        <v>126</v>
      </c>
      <c r="F53" s="11" t="s">
        <v>90</v>
      </c>
      <c r="G53" s="11" t="s">
        <v>53</v>
      </c>
      <c r="H53" s="12">
        <v>38721.25</v>
      </c>
      <c r="I53" s="13">
        <v>0.17499999999999999</v>
      </c>
      <c r="J53" s="12">
        <v>7792.6449999999995</v>
      </c>
      <c r="K53" s="12">
        <v>4297.0972812500013</v>
      </c>
      <c r="L53" s="12">
        <v>5808.15</v>
      </c>
      <c r="M53" t="s">
        <v>10</v>
      </c>
      <c r="N53" t="s">
        <v>85</v>
      </c>
      <c r="O53" t="s">
        <v>41</v>
      </c>
      <c r="P53" s="19">
        <v>46053</v>
      </c>
      <c r="Q53">
        <f>+H53+L53</f>
        <v>44529.4</v>
      </c>
      <c r="R53">
        <f>+J53+K53+L53</f>
        <v>17897.892281250002</v>
      </c>
      <c r="S53">
        <f>+MONTH(B53)</f>
        <v>1</v>
      </c>
      <c r="T53">
        <f>+YEAR(B53)</f>
        <v>2026</v>
      </c>
      <c r="U53" t="s">
        <v>42</v>
      </c>
    </row>
    <row r="54" spans="1:21" customFormat="1" ht="15" customHeight="1" x14ac:dyDescent="0.3">
      <c r="A54" s="10">
        <v>46043</v>
      </c>
      <c r="B54" s="10">
        <v>46043</v>
      </c>
      <c r="C54" s="10">
        <v>46043</v>
      </c>
      <c r="D54" s="11" t="s">
        <v>137</v>
      </c>
      <c r="E54" s="11" t="s">
        <v>126</v>
      </c>
      <c r="F54" s="11" t="s">
        <v>90</v>
      </c>
      <c r="G54" s="11" t="s">
        <v>53</v>
      </c>
      <c r="H54" s="12">
        <v>38144.23000000001</v>
      </c>
      <c r="I54" s="13">
        <v>0.17499999999999996</v>
      </c>
      <c r="J54" s="12">
        <v>7676.5184999999992</v>
      </c>
      <c r="K54" s="12">
        <v>4233.0637117500055</v>
      </c>
      <c r="L54" s="12">
        <v>5721.59</v>
      </c>
      <c r="M54" t="s">
        <v>10</v>
      </c>
      <c r="N54" t="s">
        <v>85</v>
      </c>
      <c r="O54" t="s">
        <v>41</v>
      </c>
      <c r="P54" s="19">
        <v>46053</v>
      </c>
      <c r="Q54">
        <f>+H54+L54</f>
        <v>43865.820000000007</v>
      </c>
      <c r="R54">
        <f>+J54+K54+L54</f>
        <v>17631.172211750003</v>
      </c>
      <c r="S54">
        <f>+MONTH(B54)</f>
        <v>1</v>
      </c>
      <c r="T54">
        <f>+YEAR(B54)</f>
        <v>2026</v>
      </c>
      <c r="U54" t="s">
        <v>42</v>
      </c>
    </row>
    <row r="55" spans="1:21" customFormat="1" ht="15" customHeight="1" x14ac:dyDescent="0.3">
      <c r="A55" s="10">
        <v>46043</v>
      </c>
      <c r="B55" s="10">
        <v>46043</v>
      </c>
      <c r="C55" s="10">
        <v>46043</v>
      </c>
      <c r="D55" s="11" t="s">
        <v>130</v>
      </c>
      <c r="E55" s="11" t="s">
        <v>126</v>
      </c>
      <c r="F55" s="11" t="s">
        <v>90</v>
      </c>
      <c r="G55" s="11" t="s">
        <v>53</v>
      </c>
      <c r="H55" s="12">
        <v>37807.480000000003</v>
      </c>
      <c r="I55" s="13">
        <v>0.17499999999999996</v>
      </c>
      <c r="J55" s="12">
        <v>7608.7479999999987</v>
      </c>
      <c r="K55" s="12">
        <v>4195.6924430000026</v>
      </c>
      <c r="L55" s="12">
        <v>5671.08</v>
      </c>
      <c r="M55" t="s">
        <v>10</v>
      </c>
      <c r="N55" t="s">
        <v>85</v>
      </c>
      <c r="O55" t="s">
        <v>41</v>
      </c>
      <c r="P55" s="19">
        <v>46053</v>
      </c>
      <c r="Q55">
        <f>+H55+L55</f>
        <v>43478.560000000005</v>
      </c>
      <c r="R55">
        <f>+J55+K55+L55</f>
        <v>17475.520443000001</v>
      </c>
      <c r="S55">
        <f>+MONTH(B55)</f>
        <v>1</v>
      </c>
      <c r="T55">
        <f>+YEAR(B55)</f>
        <v>2026</v>
      </c>
      <c r="U55" t="s">
        <v>42</v>
      </c>
    </row>
    <row r="56" spans="1:21" customFormat="1" ht="15" customHeight="1" x14ac:dyDescent="0.3">
      <c r="A56" s="10">
        <v>46043</v>
      </c>
      <c r="B56" s="10">
        <v>46043</v>
      </c>
      <c r="C56" s="10">
        <v>46043</v>
      </c>
      <c r="D56" s="11" t="s">
        <v>129</v>
      </c>
      <c r="E56" s="11" t="s">
        <v>126</v>
      </c>
      <c r="F56" s="11" t="s">
        <v>90</v>
      </c>
      <c r="G56" s="11" t="s">
        <v>53</v>
      </c>
      <c r="H56" s="12">
        <v>37478.490000000005</v>
      </c>
      <c r="I56" s="13">
        <v>0.17499999999999999</v>
      </c>
      <c r="J56" s="12">
        <v>7542.5384999999997</v>
      </c>
      <c r="K56" s="12">
        <v>4159.1830402500027</v>
      </c>
      <c r="L56" s="12">
        <v>5621.73</v>
      </c>
      <c r="M56" t="s">
        <v>10</v>
      </c>
      <c r="N56" t="s">
        <v>85</v>
      </c>
      <c r="O56" t="s">
        <v>41</v>
      </c>
      <c r="P56" s="19">
        <v>46053</v>
      </c>
      <c r="Q56">
        <f>+H56+L56</f>
        <v>43100.22</v>
      </c>
      <c r="R56">
        <f>+J56+K56+L56</f>
        <v>17323.451540250004</v>
      </c>
      <c r="S56">
        <f>+MONTH(B56)</f>
        <v>1</v>
      </c>
      <c r="T56">
        <f>+YEAR(B56)</f>
        <v>2026</v>
      </c>
      <c r="U56" t="s">
        <v>42</v>
      </c>
    </row>
    <row r="57" spans="1:21" customFormat="1" ht="15" customHeight="1" x14ac:dyDescent="0.3">
      <c r="A57" s="10">
        <v>46043</v>
      </c>
      <c r="B57" s="10">
        <v>46043</v>
      </c>
      <c r="C57" s="10">
        <v>46043</v>
      </c>
      <c r="D57" s="11" t="s">
        <v>138</v>
      </c>
      <c r="E57" s="11" t="s">
        <v>126</v>
      </c>
      <c r="F57" s="11" t="s">
        <v>90</v>
      </c>
      <c r="G57" s="11" t="s">
        <v>53</v>
      </c>
      <c r="H57" s="12">
        <v>37453.35</v>
      </c>
      <c r="I57" s="13">
        <v>0.17499999999999999</v>
      </c>
      <c r="J57" s="12">
        <v>7537.4792499999994</v>
      </c>
      <c r="K57" s="12">
        <v>4156.3929537500017</v>
      </c>
      <c r="L57" s="12">
        <v>5617.96</v>
      </c>
      <c r="M57" t="s">
        <v>10</v>
      </c>
      <c r="N57" t="s">
        <v>85</v>
      </c>
      <c r="O57" t="s">
        <v>41</v>
      </c>
      <c r="P57" s="19">
        <v>46053</v>
      </c>
      <c r="Q57">
        <f>+H57+L57</f>
        <v>43071.31</v>
      </c>
      <c r="R57">
        <f>+J57+K57+L57</f>
        <v>17311.83220375</v>
      </c>
      <c r="S57">
        <f>+MONTH(B57)</f>
        <v>1</v>
      </c>
      <c r="T57">
        <f>+YEAR(B57)</f>
        <v>2026</v>
      </c>
      <c r="U57" t="s">
        <v>42</v>
      </c>
    </row>
    <row r="58" spans="1:21" customFormat="1" ht="15" customHeight="1" x14ac:dyDescent="0.3">
      <c r="A58" s="10">
        <v>46043</v>
      </c>
      <c r="B58" s="10">
        <v>46043</v>
      </c>
      <c r="C58" s="10">
        <v>46043</v>
      </c>
      <c r="D58" s="11" t="s">
        <v>131</v>
      </c>
      <c r="E58" s="11" t="s">
        <v>126</v>
      </c>
      <c r="F58" s="11" t="s">
        <v>90</v>
      </c>
      <c r="G58" s="11" t="s">
        <v>53</v>
      </c>
      <c r="H58" s="12">
        <v>36200.21</v>
      </c>
      <c r="I58" s="13">
        <v>0.17499999999999999</v>
      </c>
      <c r="J58" s="12">
        <v>7285.2849999999989</v>
      </c>
      <c r="K58" s="12">
        <v>4017.3255672500027</v>
      </c>
      <c r="L58" s="12">
        <v>5429.99</v>
      </c>
      <c r="M58" t="s">
        <v>10</v>
      </c>
      <c r="N58" t="s">
        <v>85</v>
      </c>
      <c r="O58" t="s">
        <v>41</v>
      </c>
      <c r="P58" s="19">
        <v>46053</v>
      </c>
      <c r="Q58">
        <f>+H58+L58</f>
        <v>41630.199999999997</v>
      </c>
      <c r="R58">
        <f>+J58+K58+L58</f>
        <v>16732.600567250003</v>
      </c>
      <c r="S58">
        <f>+MONTH(B58)</f>
        <v>1</v>
      </c>
      <c r="T58">
        <f>+YEAR(B58)</f>
        <v>2026</v>
      </c>
      <c r="U58" t="s">
        <v>42</v>
      </c>
    </row>
    <row r="59" spans="1:21" customFormat="1" ht="15" customHeight="1" x14ac:dyDescent="0.3">
      <c r="A59" s="10">
        <v>46043</v>
      </c>
      <c r="B59" s="10">
        <v>46043</v>
      </c>
      <c r="C59" s="10">
        <v>46043</v>
      </c>
      <c r="D59" s="11" t="s">
        <v>127</v>
      </c>
      <c r="E59" s="11" t="s">
        <v>126</v>
      </c>
      <c r="F59" s="11" t="s">
        <v>90</v>
      </c>
      <c r="G59" s="11" t="s">
        <v>53</v>
      </c>
      <c r="H59" s="12">
        <v>35837.47</v>
      </c>
      <c r="I59" s="13">
        <v>0.17499999999999996</v>
      </c>
      <c r="J59" s="12">
        <v>7212.2837499999987</v>
      </c>
      <c r="K59" s="12">
        <v>3977.0703207500028</v>
      </c>
      <c r="L59" s="12">
        <v>5375.58</v>
      </c>
      <c r="M59" t="s">
        <v>10</v>
      </c>
      <c r="N59" t="s">
        <v>85</v>
      </c>
      <c r="O59" t="s">
        <v>41</v>
      </c>
      <c r="P59" s="19">
        <v>46053</v>
      </c>
      <c r="Q59">
        <f>+H59+L59</f>
        <v>41213.050000000003</v>
      </c>
      <c r="R59">
        <f>+J59+K59+L59</f>
        <v>16564.934070750001</v>
      </c>
      <c r="S59">
        <f>+MONTH(B59)</f>
        <v>1</v>
      </c>
      <c r="T59">
        <f>+YEAR(B59)</f>
        <v>2026</v>
      </c>
      <c r="U59" t="s">
        <v>42</v>
      </c>
    </row>
    <row r="60" spans="1:21" customFormat="1" ht="15" customHeight="1" x14ac:dyDescent="0.3">
      <c r="A60" s="10">
        <v>46043</v>
      </c>
      <c r="B60" s="10">
        <v>46043</v>
      </c>
      <c r="C60" s="10">
        <v>46043</v>
      </c>
      <c r="D60" s="11" t="s">
        <v>136</v>
      </c>
      <c r="E60" s="11" t="s">
        <v>126</v>
      </c>
      <c r="F60" s="11" t="s">
        <v>90</v>
      </c>
      <c r="G60" s="11" t="s">
        <v>53</v>
      </c>
      <c r="H60" s="12">
        <v>35623.709999999992</v>
      </c>
      <c r="I60" s="13">
        <v>0.17499999999999999</v>
      </c>
      <c r="J60" s="12">
        <v>7169.2652499999986</v>
      </c>
      <c r="K60" s="12">
        <v>3953.3476047500008</v>
      </c>
      <c r="L60" s="12">
        <v>5343.52</v>
      </c>
      <c r="M60" t="s">
        <v>10</v>
      </c>
      <c r="N60" t="s">
        <v>85</v>
      </c>
      <c r="O60" t="s">
        <v>41</v>
      </c>
      <c r="P60" s="19">
        <v>46053</v>
      </c>
      <c r="Q60">
        <f>+H60+L60</f>
        <v>40967.229999999996</v>
      </c>
      <c r="R60">
        <f>+J60+K60+L60</f>
        <v>16466.132854750002</v>
      </c>
      <c r="S60">
        <f>+MONTH(B60)</f>
        <v>1</v>
      </c>
      <c r="T60">
        <f>+YEAR(B60)</f>
        <v>2026</v>
      </c>
      <c r="U60" t="s">
        <v>42</v>
      </c>
    </row>
    <row r="61" spans="1:21" customFormat="1" ht="15" customHeight="1" x14ac:dyDescent="0.3">
      <c r="A61" s="10">
        <v>46043</v>
      </c>
      <c r="B61" s="10">
        <v>46043</v>
      </c>
      <c r="C61" s="10">
        <v>46043</v>
      </c>
      <c r="D61" s="11" t="s">
        <v>135</v>
      </c>
      <c r="E61" s="11" t="s">
        <v>126</v>
      </c>
      <c r="F61" s="11" t="s">
        <v>90</v>
      </c>
      <c r="G61" s="11" t="s">
        <v>53</v>
      </c>
      <c r="H61" s="12">
        <v>34087.919999999998</v>
      </c>
      <c r="I61" s="13">
        <v>0.17499999999999999</v>
      </c>
      <c r="J61" s="12">
        <v>6860.1872499999999</v>
      </c>
      <c r="K61" s="12">
        <v>3782.9135720000004</v>
      </c>
      <c r="L61" s="12">
        <v>5113.1499999999996</v>
      </c>
      <c r="M61" t="s">
        <v>10</v>
      </c>
      <c r="N61" t="s">
        <v>85</v>
      </c>
      <c r="O61" t="s">
        <v>41</v>
      </c>
      <c r="P61" s="19">
        <v>46053</v>
      </c>
      <c r="Q61">
        <f>+H61+L61</f>
        <v>39201.07</v>
      </c>
      <c r="R61">
        <f>+J61+K61+L61</f>
        <v>15756.250822</v>
      </c>
      <c r="S61">
        <f>+MONTH(B61)</f>
        <v>1</v>
      </c>
      <c r="T61">
        <f>+YEAR(B61)</f>
        <v>2026</v>
      </c>
      <c r="U61" t="s">
        <v>42</v>
      </c>
    </row>
    <row r="62" spans="1:21" customFormat="1" ht="15" customHeight="1" x14ac:dyDescent="0.3">
      <c r="A62" s="10">
        <v>46043</v>
      </c>
      <c r="B62" s="10">
        <v>46043</v>
      </c>
      <c r="C62" s="10">
        <v>46043</v>
      </c>
      <c r="D62" s="11" t="s">
        <v>232</v>
      </c>
      <c r="E62" s="11" t="s">
        <v>126</v>
      </c>
      <c r="F62" s="11" t="s">
        <v>90</v>
      </c>
      <c r="G62" s="11" t="s">
        <v>53</v>
      </c>
      <c r="H62" s="12">
        <v>32312.252556220803</v>
      </c>
      <c r="I62" s="13">
        <v>0.17500000000000018</v>
      </c>
      <c r="J62" s="12">
        <v>6502.8349743879662</v>
      </c>
      <c r="K62" s="12">
        <v>3585.8580799780757</v>
      </c>
      <c r="L62" s="12">
        <v>4846.8044402818196</v>
      </c>
      <c r="M62" t="s">
        <v>10</v>
      </c>
      <c r="N62" t="s">
        <v>85</v>
      </c>
      <c r="O62" t="s">
        <v>41</v>
      </c>
      <c r="P62" s="19">
        <v>46053</v>
      </c>
      <c r="Q62">
        <f>+H62+L62</f>
        <v>37159.056996502622</v>
      </c>
      <c r="R62">
        <f>+J62+K62+L62</f>
        <v>14935.497494647861</v>
      </c>
      <c r="S62">
        <f>+MONTH(B62)</f>
        <v>1</v>
      </c>
      <c r="T62">
        <f>+YEAR(B62)</f>
        <v>2026</v>
      </c>
      <c r="U62" t="s">
        <v>42</v>
      </c>
    </row>
    <row r="63" spans="1:21" customFormat="1" ht="15" customHeight="1" x14ac:dyDescent="0.3">
      <c r="A63" s="10">
        <v>46043</v>
      </c>
      <c r="B63" s="10">
        <v>46043</v>
      </c>
      <c r="C63" s="10">
        <v>46043</v>
      </c>
      <c r="D63" s="11" t="s">
        <v>134</v>
      </c>
      <c r="E63" s="11" t="s">
        <v>126</v>
      </c>
      <c r="F63" s="11" t="s">
        <v>90</v>
      </c>
      <c r="G63" s="11" t="s">
        <v>53</v>
      </c>
      <c r="H63" s="12">
        <v>29712.78</v>
      </c>
      <c r="I63" s="13">
        <v>0.17499999999999999</v>
      </c>
      <c r="J63" s="12">
        <v>5979.6922499999991</v>
      </c>
      <c r="K63" s="12">
        <v>3297.3804855000008</v>
      </c>
      <c r="L63" s="12">
        <v>4456.8900000000003</v>
      </c>
      <c r="M63" t="s">
        <v>10</v>
      </c>
      <c r="N63" t="s">
        <v>85</v>
      </c>
      <c r="O63" t="s">
        <v>41</v>
      </c>
      <c r="P63" s="19">
        <v>46053</v>
      </c>
      <c r="Q63">
        <f>+H63+L63</f>
        <v>34169.67</v>
      </c>
      <c r="R63">
        <f>+J63+K63+L63</f>
        <v>13733.962735500001</v>
      </c>
      <c r="S63">
        <f>+MONTH(B63)</f>
        <v>1</v>
      </c>
      <c r="T63">
        <f>+YEAR(B63)</f>
        <v>2026</v>
      </c>
      <c r="U63" t="s">
        <v>42</v>
      </c>
    </row>
    <row r="64" spans="1:21" customFormat="1" ht="15" customHeight="1" x14ac:dyDescent="0.3">
      <c r="A64" s="41"/>
      <c r="B64" s="20">
        <v>46023</v>
      </c>
      <c r="C64" s="41"/>
      <c r="D64" s="41" t="s">
        <v>369</v>
      </c>
      <c r="E64" s="41" t="s">
        <v>370</v>
      </c>
      <c r="F64" s="41" t="s">
        <v>371</v>
      </c>
      <c r="G64" s="41" t="s">
        <v>53</v>
      </c>
      <c r="H64" s="55">
        <v>26086.959999999999</v>
      </c>
      <c r="I64" s="56">
        <v>0.14000000000000001</v>
      </c>
      <c r="J64" s="55">
        <v>4200</v>
      </c>
      <c r="K64" s="55">
        <v>3945.0010860000002</v>
      </c>
      <c r="L64" s="55">
        <v>3913.04</v>
      </c>
      <c r="M64" s="41" t="s">
        <v>10</v>
      </c>
      <c r="N64" s="41" t="s">
        <v>54</v>
      </c>
      <c r="O64" s="41" t="s">
        <v>55</v>
      </c>
      <c r="P64" s="57">
        <v>46053</v>
      </c>
      <c r="Q64" s="41">
        <f>+H64+L64</f>
        <v>30000</v>
      </c>
      <c r="R64" s="41">
        <f>+J64+K64+L64</f>
        <v>12058.041086000001</v>
      </c>
      <c r="S64" s="41">
        <f>+MONTH(B64)</f>
        <v>1</v>
      </c>
      <c r="T64" s="41">
        <f>+YEAR(B64)</f>
        <v>2026</v>
      </c>
      <c r="U64" s="41" t="s">
        <v>364</v>
      </c>
    </row>
    <row r="65" spans="1:21" customFormat="1" ht="15" customHeight="1" x14ac:dyDescent="0.3">
      <c r="A65" s="41"/>
      <c r="B65" s="20">
        <v>46023</v>
      </c>
      <c r="C65" s="41"/>
      <c r="D65" s="41" t="s">
        <v>417</v>
      </c>
      <c r="E65" s="41" t="s">
        <v>398</v>
      </c>
      <c r="F65" s="41" t="s">
        <v>371</v>
      </c>
      <c r="G65" s="41" t="s">
        <v>53</v>
      </c>
      <c r="H65" s="55">
        <v>26086.959999999999</v>
      </c>
      <c r="I65" s="56">
        <v>0.14000000000000001</v>
      </c>
      <c r="J65" s="55">
        <v>4200</v>
      </c>
      <c r="K65" s="55">
        <v>3945.0010860000002</v>
      </c>
      <c r="L65" s="55">
        <v>3913.04</v>
      </c>
      <c r="M65" s="41" t="s">
        <v>10</v>
      </c>
      <c r="N65" s="41" t="s">
        <v>54</v>
      </c>
      <c r="O65" s="41" t="s">
        <v>55</v>
      </c>
      <c r="P65" s="57">
        <v>46053</v>
      </c>
      <c r="Q65" s="41">
        <f>+H65+L65</f>
        <v>30000</v>
      </c>
      <c r="R65" s="41">
        <f>+J65+K65+L65</f>
        <v>12058.041086000001</v>
      </c>
      <c r="S65" s="41">
        <f>+MONTH(B65)</f>
        <v>1</v>
      </c>
      <c r="T65" s="41">
        <f>+YEAR(B65)</f>
        <v>2026</v>
      </c>
      <c r="U65" s="41" t="s">
        <v>364</v>
      </c>
    </row>
    <row r="66" spans="1:21" customFormat="1" ht="15" customHeight="1" x14ac:dyDescent="0.3">
      <c r="A66" s="41"/>
      <c r="B66" s="20">
        <v>46023</v>
      </c>
      <c r="C66" s="41"/>
      <c r="D66" s="41" t="s">
        <v>428</v>
      </c>
      <c r="E66" s="41" t="s">
        <v>398</v>
      </c>
      <c r="F66" s="41" t="s">
        <v>371</v>
      </c>
      <c r="G66" s="41" t="s">
        <v>53</v>
      </c>
      <c r="H66" s="55">
        <v>26086.959999999999</v>
      </c>
      <c r="I66" s="56">
        <v>0.14000000000000001</v>
      </c>
      <c r="J66" s="55">
        <v>4200</v>
      </c>
      <c r="K66" s="55">
        <v>3945.0010860000002</v>
      </c>
      <c r="L66" s="55">
        <v>3913.04</v>
      </c>
      <c r="M66" s="41" t="s">
        <v>10</v>
      </c>
      <c r="N66" s="41" t="s">
        <v>54</v>
      </c>
      <c r="O66" s="41" t="s">
        <v>55</v>
      </c>
      <c r="P66" s="57">
        <v>46053</v>
      </c>
      <c r="Q66" s="41">
        <f>+H66+L66</f>
        <v>30000</v>
      </c>
      <c r="R66" s="41">
        <f>+J66+K66+L66</f>
        <v>12058.041086000001</v>
      </c>
      <c r="S66" s="41">
        <f>+MONTH(B66)</f>
        <v>1</v>
      </c>
      <c r="T66" s="41">
        <f>+YEAR(B66)</f>
        <v>2026</v>
      </c>
      <c r="U66" s="41" t="s">
        <v>364</v>
      </c>
    </row>
    <row r="67" spans="1:21" customFormat="1" ht="15" customHeight="1" x14ac:dyDescent="0.3">
      <c r="A67" s="41"/>
      <c r="B67" s="20">
        <v>46023</v>
      </c>
      <c r="C67" s="41"/>
      <c r="D67" s="41" t="s">
        <v>376</v>
      </c>
      <c r="E67" s="41" t="s">
        <v>377</v>
      </c>
      <c r="F67" s="41" t="s">
        <v>371</v>
      </c>
      <c r="G67" s="41" t="s">
        <v>53</v>
      </c>
      <c r="H67" s="55">
        <v>23478.26</v>
      </c>
      <c r="I67" s="56">
        <v>0.14000000000000001</v>
      </c>
      <c r="J67" s="55">
        <v>3780.0000000000005</v>
      </c>
      <c r="K67" s="55">
        <v>3550.4997284999995</v>
      </c>
      <c r="L67" s="55">
        <v>3521.74</v>
      </c>
      <c r="M67" s="41" t="s">
        <v>10</v>
      </c>
      <c r="N67" s="41" t="s">
        <v>54</v>
      </c>
      <c r="O67" s="41" t="s">
        <v>55</v>
      </c>
      <c r="P67" s="57">
        <v>46053</v>
      </c>
      <c r="Q67" s="41">
        <f>+H67+L67</f>
        <v>27000</v>
      </c>
      <c r="R67" s="41">
        <f>+J67+K67+L67</f>
        <v>10852.239728500001</v>
      </c>
      <c r="S67" s="41">
        <f>+MONTH(B67)</f>
        <v>1</v>
      </c>
      <c r="T67" s="41">
        <f>+YEAR(B67)</f>
        <v>2026</v>
      </c>
      <c r="U67" s="41" t="s">
        <v>364</v>
      </c>
    </row>
    <row r="68" spans="1:21" customFormat="1" ht="15" customHeight="1" x14ac:dyDescent="0.3">
      <c r="A68" s="41"/>
      <c r="B68" s="20">
        <v>46023</v>
      </c>
      <c r="C68" s="41"/>
      <c r="D68" s="41" t="s">
        <v>393</v>
      </c>
      <c r="E68" s="41" t="s">
        <v>394</v>
      </c>
      <c r="F68" s="41" t="s">
        <v>371</v>
      </c>
      <c r="G68" s="41" t="s">
        <v>53</v>
      </c>
      <c r="H68" s="55">
        <v>23478.26</v>
      </c>
      <c r="I68" s="56">
        <v>0.14000000000000001</v>
      </c>
      <c r="J68" s="55">
        <v>3780.0000000000005</v>
      </c>
      <c r="K68" s="55">
        <v>3550.4997284999995</v>
      </c>
      <c r="L68" s="55">
        <v>3521.74</v>
      </c>
      <c r="M68" s="41" t="s">
        <v>10</v>
      </c>
      <c r="N68" s="41" t="s">
        <v>54</v>
      </c>
      <c r="O68" s="41" t="s">
        <v>55</v>
      </c>
      <c r="P68" s="57">
        <v>46053</v>
      </c>
      <c r="Q68" s="41">
        <f>+H68+L68</f>
        <v>27000</v>
      </c>
      <c r="R68" s="41">
        <f>+J68+K68+L68</f>
        <v>10852.239728500001</v>
      </c>
      <c r="S68" s="41">
        <f>+MONTH(B68)</f>
        <v>1</v>
      </c>
      <c r="T68" s="41">
        <f>+YEAR(B68)</f>
        <v>2026</v>
      </c>
      <c r="U68" s="41" t="s">
        <v>364</v>
      </c>
    </row>
    <row r="69" spans="1:21" customFormat="1" ht="15" customHeight="1" x14ac:dyDescent="0.3">
      <c r="A69" s="41"/>
      <c r="B69" s="20">
        <v>46023</v>
      </c>
      <c r="C69" s="41"/>
      <c r="D69" s="41" t="s">
        <v>395</v>
      </c>
      <c r="E69" s="41" t="s">
        <v>396</v>
      </c>
      <c r="F69" s="41" t="s">
        <v>371</v>
      </c>
      <c r="G69" s="41" t="s">
        <v>53</v>
      </c>
      <c r="H69" s="55">
        <v>23478.26</v>
      </c>
      <c r="I69" s="56">
        <v>0.14000000000000001</v>
      </c>
      <c r="J69" s="55">
        <v>3780.0000000000005</v>
      </c>
      <c r="K69" s="55">
        <v>3550.4997284999995</v>
      </c>
      <c r="L69" s="55">
        <v>3521.74</v>
      </c>
      <c r="M69" s="41" t="s">
        <v>10</v>
      </c>
      <c r="N69" s="41" t="s">
        <v>54</v>
      </c>
      <c r="O69" s="41" t="s">
        <v>55</v>
      </c>
      <c r="P69" s="57">
        <v>46053</v>
      </c>
      <c r="Q69" s="41">
        <f>+H69+L69</f>
        <v>27000</v>
      </c>
      <c r="R69" s="41">
        <f>+J69+K69+L69</f>
        <v>10852.239728500001</v>
      </c>
      <c r="S69" s="41">
        <f>+MONTH(B69)</f>
        <v>1</v>
      </c>
      <c r="T69" s="41">
        <f>+YEAR(B69)</f>
        <v>2026</v>
      </c>
      <c r="U69" s="41" t="s">
        <v>364</v>
      </c>
    </row>
    <row r="70" spans="1:21" customFormat="1" ht="15" customHeight="1" x14ac:dyDescent="0.3">
      <c r="A70" s="41"/>
      <c r="B70" s="20">
        <v>46023</v>
      </c>
      <c r="C70" s="41"/>
      <c r="D70" s="41" t="s">
        <v>403</v>
      </c>
      <c r="E70" s="41" t="s">
        <v>404</v>
      </c>
      <c r="F70" s="41" t="s">
        <v>371</v>
      </c>
      <c r="G70" s="41" t="s">
        <v>53</v>
      </c>
      <c r="H70" s="55">
        <v>23478.26</v>
      </c>
      <c r="I70" s="56">
        <v>0.14000000000000001</v>
      </c>
      <c r="J70" s="55">
        <v>3780.0000000000005</v>
      </c>
      <c r="K70" s="55">
        <v>3550.4997284999995</v>
      </c>
      <c r="L70" s="55">
        <v>3521.74</v>
      </c>
      <c r="M70" s="41" t="s">
        <v>10</v>
      </c>
      <c r="N70" s="41" t="s">
        <v>54</v>
      </c>
      <c r="O70" s="41" t="s">
        <v>55</v>
      </c>
      <c r="P70" s="57">
        <v>46053</v>
      </c>
      <c r="Q70" s="41">
        <f>+H70+L70</f>
        <v>27000</v>
      </c>
      <c r="R70" s="41">
        <f>+J70+K70+L70</f>
        <v>10852.239728500001</v>
      </c>
      <c r="S70" s="41">
        <f>+MONTH(B70)</f>
        <v>1</v>
      </c>
      <c r="T70" s="41">
        <f>+YEAR(B70)</f>
        <v>2026</v>
      </c>
      <c r="U70" s="41" t="s">
        <v>364</v>
      </c>
    </row>
    <row r="71" spans="1:21" customFormat="1" ht="15" customHeight="1" x14ac:dyDescent="0.3">
      <c r="A71" s="41"/>
      <c r="B71" s="20">
        <v>46023</v>
      </c>
      <c r="C71" s="41"/>
      <c r="D71" s="41" t="s">
        <v>406</v>
      </c>
      <c r="E71" s="41" t="s">
        <v>407</v>
      </c>
      <c r="F71" s="41" t="s">
        <v>371</v>
      </c>
      <c r="G71" s="41" t="s">
        <v>53</v>
      </c>
      <c r="H71" s="55">
        <v>23478.26</v>
      </c>
      <c r="I71" s="56">
        <v>0.14000000000000001</v>
      </c>
      <c r="J71" s="55">
        <v>3780.0000000000005</v>
      </c>
      <c r="K71" s="55">
        <v>3550.4997284999995</v>
      </c>
      <c r="L71" s="55">
        <v>3521.74</v>
      </c>
      <c r="M71" s="41" t="s">
        <v>10</v>
      </c>
      <c r="N71" s="41" t="s">
        <v>54</v>
      </c>
      <c r="O71" s="41" t="s">
        <v>55</v>
      </c>
      <c r="P71" s="57">
        <v>46053</v>
      </c>
      <c r="Q71" s="41">
        <f>+H71+L71</f>
        <v>27000</v>
      </c>
      <c r="R71" s="41">
        <f>+J71+K71+L71</f>
        <v>10852.239728500001</v>
      </c>
      <c r="S71" s="41">
        <f>+MONTH(B71)</f>
        <v>1</v>
      </c>
      <c r="T71" s="41">
        <f>+YEAR(B71)</f>
        <v>2026</v>
      </c>
      <c r="U71" s="41" t="s">
        <v>364</v>
      </c>
    </row>
    <row r="72" spans="1:21" customFormat="1" ht="15" customHeight="1" x14ac:dyDescent="0.3">
      <c r="A72" s="41"/>
      <c r="B72" s="20">
        <v>46023</v>
      </c>
      <c r="C72" s="41"/>
      <c r="D72" s="41" t="s">
        <v>421</v>
      </c>
      <c r="E72" s="41" t="s">
        <v>387</v>
      </c>
      <c r="F72" s="41" t="s">
        <v>371</v>
      </c>
      <c r="G72" s="41" t="s">
        <v>53</v>
      </c>
      <c r="H72" s="55">
        <v>23478.26</v>
      </c>
      <c r="I72" s="56">
        <v>0.14000000000000001</v>
      </c>
      <c r="J72" s="55">
        <v>3780.0000000000005</v>
      </c>
      <c r="K72" s="55">
        <v>3550.4997284999995</v>
      </c>
      <c r="L72" s="55">
        <v>3521.74</v>
      </c>
      <c r="M72" s="41" t="s">
        <v>10</v>
      </c>
      <c r="N72" s="41" t="s">
        <v>54</v>
      </c>
      <c r="O72" s="41" t="s">
        <v>55</v>
      </c>
      <c r="P72" s="57">
        <v>46053</v>
      </c>
      <c r="Q72" s="41">
        <f>+H72+L72</f>
        <v>27000</v>
      </c>
      <c r="R72" s="41">
        <f>+J72+K72+L72</f>
        <v>10852.239728500001</v>
      </c>
      <c r="S72" s="41">
        <f>+MONTH(B72)</f>
        <v>1</v>
      </c>
      <c r="T72" s="41">
        <f>+YEAR(B72)</f>
        <v>2026</v>
      </c>
      <c r="U72" s="41" t="s">
        <v>364</v>
      </c>
    </row>
    <row r="73" spans="1:21" customFormat="1" ht="15" customHeight="1" x14ac:dyDescent="0.3">
      <c r="A73" s="41"/>
      <c r="B73" s="20">
        <v>46023</v>
      </c>
      <c r="C73" s="41"/>
      <c r="D73" s="41" t="s">
        <v>425</v>
      </c>
      <c r="E73" s="41" t="s">
        <v>424</v>
      </c>
      <c r="F73" s="41" t="s">
        <v>371</v>
      </c>
      <c r="G73" s="41" t="s">
        <v>53</v>
      </c>
      <c r="H73" s="55">
        <v>23478.26</v>
      </c>
      <c r="I73" s="56">
        <v>0.14000000000000001</v>
      </c>
      <c r="J73" s="55">
        <v>3780.0000000000005</v>
      </c>
      <c r="K73" s="55">
        <v>3550.4997284999995</v>
      </c>
      <c r="L73" s="55">
        <v>3521.74</v>
      </c>
      <c r="M73" s="41" t="s">
        <v>10</v>
      </c>
      <c r="N73" s="41" t="s">
        <v>54</v>
      </c>
      <c r="O73" s="41" t="s">
        <v>55</v>
      </c>
      <c r="P73" s="57">
        <v>46053</v>
      </c>
      <c r="Q73" s="41">
        <f>+H73+L73</f>
        <v>27000</v>
      </c>
      <c r="R73" s="41">
        <f>+J73+K73+L73</f>
        <v>10852.239728500001</v>
      </c>
      <c r="S73" s="41">
        <f>+MONTH(B73)</f>
        <v>1</v>
      </c>
      <c r="T73" s="41">
        <f>+YEAR(B73)</f>
        <v>2026</v>
      </c>
      <c r="U73" s="41" t="s">
        <v>364</v>
      </c>
    </row>
    <row r="74" spans="1:21" customFormat="1" ht="15" customHeight="1" x14ac:dyDescent="0.3">
      <c r="A74" s="41"/>
      <c r="B74" s="20">
        <v>46023</v>
      </c>
      <c r="C74" s="41"/>
      <c r="D74" s="41" t="s">
        <v>426</v>
      </c>
      <c r="E74" s="41" t="s">
        <v>427</v>
      </c>
      <c r="F74" s="41" t="s">
        <v>371</v>
      </c>
      <c r="G74" s="41" t="s">
        <v>53</v>
      </c>
      <c r="H74" s="55">
        <v>23478.26</v>
      </c>
      <c r="I74" s="56">
        <v>0.14000000000000001</v>
      </c>
      <c r="J74" s="55">
        <v>3780.0000000000005</v>
      </c>
      <c r="K74" s="55">
        <v>3550.4997284999995</v>
      </c>
      <c r="L74" s="55">
        <v>3521.74</v>
      </c>
      <c r="M74" s="41" t="s">
        <v>10</v>
      </c>
      <c r="N74" s="41" t="s">
        <v>54</v>
      </c>
      <c r="O74" s="41" t="s">
        <v>55</v>
      </c>
      <c r="P74" s="57">
        <v>46053</v>
      </c>
      <c r="Q74" s="41">
        <f>+H74+L74</f>
        <v>27000</v>
      </c>
      <c r="R74" s="41">
        <f>+J74+K74+L74</f>
        <v>10852.239728500001</v>
      </c>
      <c r="S74" s="41">
        <f>+MONTH(B74)</f>
        <v>1</v>
      </c>
      <c r="T74" s="41">
        <f>+YEAR(B74)</f>
        <v>2026</v>
      </c>
      <c r="U74" s="41" t="s">
        <v>364</v>
      </c>
    </row>
    <row r="75" spans="1:21" customFormat="1" ht="15" customHeight="1" x14ac:dyDescent="0.3">
      <c r="A75" s="41"/>
      <c r="B75" s="20">
        <v>46023</v>
      </c>
      <c r="C75" s="41"/>
      <c r="D75" s="41" t="s">
        <v>429</v>
      </c>
      <c r="E75" s="41" t="s">
        <v>402</v>
      </c>
      <c r="F75" s="41" t="s">
        <v>371</v>
      </c>
      <c r="G75" s="41" t="s">
        <v>53</v>
      </c>
      <c r="H75" s="55">
        <v>23478.26</v>
      </c>
      <c r="I75" s="56">
        <v>0.14000000000000001</v>
      </c>
      <c r="J75" s="55">
        <v>3780.0000000000005</v>
      </c>
      <c r="K75" s="55">
        <v>3550.4997284999995</v>
      </c>
      <c r="L75" s="55">
        <v>3521.74</v>
      </c>
      <c r="M75" s="41" t="s">
        <v>10</v>
      </c>
      <c r="N75" s="41" t="s">
        <v>54</v>
      </c>
      <c r="O75" s="41" t="s">
        <v>55</v>
      </c>
      <c r="P75" s="57">
        <v>46053</v>
      </c>
      <c r="Q75" s="41">
        <f>+H75+L75</f>
        <v>27000</v>
      </c>
      <c r="R75" s="41">
        <f>+J75+K75+L75</f>
        <v>10852.239728500001</v>
      </c>
      <c r="S75" s="41">
        <f>+MONTH(B75)</f>
        <v>1</v>
      </c>
      <c r="T75" s="41">
        <f>+YEAR(B75)</f>
        <v>2026</v>
      </c>
      <c r="U75" s="41" t="s">
        <v>364</v>
      </c>
    </row>
    <row r="76" spans="1:21" customFormat="1" ht="15" customHeight="1" x14ac:dyDescent="0.3">
      <c r="A76" s="10">
        <v>46024</v>
      </c>
      <c r="B76" s="10">
        <v>46024</v>
      </c>
      <c r="C76" s="10">
        <v>46049</v>
      </c>
      <c r="D76" s="11" t="s">
        <v>346</v>
      </c>
      <c r="E76" s="11" t="s">
        <v>347</v>
      </c>
      <c r="F76" s="11" t="s">
        <v>84</v>
      </c>
      <c r="G76" s="11" t="s">
        <v>53</v>
      </c>
      <c r="H76" s="12">
        <v>17895.958782608694</v>
      </c>
      <c r="I76" s="13">
        <v>0.17499999999999999</v>
      </c>
      <c r="J76" s="12">
        <v>3601.5617049999996</v>
      </c>
      <c r="K76" s="12">
        <v>1986.0040259000002</v>
      </c>
      <c r="L76" s="12">
        <v>2684.3938173913048</v>
      </c>
      <c r="M76" t="s">
        <v>10</v>
      </c>
      <c r="N76" t="s">
        <v>54</v>
      </c>
      <c r="O76" t="s">
        <v>55</v>
      </c>
      <c r="P76" s="19">
        <v>46053</v>
      </c>
      <c r="Q76">
        <f>+H76+L76</f>
        <v>20580.352599999998</v>
      </c>
      <c r="R76">
        <f>+J76+K76+L76</f>
        <v>8271.9595482913046</v>
      </c>
      <c r="S76">
        <f>+MONTH(B76)</f>
        <v>1</v>
      </c>
      <c r="T76">
        <f>+YEAR(B76)</f>
        <v>2026</v>
      </c>
      <c r="U76" t="s">
        <v>42</v>
      </c>
    </row>
    <row r="77" spans="1:21" customFormat="1" ht="15" customHeight="1" x14ac:dyDescent="0.3">
      <c r="A77" s="10">
        <v>46023</v>
      </c>
      <c r="B77" s="10">
        <v>46023</v>
      </c>
      <c r="C77" s="10">
        <v>46049</v>
      </c>
      <c r="D77" s="11" t="s">
        <v>329</v>
      </c>
      <c r="E77" s="11" t="s">
        <v>322</v>
      </c>
      <c r="F77" s="11" t="s">
        <v>323</v>
      </c>
      <c r="G77" s="11" t="s">
        <v>53</v>
      </c>
      <c r="H77" s="12">
        <v>17073.913043478264</v>
      </c>
      <c r="I77" s="13">
        <v>0.15</v>
      </c>
      <c r="J77" s="12">
        <v>2945.2500000000005</v>
      </c>
      <c r="K77" s="12">
        <v>2385.6525000000006</v>
      </c>
      <c r="L77" s="12">
        <v>2561.0869565217399</v>
      </c>
      <c r="M77" t="s">
        <v>10</v>
      </c>
      <c r="N77" t="s">
        <v>54</v>
      </c>
      <c r="O77" t="s">
        <v>55</v>
      </c>
      <c r="P77" s="19">
        <v>46053</v>
      </c>
      <c r="Q77">
        <f>+H77+L77</f>
        <v>19635.000000000004</v>
      </c>
      <c r="R77">
        <f>+J77+K77+L77</f>
        <v>7891.989456521741</v>
      </c>
      <c r="S77">
        <f>+MONTH(B77)</f>
        <v>1</v>
      </c>
      <c r="T77">
        <f>+YEAR(B77)</f>
        <v>2026</v>
      </c>
      <c r="U77" t="s">
        <v>42</v>
      </c>
    </row>
    <row r="78" spans="1:21" customFormat="1" ht="15" customHeight="1" x14ac:dyDescent="0.3">
      <c r="A78" s="41"/>
      <c r="B78" s="20">
        <v>46023</v>
      </c>
      <c r="C78" s="41"/>
      <c r="D78" s="41" t="s">
        <v>385</v>
      </c>
      <c r="E78" s="41" t="s">
        <v>370</v>
      </c>
      <c r="F78" s="41" t="s">
        <v>371</v>
      </c>
      <c r="G78" s="41" t="s">
        <v>53</v>
      </c>
      <c r="H78" s="55">
        <v>15652.17</v>
      </c>
      <c r="I78" s="56">
        <v>0.14000000000000001</v>
      </c>
      <c r="J78" s="55">
        <v>2520.0000000000005</v>
      </c>
      <c r="K78" s="55">
        <v>2366.9987782499998</v>
      </c>
      <c r="L78" s="55">
        <v>2347.83</v>
      </c>
      <c r="M78" s="41" t="s">
        <v>10</v>
      </c>
      <c r="N78" s="41" t="s">
        <v>54</v>
      </c>
      <c r="O78" s="41" t="s">
        <v>55</v>
      </c>
      <c r="P78" s="57">
        <v>46053</v>
      </c>
      <c r="Q78" s="41">
        <f>+H78+L78</f>
        <v>18000</v>
      </c>
      <c r="R78" s="41">
        <f>+J78+K78+L78</f>
        <v>7234.8287782500001</v>
      </c>
      <c r="S78" s="41">
        <f>+MONTH(B78)</f>
        <v>1</v>
      </c>
      <c r="T78" s="41">
        <f>+YEAR(B78)</f>
        <v>2026</v>
      </c>
      <c r="U78" s="41" t="s">
        <v>364</v>
      </c>
    </row>
    <row r="79" spans="1:21" customFormat="1" ht="15" customHeight="1" x14ac:dyDescent="0.3">
      <c r="A79" s="41"/>
      <c r="B79" s="20">
        <v>46023</v>
      </c>
      <c r="C79" s="41"/>
      <c r="D79" s="41" t="s">
        <v>397</v>
      </c>
      <c r="E79" s="41" t="s">
        <v>398</v>
      </c>
      <c r="F79" s="41" t="s">
        <v>371</v>
      </c>
      <c r="G79" s="41" t="s">
        <v>53</v>
      </c>
      <c r="H79" s="55">
        <v>15652.17</v>
      </c>
      <c r="I79" s="56">
        <v>0.14000000000000001</v>
      </c>
      <c r="J79" s="55">
        <v>2520.0000000000005</v>
      </c>
      <c r="K79" s="55">
        <v>2366.9987782499998</v>
      </c>
      <c r="L79" s="55">
        <v>2347.83</v>
      </c>
      <c r="M79" s="41" t="s">
        <v>10</v>
      </c>
      <c r="N79" s="41" t="s">
        <v>54</v>
      </c>
      <c r="O79" s="41" t="s">
        <v>55</v>
      </c>
      <c r="P79" s="57">
        <v>46053</v>
      </c>
      <c r="Q79" s="41">
        <f>+H79+L79</f>
        <v>18000</v>
      </c>
      <c r="R79" s="41">
        <f>+J79+K79+L79</f>
        <v>7234.8287782500001</v>
      </c>
      <c r="S79" s="41">
        <f>+MONTH(B79)</f>
        <v>1</v>
      </c>
      <c r="T79" s="41">
        <f>+YEAR(B79)</f>
        <v>2026</v>
      </c>
      <c r="U79" s="41" t="s">
        <v>364</v>
      </c>
    </row>
    <row r="80" spans="1:21" customFormat="1" ht="15" customHeight="1" x14ac:dyDescent="0.3">
      <c r="A80" s="41"/>
      <c r="B80" s="20">
        <v>46023</v>
      </c>
      <c r="C80" s="41"/>
      <c r="D80" s="41" t="s">
        <v>422</v>
      </c>
      <c r="E80" s="41" t="s">
        <v>398</v>
      </c>
      <c r="F80" s="41" t="s">
        <v>371</v>
      </c>
      <c r="G80" s="41" t="s">
        <v>53</v>
      </c>
      <c r="H80" s="55">
        <v>15652.17</v>
      </c>
      <c r="I80" s="56">
        <v>0.14000000000000001</v>
      </c>
      <c r="J80" s="55">
        <v>2520.0000000000005</v>
      </c>
      <c r="K80" s="55">
        <v>2366.9987782499998</v>
      </c>
      <c r="L80" s="55">
        <v>2347.83</v>
      </c>
      <c r="M80" s="41" t="s">
        <v>10</v>
      </c>
      <c r="N80" s="41" t="s">
        <v>54</v>
      </c>
      <c r="O80" s="41" t="s">
        <v>55</v>
      </c>
      <c r="P80" s="57">
        <v>46053</v>
      </c>
      <c r="Q80" s="41">
        <f>+H80+L80</f>
        <v>18000</v>
      </c>
      <c r="R80" s="41">
        <f>+J80+K80+L80</f>
        <v>7234.8287782500001</v>
      </c>
      <c r="S80" s="41">
        <f>+MONTH(B80)</f>
        <v>1</v>
      </c>
      <c r="T80" s="41">
        <f>+YEAR(B80)</f>
        <v>2026</v>
      </c>
      <c r="U80" s="41" t="s">
        <v>364</v>
      </c>
    </row>
    <row r="81" spans="1:21" customFormat="1" ht="15" customHeight="1" x14ac:dyDescent="0.3">
      <c r="A81" s="41"/>
      <c r="B81" s="20">
        <v>46024</v>
      </c>
      <c r="C81" s="41"/>
      <c r="D81" s="41" t="s">
        <v>378</v>
      </c>
      <c r="E81" s="41" t="s">
        <v>379</v>
      </c>
      <c r="F81" s="41" t="s">
        <v>380</v>
      </c>
      <c r="G81" s="41" t="s">
        <v>53</v>
      </c>
      <c r="H81" s="55">
        <v>15217.41</v>
      </c>
      <c r="I81" s="56">
        <v>0.15</v>
      </c>
      <c r="J81" s="55">
        <v>2625.0014999999999</v>
      </c>
      <c r="K81" s="55">
        <v>2126.2543372500008</v>
      </c>
      <c r="L81" s="55">
        <v>2282.6</v>
      </c>
      <c r="M81" s="41" t="s">
        <v>10</v>
      </c>
      <c r="N81" s="41" t="s">
        <v>54</v>
      </c>
      <c r="O81" s="41" t="s">
        <v>55</v>
      </c>
      <c r="P81" s="57">
        <v>46053</v>
      </c>
      <c r="Q81" s="41">
        <f>+H81+L81</f>
        <v>17500.009999999998</v>
      </c>
      <c r="R81" s="41">
        <f>+J81+K81+L81</f>
        <v>7033.8558372500011</v>
      </c>
      <c r="S81" s="41">
        <f>+MONTH(B81)</f>
        <v>1</v>
      </c>
      <c r="T81" s="41">
        <f>+YEAR(B81)</f>
        <v>2026</v>
      </c>
      <c r="U81" s="41" t="s">
        <v>364</v>
      </c>
    </row>
    <row r="82" spans="1:21" customFormat="1" ht="15" customHeight="1" x14ac:dyDescent="0.3">
      <c r="A82" s="41"/>
      <c r="B82" s="20">
        <v>46023</v>
      </c>
      <c r="C82" s="41"/>
      <c r="D82" s="41" t="s">
        <v>386</v>
      </c>
      <c r="E82" s="41" t="s">
        <v>387</v>
      </c>
      <c r="F82" s="41" t="s">
        <v>371</v>
      </c>
      <c r="G82" s="41" t="s">
        <v>53</v>
      </c>
      <c r="H82" s="55">
        <v>14086.96</v>
      </c>
      <c r="I82" s="56">
        <v>0.14000000000000001</v>
      </c>
      <c r="J82" s="55">
        <v>2268</v>
      </c>
      <c r="K82" s="55">
        <v>2130.3010860000004</v>
      </c>
      <c r="L82" s="55">
        <v>2113.04</v>
      </c>
      <c r="M82" s="41" t="s">
        <v>10</v>
      </c>
      <c r="N82" s="41" t="s">
        <v>54</v>
      </c>
      <c r="O82" s="41" t="s">
        <v>55</v>
      </c>
      <c r="P82" s="57">
        <v>46053</v>
      </c>
      <c r="Q82" s="41">
        <f>+H82+L82</f>
        <v>16200</v>
      </c>
      <c r="R82" s="41">
        <f>+J82+K82+L82</f>
        <v>6511.3410860000004</v>
      </c>
      <c r="S82" s="41">
        <f>+MONTH(B82)</f>
        <v>1</v>
      </c>
      <c r="T82" s="41">
        <f>+YEAR(B82)</f>
        <v>2026</v>
      </c>
      <c r="U82" s="41" t="s">
        <v>364</v>
      </c>
    </row>
    <row r="83" spans="1:21" customFormat="1" ht="15" customHeight="1" x14ac:dyDescent="0.3">
      <c r="A83" s="41"/>
      <c r="B83" s="20">
        <v>46023</v>
      </c>
      <c r="C83" s="41"/>
      <c r="D83" s="41" t="s">
        <v>392</v>
      </c>
      <c r="E83" s="41" t="s">
        <v>377</v>
      </c>
      <c r="F83" s="41" t="s">
        <v>371</v>
      </c>
      <c r="G83" s="41" t="s">
        <v>53</v>
      </c>
      <c r="H83" s="55">
        <v>14086.96</v>
      </c>
      <c r="I83" s="56">
        <v>0.14000000000000001</v>
      </c>
      <c r="J83" s="55">
        <v>2268</v>
      </c>
      <c r="K83" s="55">
        <v>2130.3010860000004</v>
      </c>
      <c r="L83" s="55">
        <v>2113.04</v>
      </c>
      <c r="M83" s="41" t="s">
        <v>10</v>
      </c>
      <c r="N83" s="41" t="s">
        <v>54</v>
      </c>
      <c r="O83" s="41" t="s">
        <v>55</v>
      </c>
      <c r="P83" s="57">
        <v>46053</v>
      </c>
      <c r="Q83" s="41">
        <f>+H83+L83</f>
        <v>16200</v>
      </c>
      <c r="R83" s="41">
        <f>+J83+K83+L83</f>
        <v>6511.3410860000004</v>
      </c>
      <c r="S83" s="41">
        <f>+MONTH(B83)</f>
        <v>1</v>
      </c>
      <c r="T83" s="41">
        <f>+YEAR(B83)</f>
        <v>2026</v>
      </c>
      <c r="U83" s="41" t="s">
        <v>364</v>
      </c>
    </row>
    <row r="84" spans="1:21" customFormat="1" ht="15" customHeight="1" x14ac:dyDescent="0.3">
      <c r="A84" s="41"/>
      <c r="B84" s="20">
        <v>46023</v>
      </c>
      <c r="C84" s="41"/>
      <c r="D84" s="41" t="s">
        <v>401</v>
      </c>
      <c r="E84" s="41" t="s">
        <v>402</v>
      </c>
      <c r="F84" s="41" t="s">
        <v>371</v>
      </c>
      <c r="G84" s="41" t="s">
        <v>53</v>
      </c>
      <c r="H84" s="55">
        <v>14086.96</v>
      </c>
      <c r="I84" s="56">
        <v>0.14000000000000001</v>
      </c>
      <c r="J84" s="55">
        <v>2268</v>
      </c>
      <c r="K84" s="55">
        <v>2130.3010860000004</v>
      </c>
      <c r="L84" s="55">
        <v>2113.04</v>
      </c>
      <c r="M84" s="41" t="s">
        <v>10</v>
      </c>
      <c r="N84" s="41" t="s">
        <v>54</v>
      </c>
      <c r="O84" s="41" t="s">
        <v>55</v>
      </c>
      <c r="P84" s="57">
        <v>46053</v>
      </c>
      <c r="Q84" s="41">
        <f>+H84+L84</f>
        <v>16200</v>
      </c>
      <c r="R84" s="41">
        <f>+J84+K84+L84</f>
        <v>6511.3410860000004</v>
      </c>
      <c r="S84" s="41">
        <f>+MONTH(B84)</f>
        <v>1</v>
      </c>
      <c r="T84" s="41">
        <f>+YEAR(B84)</f>
        <v>2026</v>
      </c>
      <c r="U84" s="41" t="s">
        <v>364</v>
      </c>
    </row>
    <row r="85" spans="1:21" customFormat="1" ht="15" customHeight="1" x14ac:dyDescent="0.3">
      <c r="A85" s="41"/>
      <c r="B85" s="20">
        <v>46023</v>
      </c>
      <c r="C85" s="41"/>
      <c r="D85" s="41" t="s">
        <v>405</v>
      </c>
      <c r="E85" s="41" t="s">
        <v>404</v>
      </c>
      <c r="F85" s="41" t="s">
        <v>371</v>
      </c>
      <c r="G85" s="41" t="s">
        <v>53</v>
      </c>
      <c r="H85" s="55">
        <v>14086.96</v>
      </c>
      <c r="I85" s="56">
        <v>0.14000000000000001</v>
      </c>
      <c r="J85" s="55">
        <v>2268</v>
      </c>
      <c r="K85" s="55">
        <v>2130.3010860000004</v>
      </c>
      <c r="L85" s="55">
        <v>2113.04</v>
      </c>
      <c r="M85" s="41" t="s">
        <v>10</v>
      </c>
      <c r="N85" s="41" t="s">
        <v>54</v>
      </c>
      <c r="O85" s="41" t="s">
        <v>55</v>
      </c>
      <c r="P85" s="57">
        <v>46053</v>
      </c>
      <c r="Q85" s="41">
        <f>+H85+L85</f>
        <v>16200</v>
      </c>
      <c r="R85" s="41">
        <f>+J85+K85+L85</f>
        <v>6511.3410860000004</v>
      </c>
      <c r="S85" s="41">
        <f>+MONTH(B85)</f>
        <v>1</v>
      </c>
      <c r="T85" s="41">
        <f>+YEAR(B85)</f>
        <v>2026</v>
      </c>
      <c r="U85" s="41" t="s">
        <v>364</v>
      </c>
    </row>
    <row r="86" spans="1:21" customFormat="1" ht="15" customHeight="1" x14ac:dyDescent="0.3">
      <c r="A86" s="41"/>
      <c r="B86" s="20">
        <v>46023</v>
      </c>
      <c r="C86" s="41"/>
      <c r="D86" s="41" t="s">
        <v>408</v>
      </c>
      <c r="E86" s="41" t="s">
        <v>394</v>
      </c>
      <c r="F86" s="41" t="s">
        <v>371</v>
      </c>
      <c r="G86" s="41" t="s">
        <v>53</v>
      </c>
      <c r="H86" s="55">
        <v>14086.96</v>
      </c>
      <c r="I86" s="56">
        <v>0.14000000000000001</v>
      </c>
      <c r="J86" s="55">
        <v>2268</v>
      </c>
      <c r="K86" s="55">
        <v>2130.3010860000004</v>
      </c>
      <c r="L86" s="55">
        <v>2113.04</v>
      </c>
      <c r="M86" s="41" t="s">
        <v>10</v>
      </c>
      <c r="N86" s="41" t="s">
        <v>54</v>
      </c>
      <c r="O86" s="41" t="s">
        <v>55</v>
      </c>
      <c r="P86" s="57">
        <v>46053</v>
      </c>
      <c r="Q86" s="41">
        <f>+H86+L86</f>
        <v>16200</v>
      </c>
      <c r="R86" s="41">
        <f>+J86+K86+L86</f>
        <v>6511.3410860000004</v>
      </c>
      <c r="S86" s="41">
        <f>+MONTH(B86)</f>
        <v>1</v>
      </c>
      <c r="T86" s="41">
        <f>+YEAR(B86)</f>
        <v>2026</v>
      </c>
      <c r="U86" s="41" t="s">
        <v>364</v>
      </c>
    </row>
    <row r="87" spans="1:21" customFormat="1" ht="15" customHeight="1" x14ac:dyDescent="0.3">
      <c r="A87" s="41"/>
      <c r="B87" s="20">
        <v>46023</v>
      </c>
      <c r="C87" s="41"/>
      <c r="D87" s="41" t="s">
        <v>413</v>
      </c>
      <c r="E87" s="41" t="s">
        <v>407</v>
      </c>
      <c r="F87" s="41" t="s">
        <v>371</v>
      </c>
      <c r="G87" s="41" t="s">
        <v>53</v>
      </c>
      <c r="H87" s="55">
        <v>14086.96</v>
      </c>
      <c r="I87" s="56">
        <v>0.14000000000000001</v>
      </c>
      <c r="J87" s="55">
        <v>2268</v>
      </c>
      <c r="K87" s="55">
        <v>2130.3010860000004</v>
      </c>
      <c r="L87" s="55">
        <v>2113.04</v>
      </c>
      <c r="M87" s="41" t="s">
        <v>10</v>
      </c>
      <c r="N87" s="41" t="s">
        <v>54</v>
      </c>
      <c r="O87" s="41" t="s">
        <v>55</v>
      </c>
      <c r="P87" s="57">
        <v>46053</v>
      </c>
      <c r="Q87" s="41">
        <f>+H87+L87</f>
        <v>16200</v>
      </c>
      <c r="R87" s="41">
        <f>+J87+K87+L87</f>
        <v>6511.3410860000004</v>
      </c>
      <c r="S87" s="41">
        <f>+MONTH(B87)</f>
        <v>1</v>
      </c>
      <c r="T87" s="41">
        <f>+YEAR(B87)</f>
        <v>2026</v>
      </c>
      <c r="U87" s="41" t="s">
        <v>364</v>
      </c>
    </row>
    <row r="88" spans="1:21" customFormat="1" ht="15" customHeight="1" x14ac:dyDescent="0.3">
      <c r="A88" s="41"/>
      <c r="B88" s="20">
        <v>46023</v>
      </c>
      <c r="C88" s="41"/>
      <c r="D88" s="41" t="s">
        <v>423</v>
      </c>
      <c r="E88" s="41" t="s">
        <v>424</v>
      </c>
      <c r="F88" s="41" t="s">
        <v>371</v>
      </c>
      <c r="G88" s="41" t="s">
        <v>53</v>
      </c>
      <c r="H88" s="55">
        <v>14086.96</v>
      </c>
      <c r="I88" s="56">
        <v>0.14000000000000001</v>
      </c>
      <c r="J88" s="55">
        <v>2268</v>
      </c>
      <c r="K88" s="55">
        <v>2130.3010860000004</v>
      </c>
      <c r="L88" s="55">
        <v>2113.04</v>
      </c>
      <c r="M88" s="41" t="s">
        <v>10</v>
      </c>
      <c r="N88" s="41" t="s">
        <v>54</v>
      </c>
      <c r="O88" s="41" t="s">
        <v>55</v>
      </c>
      <c r="P88" s="57">
        <v>46053</v>
      </c>
      <c r="Q88" s="41">
        <f>+H88+L88</f>
        <v>16200</v>
      </c>
      <c r="R88" s="41">
        <f>+J88+K88+L88</f>
        <v>6511.3410860000004</v>
      </c>
      <c r="S88" s="41">
        <f>+MONTH(B88)</f>
        <v>1</v>
      </c>
      <c r="T88" s="41">
        <f>+YEAR(B88)</f>
        <v>2026</v>
      </c>
      <c r="U88" s="41" t="s">
        <v>364</v>
      </c>
    </row>
    <row r="89" spans="1:21" customFormat="1" ht="15" customHeight="1" x14ac:dyDescent="0.3">
      <c r="A89" s="41"/>
      <c r="B89" s="20">
        <v>46023</v>
      </c>
      <c r="C89" s="41"/>
      <c r="D89" s="41" t="s">
        <v>431</v>
      </c>
      <c r="E89" s="41" t="s">
        <v>427</v>
      </c>
      <c r="F89" s="41" t="s">
        <v>371</v>
      </c>
      <c r="G89" s="41" t="s">
        <v>53</v>
      </c>
      <c r="H89" s="55">
        <v>14086.96</v>
      </c>
      <c r="I89" s="56">
        <v>0.14000000000000001</v>
      </c>
      <c r="J89" s="55">
        <v>2268</v>
      </c>
      <c r="K89" s="55">
        <v>2130.3010860000004</v>
      </c>
      <c r="L89" s="55">
        <v>2113.04</v>
      </c>
      <c r="M89" s="41" t="s">
        <v>10</v>
      </c>
      <c r="N89" s="41" t="s">
        <v>54</v>
      </c>
      <c r="O89" s="41" t="s">
        <v>55</v>
      </c>
      <c r="P89" s="57">
        <v>46053</v>
      </c>
      <c r="Q89" s="41">
        <f>+H89+L89</f>
        <v>16200</v>
      </c>
      <c r="R89" s="41">
        <f>+J89+K89+L89</f>
        <v>6511.3410860000004</v>
      </c>
      <c r="S89" s="41">
        <f>+MONTH(B89)</f>
        <v>1</v>
      </c>
      <c r="T89" s="41">
        <f>+YEAR(B89)</f>
        <v>2026</v>
      </c>
      <c r="U89" s="41" t="s">
        <v>364</v>
      </c>
    </row>
    <row r="90" spans="1:21" customFormat="1" ht="15" customHeight="1" x14ac:dyDescent="0.3">
      <c r="A90" s="41"/>
      <c r="B90" s="20">
        <v>46023</v>
      </c>
      <c r="C90" s="41"/>
      <c r="D90" s="41" t="s">
        <v>432</v>
      </c>
      <c r="E90" s="41" t="s">
        <v>396</v>
      </c>
      <c r="F90" s="41" t="s">
        <v>371</v>
      </c>
      <c r="G90" s="41" t="s">
        <v>53</v>
      </c>
      <c r="H90" s="55">
        <v>14086.96</v>
      </c>
      <c r="I90" s="56">
        <v>0.14000000000000001</v>
      </c>
      <c r="J90" s="55">
        <v>2268</v>
      </c>
      <c r="K90" s="55">
        <v>2130.3010860000004</v>
      </c>
      <c r="L90" s="55">
        <v>2113.04</v>
      </c>
      <c r="M90" s="41" t="s">
        <v>10</v>
      </c>
      <c r="N90" s="41" t="s">
        <v>54</v>
      </c>
      <c r="O90" s="41" t="s">
        <v>55</v>
      </c>
      <c r="P90" s="57">
        <v>46053</v>
      </c>
      <c r="Q90" s="41">
        <f>+H90+L90</f>
        <v>16200</v>
      </c>
      <c r="R90" s="41">
        <f>+J90+K90+L90</f>
        <v>6511.3410860000004</v>
      </c>
      <c r="S90" s="41">
        <f>+MONTH(B90)</f>
        <v>1</v>
      </c>
      <c r="T90" s="41">
        <f>+YEAR(B90)</f>
        <v>2026</v>
      </c>
      <c r="U90" s="41" t="s">
        <v>364</v>
      </c>
    </row>
    <row r="91" spans="1:21" customFormat="1" ht="15" customHeight="1" x14ac:dyDescent="0.3">
      <c r="A91" s="10">
        <v>46042</v>
      </c>
      <c r="B91" s="10">
        <v>46042</v>
      </c>
      <c r="C91" s="10">
        <v>46038</v>
      </c>
      <c r="D91" s="11" t="s">
        <v>292</v>
      </c>
      <c r="E91" s="11" t="s">
        <v>293</v>
      </c>
      <c r="F91" s="11" t="s">
        <v>84</v>
      </c>
      <c r="G91" s="11" t="s">
        <v>53</v>
      </c>
      <c r="H91" s="12">
        <v>11276.1</v>
      </c>
      <c r="I91" s="13">
        <v>0.17499999999999999</v>
      </c>
      <c r="J91" s="12">
        <v>2269.3125</v>
      </c>
      <c r="K91" s="12">
        <v>1251.3678225000003</v>
      </c>
      <c r="L91" s="12">
        <v>1691.4</v>
      </c>
      <c r="M91" t="s">
        <v>10</v>
      </c>
      <c r="N91" t="s">
        <v>54</v>
      </c>
      <c r="O91" t="s">
        <v>41</v>
      </c>
      <c r="P91" s="19">
        <v>46053</v>
      </c>
      <c r="Q91">
        <f>+H91+L91</f>
        <v>12967.5</v>
      </c>
      <c r="R91">
        <f>+J91+K91+L91</f>
        <v>5212.0803225</v>
      </c>
      <c r="S91">
        <f>+MONTH(B91)</f>
        <v>1</v>
      </c>
      <c r="T91">
        <f>+YEAR(B91)</f>
        <v>2026</v>
      </c>
      <c r="U91" t="s">
        <v>42</v>
      </c>
    </row>
    <row r="92" spans="1:21" customFormat="1" ht="15" customHeight="1" x14ac:dyDescent="0.3">
      <c r="A92" s="10">
        <v>46023</v>
      </c>
      <c r="B92" s="10">
        <v>46023</v>
      </c>
      <c r="C92" s="10">
        <v>46049</v>
      </c>
      <c r="D92" s="11" t="s">
        <v>330</v>
      </c>
      <c r="E92" s="11" t="s">
        <v>322</v>
      </c>
      <c r="F92" s="11" t="s">
        <v>323</v>
      </c>
      <c r="G92" s="11" t="s">
        <v>53</v>
      </c>
      <c r="H92" s="12">
        <v>10244.347826086956</v>
      </c>
      <c r="I92" s="13">
        <v>0.15</v>
      </c>
      <c r="J92" s="12">
        <v>1767.1499999999999</v>
      </c>
      <c r="K92" s="12">
        <v>1431.3915000000004</v>
      </c>
      <c r="L92" s="12">
        <v>1536.6521739130442</v>
      </c>
      <c r="M92" t="s">
        <v>10</v>
      </c>
      <c r="N92" t="s">
        <v>54</v>
      </c>
      <c r="O92" t="s">
        <v>55</v>
      </c>
      <c r="P92" s="19">
        <v>46053</v>
      </c>
      <c r="Q92">
        <f>+H92+L92</f>
        <v>11781</v>
      </c>
      <c r="R92">
        <f>+J92+K92+L92</f>
        <v>4735.1936739130442</v>
      </c>
      <c r="S92">
        <f>+MONTH(B92)</f>
        <v>1</v>
      </c>
      <c r="T92">
        <f>+YEAR(B92)</f>
        <v>2026</v>
      </c>
      <c r="U92" t="s">
        <v>42</v>
      </c>
    </row>
    <row r="93" spans="1:21" customFormat="1" ht="15" customHeight="1" x14ac:dyDescent="0.3">
      <c r="A93" s="10">
        <v>46030</v>
      </c>
      <c r="B93" s="10">
        <v>46043</v>
      </c>
      <c r="C93" s="10">
        <v>46030</v>
      </c>
      <c r="D93" s="11" t="s">
        <v>237</v>
      </c>
      <c r="E93" s="11" t="s">
        <v>238</v>
      </c>
      <c r="F93" s="11" t="s">
        <v>52</v>
      </c>
      <c r="G93" s="11" t="s">
        <v>53</v>
      </c>
      <c r="H93" s="12">
        <v>8601.5400000000009</v>
      </c>
      <c r="I93" s="13">
        <v>0.14000000000000001</v>
      </c>
      <c r="J93" s="12">
        <v>1384.8464000000001</v>
      </c>
      <c r="K93" s="12">
        <v>1300.7694265000002</v>
      </c>
      <c r="L93" s="12">
        <v>1290.22</v>
      </c>
      <c r="M93" t="s">
        <v>10</v>
      </c>
      <c r="N93" t="s">
        <v>85</v>
      </c>
      <c r="O93" t="s">
        <v>41</v>
      </c>
      <c r="P93" s="19">
        <v>46053</v>
      </c>
      <c r="Q93">
        <f>+H93+L93</f>
        <v>9891.76</v>
      </c>
      <c r="R93">
        <f>+J93+K93+L93</f>
        <v>3975.8358265000006</v>
      </c>
      <c r="S93">
        <f>+MONTH(B93)</f>
        <v>1</v>
      </c>
      <c r="T93">
        <f>+YEAR(B93)</f>
        <v>2026</v>
      </c>
      <c r="U93" t="s">
        <v>42</v>
      </c>
    </row>
    <row r="94" spans="1:21" customFormat="1" ht="15" customHeight="1" x14ac:dyDescent="0.3">
      <c r="A94" s="10">
        <v>46048</v>
      </c>
      <c r="B94" s="10">
        <v>46048</v>
      </c>
      <c r="C94" s="10">
        <v>46048</v>
      </c>
      <c r="D94" s="11" t="s">
        <v>354</v>
      </c>
      <c r="E94" s="11" t="s">
        <v>238</v>
      </c>
      <c r="F94" s="11" t="s">
        <v>52</v>
      </c>
      <c r="G94" s="11" t="s">
        <v>53</v>
      </c>
      <c r="H94" s="12">
        <v>8506.76</v>
      </c>
      <c r="I94" s="13">
        <v>0.14000000000000001</v>
      </c>
      <c r="J94" s="12">
        <v>1369.5878000000002</v>
      </c>
      <c r="K94" s="12">
        <v>1286.4353409999999</v>
      </c>
      <c r="L94" s="12">
        <v>1276.01</v>
      </c>
      <c r="M94" t="s">
        <v>10</v>
      </c>
      <c r="N94" t="s">
        <v>85</v>
      </c>
      <c r="O94" t="s">
        <v>41</v>
      </c>
      <c r="P94" s="19">
        <v>46053</v>
      </c>
      <c r="Q94">
        <f>+H94+L94</f>
        <v>9782.77</v>
      </c>
      <c r="R94">
        <f>+J94+K94+L94</f>
        <v>3932.0331409999999</v>
      </c>
      <c r="S94">
        <f>+MONTH(B94)</f>
        <v>1</v>
      </c>
      <c r="T94">
        <f>+YEAR(B94)</f>
        <v>2026</v>
      </c>
      <c r="U94" t="s">
        <v>42</v>
      </c>
    </row>
    <row r="95" spans="1:21" customFormat="1" ht="15" customHeight="1" x14ac:dyDescent="0.3">
      <c r="A95" s="10">
        <v>46023</v>
      </c>
      <c r="B95" s="10">
        <v>46023</v>
      </c>
      <c r="C95" s="10">
        <v>46049</v>
      </c>
      <c r="D95" s="11" t="s">
        <v>321</v>
      </c>
      <c r="E95" s="11" t="s">
        <v>322</v>
      </c>
      <c r="F95" s="11" t="s">
        <v>323</v>
      </c>
      <c r="G95" s="11" t="s">
        <v>53</v>
      </c>
      <c r="H95" s="12">
        <v>8353.3043478260879</v>
      </c>
      <c r="I95" s="13">
        <v>0.15</v>
      </c>
      <c r="J95" s="12">
        <v>1440.9450000000002</v>
      </c>
      <c r="K95" s="12">
        <v>1167.1654500000004</v>
      </c>
      <c r="L95" s="12">
        <v>1252.9956521739132</v>
      </c>
      <c r="M95" t="s">
        <v>10</v>
      </c>
      <c r="N95" t="s">
        <v>54</v>
      </c>
      <c r="O95" t="s">
        <v>55</v>
      </c>
      <c r="P95" s="19">
        <v>46053</v>
      </c>
      <c r="Q95">
        <f>+H95+L95</f>
        <v>9606.3000000000011</v>
      </c>
      <c r="R95">
        <f>+J95+K95+L95</f>
        <v>3861.1061021739138</v>
      </c>
      <c r="S95">
        <f>+MONTH(B95)</f>
        <v>1</v>
      </c>
      <c r="T95">
        <f>+YEAR(B95)</f>
        <v>2026</v>
      </c>
      <c r="U95" t="s">
        <v>42</v>
      </c>
    </row>
    <row r="96" spans="1:21" customFormat="1" ht="15" customHeight="1" x14ac:dyDescent="0.3">
      <c r="A96" s="10">
        <v>46030</v>
      </c>
      <c r="B96" s="10">
        <v>46043</v>
      </c>
      <c r="C96" s="10">
        <v>46030</v>
      </c>
      <c r="D96" s="11" t="s">
        <v>239</v>
      </c>
      <c r="E96" s="11" t="s">
        <v>238</v>
      </c>
      <c r="F96" s="11" t="s">
        <v>52</v>
      </c>
      <c r="G96" s="11" t="s">
        <v>53</v>
      </c>
      <c r="H96" s="12">
        <v>8119.07</v>
      </c>
      <c r="I96" s="13">
        <v>0.14000000000000001</v>
      </c>
      <c r="J96" s="12">
        <v>1307.1688000000001</v>
      </c>
      <c r="K96" s="12">
        <v>1227.8078307500002</v>
      </c>
      <c r="L96" s="12">
        <v>1217.8499999999999</v>
      </c>
      <c r="M96" t="s">
        <v>10</v>
      </c>
      <c r="N96" t="s">
        <v>85</v>
      </c>
      <c r="O96" t="s">
        <v>41</v>
      </c>
      <c r="P96" s="19">
        <v>46053</v>
      </c>
      <c r="Q96">
        <f>+H96+L96</f>
        <v>9336.92</v>
      </c>
      <c r="R96">
        <f>+J96+K96+L96</f>
        <v>3752.8266307500003</v>
      </c>
      <c r="S96">
        <f>+MONTH(B96)</f>
        <v>1</v>
      </c>
      <c r="T96">
        <f>+YEAR(B96)</f>
        <v>2026</v>
      </c>
      <c r="U96" t="s">
        <v>42</v>
      </c>
    </row>
    <row r="97" spans="1:21" customFormat="1" ht="15" customHeight="1" x14ac:dyDescent="0.3">
      <c r="A97" s="10">
        <v>46048</v>
      </c>
      <c r="B97" s="10">
        <v>46048</v>
      </c>
      <c r="C97" s="10">
        <v>46048</v>
      </c>
      <c r="D97" s="11" t="s">
        <v>356</v>
      </c>
      <c r="E97" s="11" t="s">
        <v>238</v>
      </c>
      <c r="F97" s="11" t="s">
        <v>52</v>
      </c>
      <c r="G97" s="11" t="s">
        <v>53</v>
      </c>
      <c r="H97" s="12">
        <v>8111.07</v>
      </c>
      <c r="I97" s="13">
        <v>0.14000000000000001</v>
      </c>
      <c r="J97" s="12">
        <v>1305.8808000000001</v>
      </c>
      <c r="K97" s="12">
        <v>1226.5980307500001</v>
      </c>
      <c r="L97" s="12">
        <v>1216.6500000000001</v>
      </c>
      <c r="M97" t="s">
        <v>10</v>
      </c>
      <c r="N97" t="s">
        <v>85</v>
      </c>
      <c r="O97" t="s">
        <v>41</v>
      </c>
      <c r="P97" s="19">
        <v>46053</v>
      </c>
      <c r="Q97">
        <f>+H97+L97</f>
        <v>9327.7199999999993</v>
      </c>
      <c r="R97">
        <f>+J97+K97+L97</f>
        <v>3749.1288307500004</v>
      </c>
      <c r="S97">
        <f>+MONTH(B97)</f>
        <v>1</v>
      </c>
      <c r="T97">
        <f>+YEAR(B97)</f>
        <v>2026</v>
      </c>
      <c r="U97" t="s">
        <v>42</v>
      </c>
    </row>
    <row r="98" spans="1:21" customFormat="1" ht="15" customHeight="1" x14ac:dyDescent="0.3">
      <c r="A98" s="10">
        <v>46023</v>
      </c>
      <c r="B98" s="10">
        <v>46023</v>
      </c>
      <c r="C98" s="10">
        <v>46049</v>
      </c>
      <c r="D98" s="11" t="s">
        <v>325</v>
      </c>
      <c r="E98" s="11" t="s">
        <v>322</v>
      </c>
      <c r="F98" s="11" t="s">
        <v>323</v>
      </c>
      <c r="G98" s="11" t="s">
        <v>53</v>
      </c>
      <c r="H98" s="12">
        <v>8034.7826086956538</v>
      </c>
      <c r="I98" s="13">
        <v>0.15</v>
      </c>
      <c r="J98" s="12">
        <v>1386.0000000000002</v>
      </c>
      <c r="K98" s="12">
        <v>1122.6600000000005</v>
      </c>
      <c r="L98" s="12">
        <v>1205.217391304348</v>
      </c>
      <c r="M98" t="s">
        <v>10</v>
      </c>
      <c r="N98" t="s">
        <v>54</v>
      </c>
      <c r="O98" t="s">
        <v>55</v>
      </c>
      <c r="P98" s="19">
        <v>46053</v>
      </c>
      <c r="Q98">
        <f>+H98+L98</f>
        <v>9240.0000000000018</v>
      </c>
      <c r="R98">
        <f>+J98+K98+L98</f>
        <v>3713.8773913043487</v>
      </c>
      <c r="S98">
        <f>+MONTH(B98)</f>
        <v>1</v>
      </c>
      <c r="T98">
        <f>+YEAR(B98)</f>
        <v>2026</v>
      </c>
      <c r="U98" t="s">
        <v>42</v>
      </c>
    </row>
    <row r="99" spans="1:21" customFormat="1" ht="15" customHeight="1" x14ac:dyDescent="0.3">
      <c r="A99" s="10">
        <v>46023</v>
      </c>
      <c r="B99" s="10">
        <v>46023</v>
      </c>
      <c r="C99" s="10">
        <v>46049</v>
      </c>
      <c r="D99" s="11" t="s">
        <v>327</v>
      </c>
      <c r="E99" s="11" t="s">
        <v>322</v>
      </c>
      <c r="F99" s="11" t="s">
        <v>323</v>
      </c>
      <c r="G99" s="11" t="s">
        <v>53</v>
      </c>
      <c r="H99" s="12">
        <v>7891.3043478260888</v>
      </c>
      <c r="I99" s="13">
        <v>0.14999999999999997</v>
      </c>
      <c r="J99" s="12">
        <v>1361.25</v>
      </c>
      <c r="K99" s="12">
        <v>1102.6125000000006</v>
      </c>
      <c r="L99" s="12">
        <v>1183.695652173913</v>
      </c>
      <c r="M99" t="s">
        <v>10</v>
      </c>
      <c r="N99" t="s">
        <v>54</v>
      </c>
      <c r="O99" t="s">
        <v>55</v>
      </c>
      <c r="P99" s="19">
        <v>46053</v>
      </c>
      <c r="Q99">
        <f>+H99+L99</f>
        <v>9075.0000000000018</v>
      </c>
      <c r="R99">
        <f>+J99+K99+L99</f>
        <v>3647.5581521739136</v>
      </c>
      <c r="S99">
        <f>+MONTH(B99)</f>
        <v>1</v>
      </c>
      <c r="T99">
        <f>+YEAR(B99)</f>
        <v>2026</v>
      </c>
      <c r="U99" t="s">
        <v>42</v>
      </c>
    </row>
    <row r="100" spans="1:21" customFormat="1" ht="15" customHeight="1" x14ac:dyDescent="0.3">
      <c r="A100" s="10">
        <v>46031</v>
      </c>
      <c r="B100" s="10">
        <v>46043</v>
      </c>
      <c r="C100" s="10">
        <v>46031</v>
      </c>
      <c r="D100" s="11" t="s">
        <v>242</v>
      </c>
      <c r="E100" s="11" t="s">
        <v>243</v>
      </c>
      <c r="F100" s="11" t="s">
        <v>84</v>
      </c>
      <c r="G100" s="11" t="s">
        <v>53</v>
      </c>
      <c r="H100" s="12">
        <v>7872.1899999999987</v>
      </c>
      <c r="I100" s="13">
        <v>0.17500000000000002</v>
      </c>
      <c r="J100" s="12">
        <v>1584.27675</v>
      </c>
      <c r="K100" s="12">
        <v>873.61777274999986</v>
      </c>
      <c r="L100" s="12">
        <v>1180.82</v>
      </c>
      <c r="M100" t="s">
        <v>10</v>
      </c>
      <c r="N100" t="s">
        <v>244</v>
      </c>
      <c r="O100" t="s">
        <v>41</v>
      </c>
      <c r="P100" s="19">
        <v>46053</v>
      </c>
      <c r="Q100">
        <f>+H100+L100</f>
        <v>9053.0099999999984</v>
      </c>
      <c r="R100">
        <f>+J100+K100+L100</f>
        <v>3638.7145227499996</v>
      </c>
      <c r="S100">
        <f>+MONTH(B100)</f>
        <v>1</v>
      </c>
      <c r="T100">
        <f>+YEAR(B100)</f>
        <v>2026</v>
      </c>
      <c r="U100" t="s">
        <v>42</v>
      </c>
    </row>
    <row r="101" spans="1:21" customFormat="1" ht="15" customHeight="1" x14ac:dyDescent="0.3">
      <c r="A101" s="41"/>
      <c r="B101" s="20">
        <v>46024</v>
      </c>
      <c r="C101" s="41"/>
      <c r="D101" s="41" t="s">
        <v>420</v>
      </c>
      <c r="E101" s="41" t="s">
        <v>379</v>
      </c>
      <c r="F101" s="41" t="s">
        <v>380</v>
      </c>
      <c r="G101" s="41" t="s">
        <v>53</v>
      </c>
      <c r="H101" s="55">
        <v>7608.7</v>
      </c>
      <c r="I101" s="56">
        <v>0.15</v>
      </c>
      <c r="J101" s="55">
        <v>1312.5</v>
      </c>
      <c r="K101" s="55">
        <v>1063.1263575000003</v>
      </c>
      <c r="L101" s="55">
        <v>1141.3</v>
      </c>
      <c r="M101" s="41" t="s">
        <v>10</v>
      </c>
      <c r="N101" s="41" t="s">
        <v>54</v>
      </c>
      <c r="O101" s="41" t="s">
        <v>55</v>
      </c>
      <c r="P101" s="57">
        <v>46053</v>
      </c>
      <c r="Q101" s="41">
        <f>+H101+L101</f>
        <v>8750</v>
      </c>
      <c r="R101" s="41">
        <f>+J101+K101+L101</f>
        <v>3516.9263575000004</v>
      </c>
      <c r="S101" s="41">
        <f>+MONTH(B101)</f>
        <v>1</v>
      </c>
      <c r="T101" s="41">
        <f>+YEAR(B101)</f>
        <v>2026</v>
      </c>
      <c r="U101" s="41" t="s">
        <v>364</v>
      </c>
    </row>
    <row r="102" spans="1:21" customFormat="1" ht="15" customHeight="1" x14ac:dyDescent="0.3">
      <c r="A102" s="10">
        <v>46031</v>
      </c>
      <c r="B102" s="10">
        <v>46043</v>
      </c>
      <c r="C102" s="10">
        <v>46031</v>
      </c>
      <c r="D102" s="11" t="s">
        <v>241</v>
      </c>
      <c r="E102" s="11" t="s">
        <v>113</v>
      </c>
      <c r="F102" s="11" t="s">
        <v>90</v>
      </c>
      <c r="G102" s="11" t="s">
        <v>53</v>
      </c>
      <c r="H102" s="12">
        <v>6113.7900000000009</v>
      </c>
      <c r="I102" s="13">
        <v>0.17499999999999999</v>
      </c>
      <c r="J102" s="12">
        <v>1230.3987500000001</v>
      </c>
      <c r="K102" s="12">
        <v>678.47933275000037</v>
      </c>
      <c r="L102" s="12">
        <v>917.06</v>
      </c>
      <c r="M102" t="s">
        <v>10</v>
      </c>
      <c r="N102" t="s">
        <v>85</v>
      </c>
      <c r="O102" t="s">
        <v>41</v>
      </c>
      <c r="P102" s="19">
        <v>46053</v>
      </c>
      <c r="Q102">
        <f>+H102+L102</f>
        <v>7030.85</v>
      </c>
      <c r="R102">
        <f>+J102+K102+L102</f>
        <v>2825.9380827500004</v>
      </c>
      <c r="S102">
        <f>+MONTH(B102)</f>
        <v>1</v>
      </c>
      <c r="T102">
        <f>+YEAR(B102)</f>
        <v>2026</v>
      </c>
      <c r="U102" t="s">
        <v>42</v>
      </c>
    </row>
    <row r="103" spans="1:21" customFormat="1" ht="15" customHeight="1" x14ac:dyDescent="0.3">
      <c r="A103" s="10">
        <v>46048</v>
      </c>
      <c r="B103" s="10">
        <v>46048</v>
      </c>
      <c r="C103" s="10">
        <v>46048</v>
      </c>
      <c r="D103" s="11" t="s">
        <v>355</v>
      </c>
      <c r="E103" s="11" t="s">
        <v>238</v>
      </c>
      <c r="F103" s="11" t="s">
        <v>52</v>
      </c>
      <c r="G103" s="11" t="s">
        <v>53</v>
      </c>
      <c r="H103" s="12">
        <v>6108.7200000000012</v>
      </c>
      <c r="I103" s="13">
        <v>0.14000000000000001</v>
      </c>
      <c r="J103" s="12">
        <v>983.50280000000021</v>
      </c>
      <c r="K103" s="12">
        <v>923.79230200000029</v>
      </c>
      <c r="L103" s="12">
        <v>916.3</v>
      </c>
      <c r="M103" t="s">
        <v>10</v>
      </c>
      <c r="N103" t="s">
        <v>85</v>
      </c>
      <c r="O103" t="s">
        <v>41</v>
      </c>
      <c r="P103" s="19">
        <v>46053</v>
      </c>
      <c r="Q103">
        <f>+H103+L103</f>
        <v>7025.0200000000013</v>
      </c>
      <c r="R103">
        <f>+J103+K103+L103</f>
        <v>2823.5951020000002</v>
      </c>
      <c r="S103">
        <f>+MONTH(B103)</f>
        <v>1</v>
      </c>
      <c r="T103">
        <f>+YEAR(B103)</f>
        <v>2026</v>
      </c>
      <c r="U103" t="s">
        <v>42</v>
      </c>
    </row>
    <row r="104" spans="1:21" customFormat="1" ht="15" customHeight="1" x14ac:dyDescent="0.3">
      <c r="A104" s="41"/>
      <c r="B104" s="20">
        <v>46052</v>
      </c>
      <c r="C104" s="41"/>
      <c r="D104" s="41" t="s">
        <v>399</v>
      </c>
      <c r="E104" s="41" t="s">
        <v>400</v>
      </c>
      <c r="F104" s="41" t="s">
        <v>367</v>
      </c>
      <c r="G104" s="41" t="s">
        <v>53</v>
      </c>
      <c r="H104" s="55">
        <v>5019.83</v>
      </c>
      <c r="I104" s="56">
        <v>0.14000000000000001</v>
      </c>
      <c r="J104" s="55">
        <v>808.19200000000012</v>
      </c>
      <c r="K104" s="55">
        <v>759.1244217499999</v>
      </c>
      <c r="L104" s="55">
        <v>752.97</v>
      </c>
      <c r="M104" s="41" t="s">
        <v>10</v>
      </c>
      <c r="N104" s="41" t="s">
        <v>54</v>
      </c>
      <c r="O104" s="41" t="s">
        <v>55</v>
      </c>
      <c r="P104" s="57">
        <v>46053</v>
      </c>
      <c r="Q104" s="41">
        <f>+H104+L104</f>
        <v>5772.8</v>
      </c>
      <c r="R104" s="41">
        <f>+J104+K104+L104</f>
        <v>2320.28642175</v>
      </c>
      <c r="S104" s="41">
        <f>+MONTH(B104)</f>
        <v>1</v>
      </c>
      <c r="T104" s="41">
        <f>+YEAR(B104)</f>
        <v>2026</v>
      </c>
      <c r="U104" s="41" t="s">
        <v>364</v>
      </c>
    </row>
    <row r="105" spans="1:21" customFormat="1" ht="15" customHeight="1" x14ac:dyDescent="0.3">
      <c r="A105" s="10">
        <v>46023</v>
      </c>
      <c r="B105" s="10">
        <v>46023</v>
      </c>
      <c r="C105" s="10">
        <v>46049</v>
      </c>
      <c r="D105" s="11" t="s">
        <v>324</v>
      </c>
      <c r="E105" s="11" t="s">
        <v>322</v>
      </c>
      <c r="F105" s="11" t="s">
        <v>323</v>
      </c>
      <c r="G105" s="11" t="s">
        <v>53</v>
      </c>
      <c r="H105" s="12">
        <v>5011.9826086956518</v>
      </c>
      <c r="I105" s="13">
        <v>0.15</v>
      </c>
      <c r="J105" s="12">
        <v>864.56699999999989</v>
      </c>
      <c r="K105" s="12">
        <v>700.29927000000009</v>
      </c>
      <c r="L105" s="12">
        <v>751.79739130434791</v>
      </c>
      <c r="M105" t="s">
        <v>10</v>
      </c>
      <c r="N105" t="s">
        <v>54</v>
      </c>
      <c r="O105" t="s">
        <v>55</v>
      </c>
      <c r="P105" s="19">
        <v>46053</v>
      </c>
      <c r="Q105">
        <f>+H105+L105</f>
        <v>5763.78</v>
      </c>
      <c r="R105">
        <f>+J105+K105+L105</f>
        <v>2316.6636613043479</v>
      </c>
      <c r="S105">
        <f>+MONTH(B105)</f>
        <v>1</v>
      </c>
      <c r="T105">
        <f>+YEAR(B105)</f>
        <v>2026</v>
      </c>
      <c r="U105" t="s">
        <v>42</v>
      </c>
    </row>
    <row r="106" spans="1:21" customFormat="1" ht="15" customHeight="1" x14ac:dyDescent="0.3">
      <c r="A106" s="10">
        <v>46023</v>
      </c>
      <c r="B106" s="10">
        <v>46023</v>
      </c>
      <c r="C106" s="10">
        <v>46049</v>
      </c>
      <c r="D106" s="11" t="s">
        <v>326</v>
      </c>
      <c r="E106" s="11" t="s">
        <v>322</v>
      </c>
      <c r="F106" s="11" t="s">
        <v>323</v>
      </c>
      <c r="G106" s="11" t="s">
        <v>53</v>
      </c>
      <c r="H106" s="12">
        <v>4820.869565217391</v>
      </c>
      <c r="I106" s="13">
        <v>0.15</v>
      </c>
      <c r="J106" s="12">
        <v>831.6</v>
      </c>
      <c r="K106" s="12">
        <v>673.59600000000012</v>
      </c>
      <c r="L106" s="12">
        <v>723.13043478260897</v>
      </c>
      <c r="M106" t="s">
        <v>10</v>
      </c>
      <c r="N106" t="s">
        <v>54</v>
      </c>
      <c r="O106" t="s">
        <v>55</v>
      </c>
      <c r="P106" s="19">
        <v>46053</v>
      </c>
      <c r="Q106">
        <f>+H106+L106</f>
        <v>5544</v>
      </c>
      <c r="R106">
        <f>+J106+K106+L106</f>
        <v>2228.3264347826089</v>
      </c>
      <c r="S106">
        <f>+MONTH(B106)</f>
        <v>1</v>
      </c>
      <c r="T106">
        <f>+YEAR(B106)</f>
        <v>2026</v>
      </c>
      <c r="U106" t="s">
        <v>42</v>
      </c>
    </row>
    <row r="107" spans="1:21" customFormat="1" ht="15" customHeight="1" x14ac:dyDescent="0.3">
      <c r="A107" s="10">
        <v>46023</v>
      </c>
      <c r="B107" s="10">
        <v>46023</v>
      </c>
      <c r="C107" s="10">
        <v>46049</v>
      </c>
      <c r="D107" s="11" t="s">
        <v>328</v>
      </c>
      <c r="E107" s="11" t="s">
        <v>322</v>
      </c>
      <c r="F107" s="11" t="s">
        <v>323</v>
      </c>
      <c r="G107" s="11" t="s">
        <v>53</v>
      </c>
      <c r="H107" s="12">
        <v>4734.782608695652</v>
      </c>
      <c r="I107" s="13">
        <v>0.15</v>
      </c>
      <c r="J107" s="12">
        <v>816.75</v>
      </c>
      <c r="K107" s="12">
        <v>661.56750000000011</v>
      </c>
      <c r="L107" s="12">
        <v>710.21739130434798</v>
      </c>
      <c r="M107" t="s">
        <v>10</v>
      </c>
      <c r="N107" t="s">
        <v>54</v>
      </c>
      <c r="O107" t="s">
        <v>55</v>
      </c>
      <c r="P107" s="19">
        <v>46053</v>
      </c>
      <c r="Q107">
        <f>+H107+L107</f>
        <v>5445</v>
      </c>
      <c r="R107">
        <f>+J107+K107+L107</f>
        <v>2188.5348913043481</v>
      </c>
      <c r="S107">
        <f>+MONTH(B107)</f>
        <v>1</v>
      </c>
      <c r="T107">
        <f>+YEAR(B107)</f>
        <v>2026</v>
      </c>
      <c r="U107" t="s">
        <v>42</v>
      </c>
    </row>
    <row r="108" spans="1:21" customFormat="1" ht="15" customHeight="1" x14ac:dyDescent="0.3">
      <c r="A108" s="10">
        <v>46036</v>
      </c>
      <c r="B108" s="10">
        <v>46036</v>
      </c>
      <c r="C108" s="10">
        <v>46049</v>
      </c>
      <c r="D108" s="11" t="s">
        <v>333</v>
      </c>
      <c r="E108" s="11" t="s">
        <v>334</v>
      </c>
      <c r="F108" s="11" t="s">
        <v>52</v>
      </c>
      <c r="G108" s="11" t="s">
        <v>53</v>
      </c>
      <c r="H108" s="12">
        <v>4173.913043478261</v>
      </c>
      <c r="I108" s="13">
        <v>0.14000000000000001</v>
      </c>
      <c r="J108" s="12">
        <v>672.00000000000011</v>
      </c>
      <c r="K108" s="12">
        <v>631.20000000000016</v>
      </c>
      <c r="L108" s="12">
        <v>626.08695652173901</v>
      </c>
      <c r="M108" t="s">
        <v>10</v>
      </c>
      <c r="N108" t="s">
        <v>54</v>
      </c>
      <c r="O108" t="s">
        <v>55</v>
      </c>
      <c r="P108" s="19">
        <v>46053</v>
      </c>
      <c r="Q108">
        <f>+H108+L108</f>
        <v>4800</v>
      </c>
      <c r="R108">
        <f>+J108+K108+L108</f>
        <v>1929.2869565217393</v>
      </c>
      <c r="S108">
        <f>+MONTH(B108)</f>
        <v>1</v>
      </c>
      <c r="T108">
        <f>+YEAR(B108)</f>
        <v>2026</v>
      </c>
      <c r="U108" t="s">
        <v>42</v>
      </c>
    </row>
    <row r="109" spans="1:21" customFormat="1" ht="15" customHeight="1" x14ac:dyDescent="0.3">
      <c r="A109" s="10">
        <v>46023</v>
      </c>
      <c r="B109" s="10">
        <v>46023</v>
      </c>
      <c r="C109" s="10">
        <v>46058</v>
      </c>
      <c r="D109" s="11" t="s">
        <v>391</v>
      </c>
      <c r="E109" s="11" t="s">
        <v>51</v>
      </c>
      <c r="F109" s="11" t="s">
        <v>52</v>
      </c>
      <c r="G109" s="11" t="s">
        <v>53</v>
      </c>
      <c r="H109" s="12">
        <v>4173.913043478261</v>
      </c>
      <c r="I109" s="13">
        <v>0.12173958333333333</v>
      </c>
      <c r="J109" s="12">
        <v>584.35</v>
      </c>
      <c r="K109" s="12">
        <v>718.85000000000025</v>
      </c>
      <c r="L109" s="12">
        <v>626.08695652173901</v>
      </c>
      <c r="M109" t="s">
        <v>10</v>
      </c>
      <c r="N109" t="s">
        <v>54</v>
      </c>
      <c r="O109" t="s">
        <v>55</v>
      </c>
      <c r="P109" s="19">
        <v>46081</v>
      </c>
      <c r="Q109" s="47">
        <f>+H109+L109</f>
        <v>4800</v>
      </c>
      <c r="R109" s="47">
        <f>+J109+K109+L109</f>
        <v>1929.2869565217393</v>
      </c>
      <c r="S109" s="47">
        <f>+MONTH(B109)</f>
        <v>1</v>
      </c>
      <c r="T109" s="47">
        <f>+YEAR(B109)</f>
        <v>2026</v>
      </c>
      <c r="U109" s="47" t="s">
        <v>364</v>
      </c>
    </row>
    <row r="110" spans="1:21" customFormat="1" ht="15" customHeight="1" x14ac:dyDescent="0.3">
      <c r="A110" s="41"/>
      <c r="B110" s="20">
        <v>46023</v>
      </c>
      <c r="C110" s="41"/>
      <c r="D110" s="41" t="s">
        <v>391</v>
      </c>
      <c r="E110" s="41" t="s">
        <v>377</v>
      </c>
      <c r="F110" s="41" t="s">
        <v>371</v>
      </c>
      <c r="G110" s="41" t="s">
        <v>53</v>
      </c>
      <c r="H110" s="55">
        <v>4173.91</v>
      </c>
      <c r="I110" s="56">
        <v>0.14000000000000001</v>
      </c>
      <c r="J110" s="55">
        <v>672.00000000000011</v>
      </c>
      <c r="K110" s="55">
        <v>631.19904974999997</v>
      </c>
      <c r="L110" s="55">
        <v>626.09</v>
      </c>
      <c r="M110" s="41" t="s">
        <v>10</v>
      </c>
      <c r="N110" s="41" t="s">
        <v>54</v>
      </c>
      <c r="O110" s="41" t="s">
        <v>55</v>
      </c>
      <c r="P110" s="57">
        <v>46053</v>
      </c>
      <c r="Q110" s="41">
        <f>+H110+L110</f>
        <v>4800</v>
      </c>
      <c r="R110" s="41">
        <f>+J110+K110+L110</f>
        <v>1929.2890497500002</v>
      </c>
      <c r="S110" s="41">
        <f>+MONTH(B110)</f>
        <v>1</v>
      </c>
      <c r="T110" s="41">
        <f>+YEAR(B110)</f>
        <v>2026</v>
      </c>
      <c r="U110" s="41" t="s">
        <v>364</v>
      </c>
    </row>
    <row r="111" spans="1:21" customFormat="1" ht="15" customHeight="1" x14ac:dyDescent="0.3">
      <c r="A111" s="41"/>
      <c r="B111" s="20">
        <v>46023</v>
      </c>
      <c r="C111" s="41"/>
      <c r="D111" s="41" t="s">
        <v>430</v>
      </c>
      <c r="E111" s="41" t="s">
        <v>407</v>
      </c>
      <c r="F111" s="41" t="s">
        <v>371</v>
      </c>
      <c r="G111" s="41" t="s">
        <v>53</v>
      </c>
      <c r="H111" s="55">
        <v>4173.91</v>
      </c>
      <c r="I111" s="56">
        <v>0.14000000000000001</v>
      </c>
      <c r="J111" s="55">
        <v>672.00000000000011</v>
      </c>
      <c r="K111" s="55">
        <v>631.19904974999997</v>
      </c>
      <c r="L111" s="55">
        <v>626.09</v>
      </c>
      <c r="M111" s="41" t="s">
        <v>10</v>
      </c>
      <c r="N111" s="41" t="s">
        <v>54</v>
      </c>
      <c r="O111" s="41" t="s">
        <v>55</v>
      </c>
      <c r="P111" s="57">
        <v>46053</v>
      </c>
      <c r="Q111" s="41">
        <f>+H111+L111</f>
        <v>4800</v>
      </c>
      <c r="R111" s="41">
        <f>+J111+K111+L111</f>
        <v>1929.2890497500002</v>
      </c>
      <c r="S111" s="41">
        <f>+MONTH(B111)</f>
        <v>1</v>
      </c>
      <c r="T111" s="41">
        <f>+YEAR(B111)</f>
        <v>2026</v>
      </c>
      <c r="U111" s="41" t="s">
        <v>364</v>
      </c>
    </row>
    <row r="112" spans="1:21" customFormat="1" ht="15" customHeight="1" x14ac:dyDescent="0.3">
      <c r="A112" s="10">
        <v>45119</v>
      </c>
      <c r="B112" s="10">
        <v>46023</v>
      </c>
      <c r="C112" s="10">
        <v>46063</v>
      </c>
      <c r="D112" s="11" t="s">
        <v>495</v>
      </c>
      <c r="E112" s="11" t="s">
        <v>479</v>
      </c>
      <c r="F112" s="11" t="s">
        <v>84</v>
      </c>
      <c r="G112" s="11" t="s">
        <v>53</v>
      </c>
      <c r="H112" s="12">
        <v>3963.19</v>
      </c>
      <c r="I112" s="13">
        <v>0.17499999999999999</v>
      </c>
      <c r="J112" s="12">
        <v>797.59224999999992</v>
      </c>
      <c r="K112" s="12">
        <v>389.38315499999999</v>
      </c>
      <c r="L112" s="12">
        <v>594.48</v>
      </c>
      <c r="M112" t="s">
        <v>10</v>
      </c>
      <c r="N112" t="s">
        <v>85</v>
      </c>
      <c r="O112" t="s">
        <v>55</v>
      </c>
      <c r="P112" s="19">
        <v>46081</v>
      </c>
      <c r="Q112" s="47">
        <f>+H112+L112</f>
        <v>4557.67</v>
      </c>
      <c r="R112" s="47">
        <f>+J112+K112+L112</f>
        <v>1781.4554049999999</v>
      </c>
      <c r="S112" s="47">
        <f>+MONTH(B112)</f>
        <v>1</v>
      </c>
      <c r="T112" s="47">
        <f>+YEAR(B112)</f>
        <v>2026</v>
      </c>
      <c r="U112" s="47" t="s">
        <v>364</v>
      </c>
    </row>
    <row r="113" spans="1:21" customFormat="1" ht="15" customHeight="1" x14ac:dyDescent="0.3">
      <c r="A113" s="10">
        <v>45000</v>
      </c>
      <c r="B113" s="10">
        <v>46023</v>
      </c>
      <c r="C113" s="10">
        <v>46063</v>
      </c>
      <c r="D113" s="11" t="s">
        <v>490</v>
      </c>
      <c r="E113" s="11" t="s">
        <v>479</v>
      </c>
      <c r="F113" s="11" t="s">
        <v>84</v>
      </c>
      <c r="G113" s="11" t="s">
        <v>53</v>
      </c>
      <c r="H113" s="12">
        <v>3731.27</v>
      </c>
      <c r="I113" s="13">
        <v>0.17499999999999999</v>
      </c>
      <c r="J113" s="12">
        <v>750.91800000000001</v>
      </c>
      <c r="K113" s="12">
        <v>366.59736499999997</v>
      </c>
      <c r="L113" s="12">
        <v>559.69000000000005</v>
      </c>
      <c r="M113" t="s">
        <v>10</v>
      </c>
      <c r="N113" t="s">
        <v>85</v>
      </c>
      <c r="O113" t="s">
        <v>55</v>
      </c>
      <c r="P113" s="19">
        <v>46081</v>
      </c>
      <c r="Q113" s="47">
        <f>+H113+L113</f>
        <v>4290.96</v>
      </c>
      <c r="R113" s="47">
        <f>+J113+K113+L113</f>
        <v>1677.205365</v>
      </c>
      <c r="S113" s="47">
        <f>+MONTH(B113)</f>
        <v>1</v>
      </c>
      <c r="T113" s="47">
        <f>+YEAR(B113)</f>
        <v>2026</v>
      </c>
      <c r="U113" s="47" t="s">
        <v>364</v>
      </c>
    </row>
    <row r="114" spans="1:21" customFormat="1" ht="15" customHeight="1" x14ac:dyDescent="0.3">
      <c r="A114" s="10">
        <v>45124</v>
      </c>
      <c r="B114" s="10">
        <v>46023</v>
      </c>
      <c r="C114" s="10">
        <v>46063</v>
      </c>
      <c r="D114" s="11" t="s">
        <v>496</v>
      </c>
      <c r="E114" s="11" t="s">
        <v>479</v>
      </c>
      <c r="F114" s="11" t="s">
        <v>84</v>
      </c>
      <c r="G114" s="11" t="s">
        <v>53</v>
      </c>
      <c r="H114" s="12">
        <v>3721.8300000000004</v>
      </c>
      <c r="I114" s="13">
        <v>0.17499999999999999</v>
      </c>
      <c r="J114" s="12">
        <v>749.01750000000004</v>
      </c>
      <c r="K114" s="12">
        <v>365.67058499999996</v>
      </c>
      <c r="L114" s="12">
        <v>558.27</v>
      </c>
      <c r="M114" t="s">
        <v>10</v>
      </c>
      <c r="N114" t="s">
        <v>85</v>
      </c>
      <c r="O114" t="s">
        <v>55</v>
      </c>
      <c r="P114" s="19">
        <v>46081</v>
      </c>
      <c r="Q114" s="47">
        <f>+H114+L114</f>
        <v>4280.1000000000004</v>
      </c>
      <c r="R114" s="47">
        <f>+J114+K114+L114</f>
        <v>1672.958085</v>
      </c>
      <c r="S114" s="47">
        <f>+MONTH(B114)</f>
        <v>1</v>
      </c>
      <c r="T114" s="47">
        <f>+YEAR(B114)</f>
        <v>2026</v>
      </c>
      <c r="U114" s="47" t="s">
        <v>364</v>
      </c>
    </row>
    <row r="115" spans="1:21" customFormat="1" ht="15" customHeight="1" x14ac:dyDescent="0.3">
      <c r="A115" s="10">
        <v>45191</v>
      </c>
      <c r="B115" s="10">
        <v>46023</v>
      </c>
      <c r="C115" s="10">
        <v>46063</v>
      </c>
      <c r="D115" s="11" t="s">
        <v>497</v>
      </c>
      <c r="E115" s="11" t="s">
        <v>479</v>
      </c>
      <c r="F115" s="11" t="s">
        <v>84</v>
      </c>
      <c r="G115" s="11" t="s">
        <v>53</v>
      </c>
      <c r="H115" s="12">
        <v>3581.09</v>
      </c>
      <c r="I115" s="13">
        <v>0.17499999999999999</v>
      </c>
      <c r="J115" s="12">
        <v>720.69374999999991</v>
      </c>
      <c r="K115" s="12">
        <v>351.84270500000002</v>
      </c>
      <c r="L115" s="12">
        <v>537.16</v>
      </c>
      <c r="M115" t="s">
        <v>10</v>
      </c>
      <c r="N115" t="s">
        <v>85</v>
      </c>
      <c r="O115" t="s">
        <v>55</v>
      </c>
      <c r="P115" s="19">
        <v>46081</v>
      </c>
      <c r="Q115" s="47">
        <f>+H115+L115</f>
        <v>4118.25</v>
      </c>
      <c r="R115" s="47">
        <f>+J115+K115+L115</f>
        <v>1609.6964549999998</v>
      </c>
      <c r="S115" s="47">
        <f>+MONTH(B115)</f>
        <v>1</v>
      </c>
      <c r="T115" s="47">
        <f>+YEAR(B115)</f>
        <v>2026</v>
      </c>
      <c r="U115" s="47" t="s">
        <v>364</v>
      </c>
    </row>
    <row r="116" spans="1:21" customFormat="1" ht="15" customHeight="1" x14ac:dyDescent="0.3">
      <c r="A116" s="10">
        <v>45000</v>
      </c>
      <c r="B116" s="10">
        <v>46023</v>
      </c>
      <c r="C116" s="10">
        <v>46063</v>
      </c>
      <c r="D116" s="11" t="s">
        <v>489</v>
      </c>
      <c r="E116" s="11" t="s">
        <v>479</v>
      </c>
      <c r="F116" s="11" t="s">
        <v>84</v>
      </c>
      <c r="G116" s="11" t="s">
        <v>53</v>
      </c>
      <c r="H116" s="12">
        <v>3483.0999999999995</v>
      </c>
      <c r="I116" s="13">
        <v>0.17500000000000002</v>
      </c>
      <c r="J116" s="12">
        <v>700.97299999999996</v>
      </c>
      <c r="K116" s="12">
        <v>342.21544999999992</v>
      </c>
      <c r="L116" s="12">
        <v>522.46</v>
      </c>
      <c r="M116" t="s">
        <v>10</v>
      </c>
      <c r="N116" t="s">
        <v>85</v>
      </c>
      <c r="O116" t="s">
        <v>55</v>
      </c>
      <c r="P116" s="19">
        <v>46081</v>
      </c>
      <c r="Q116" s="47">
        <f>+H116+L116</f>
        <v>4005.5599999999995</v>
      </c>
      <c r="R116" s="47">
        <f>+J116+K116+L116</f>
        <v>1565.6484499999999</v>
      </c>
      <c r="S116" s="47">
        <f>+MONTH(B116)</f>
        <v>1</v>
      </c>
      <c r="T116" s="47">
        <f>+YEAR(B116)</f>
        <v>2026</v>
      </c>
      <c r="U116" s="47" t="s">
        <v>364</v>
      </c>
    </row>
    <row r="117" spans="1:21" customFormat="1" ht="15" customHeight="1" x14ac:dyDescent="0.3">
      <c r="A117" s="10">
        <v>45077</v>
      </c>
      <c r="B117" s="10">
        <v>46023</v>
      </c>
      <c r="C117" s="10">
        <v>46063</v>
      </c>
      <c r="D117" s="11" t="s">
        <v>494</v>
      </c>
      <c r="E117" s="11" t="s">
        <v>479</v>
      </c>
      <c r="F117" s="11" t="s">
        <v>84</v>
      </c>
      <c r="G117" s="11" t="s">
        <v>53</v>
      </c>
      <c r="H117" s="12">
        <v>3463.55</v>
      </c>
      <c r="I117" s="13">
        <v>0.17499999999999999</v>
      </c>
      <c r="J117" s="12">
        <v>697.03899999999999</v>
      </c>
      <c r="K117" s="12">
        <v>340.2942250000001</v>
      </c>
      <c r="L117" s="12">
        <v>519.53</v>
      </c>
      <c r="M117" t="s">
        <v>10</v>
      </c>
      <c r="N117" t="s">
        <v>85</v>
      </c>
      <c r="O117" t="s">
        <v>55</v>
      </c>
      <c r="P117" s="19">
        <v>46081</v>
      </c>
      <c r="Q117" s="47">
        <f>+H117+L117</f>
        <v>3983.08</v>
      </c>
      <c r="R117" s="47">
        <f>+J117+K117+L117</f>
        <v>1556.8632250000001</v>
      </c>
      <c r="S117" s="47">
        <f>+MONTH(B117)</f>
        <v>1</v>
      </c>
      <c r="T117" s="47">
        <f>+YEAR(B117)</f>
        <v>2026</v>
      </c>
      <c r="U117" s="47" t="s">
        <v>364</v>
      </c>
    </row>
    <row r="118" spans="1:21" customFormat="1" ht="15" customHeight="1" x14ac:dyDescent="0.3">
      <c r="A118" s="10">
        <v>45000</v>
      </c>
      <c r="B118" s="10">
        <v>46023</v>
      </c>
      <c r="C118" s="10">
        <v>46063</v>
      </c>
      <c r="D118" s="11" t="s">
        <v>488</v>
      </c>
      <c r="E118" s="11" t="s">
        <v>479</v>
      </c>
      <c r="F118" s="11" t="s">
        <v>84</v>
      </c>
      <c r="G118" s="11" t="s">
        <v>53</v>
      </c>
      <c r="H118" s="12">
        <v>3361.55</v>
      </c>
      <c r="I118" s="13">
        <v>0.17499999999999999</v>
      </c>
      <c r="J118" s="12">
        <v>676.51149999999996</v>
      </c>
      <c r="K118" s="12">
        <v>330.27272500000004</v>
      </c>
      <c r="L118" s="12">
        <v>504.22999999999996</v>
      </c>
      <c r="M118" t="s">
        <v>10</v>
      </c>
      <c r="N118" t="s">
        <v>85</v>
      </c>
      <c r="O118" t="s">
        <v>55</v>
      </c>
      <c r="P118" s="19">
        <v>46081</v>
      </c>
      <c r="Q118" s="47">
        <f>+H118+L118</f>
        <v>3865.78</v>
      </c>
      <c r="R118" s="47">
        <f>+J118+K118+L118</f>
        <v>1511.0142249999999</v>
      </c>
      <c r="S118" s="47">
        <f>+MONTH(B118)</f>
        <v>1</v>
      </c>
      <c r="T118" s="47">
        <f>+YEAR(B118)</f>
        <v>2026</v>
      </c>
      <c r="U118" s="47" t="s">
        <v>364</v>
      </c>
    </row>
    <row r="119" spans="1:21" customFormat="1" ht="15" customHeight="1" x14ac:dyDescent="0.3">
      <c r="A119" s="10">
        <v>45015</v>
      </c>
      <c r="B119" s="10">
        <v>46023</v>
      </c>
      <c r="C119" s="10">
        <v>46063</v>
      </c>
      <c r="D119" s="11" t="s">
        <v>493</v>
      </c>
      <c r="E119" s="11" t="s">
        <v>479</v>
      </c>
      <c r="F119" s="11" t="s">
        <v>84</v>
      </c>
      <c r="G119" s="11" t="s">
        <v>53</v>
      </c>
      <c r="H119" s="12">
        <v>3322.39</v>
      </c>
      <c r="I119" s="13">
        <v>0.17499999999999999</v>
      </c>
      <c r="J119" s="12">
        <v>668.62949999999989</v>
      </c>
      <c r="K119" s="12">
        <v>326.42630500000007</v>
      </c>
      <c r="L119" s="12">
        <v>498.35</v>
      </c>
      <c r="M119" t="s">
        <v>10</v>
      </c>
      <c r="N119" t="s">
        <v>85</v>
      </c>
      <c r="O119" t="s">
        <v>55</v>
      </c>
      <c r="P119" s="19">
        <v>46081</v>
      </c>
      <c r="Q119" s="47">
        <f>+H119+L119</f>
        <v>3820.74</v>
      </c>
      <c r="R119" s="47">
        <f>+J119+K119+L119</f>
        <v>1493.4058049999999</v>
      </c>
      <c r="S119" s="47">
        <f>+MONTH(B119)</f>
        <v>1</v>
      </c>
      <c r="T119" s="47">
        <f>+YEAR(B119)</f>
        <v>2026</v>
      </c>
      <c r="U119" s="47" t="s">
        <v>364</v>
      </c>
    </row>
    <row r="120" spans="1:21" customFormat="1" ht="15" customHeight="1" x14ac:dyDescent="0.3">
      <c r="A120" s="10">
        <v>45000</v>
      </c>
      <c r="B120" s="10">
        <v>46023</v>
      </c>
      <c r="C120" s="10">
        <v>46063</v>
      </c>
      <c r="D120" s="11" t="s">
        <v>483</v>
      </c>
      <c r="E120" s="11" t="s">
        <v>479</v>
      </c>
      <c r="F120" s="11" t="s">
        <v>84</v>
      </c>
      <c r="G120" s="11" t="s">
        <v>53</v>
      </c>
      <c r="H120" s="12">
        <v>3278.0999999999995</v>
      </c>
      <c r="I120" s="13">
        <v>0.17500000000000002</v>
      </c>
      <c r="J120" s="12">
        <v>659.71674999999993</v>
      </c>
      <c r="K120" s="12">
        <v>322.07419999999991</v>
      </c>
      <c r="L120" s="12">
        <v>491.71</v>
      </c>
      <c r="M120" t="s">
        <v>10</v>
      </c>
      <c r="N120" t="s">
        <v>85</v>
      </c>
      <c r="O120" t="s">
        <v>55</v>
      </c>
      <c r="P120" s="19">
        <v>46081</v>
      </c>
      <c r="Q120" s="47">
        <f>+H120+L120</f>
        <v>3769.8099999999995</v>
      </c>
      <c r="R120" s="47">
        <f>+J120+K120+L120</f>
        <v>1473.5009499999999</v>
      </c>
      <c r="S120" s="47">
        <f>+MONTH(B120)</f>
        <v>1</v>
      </c>
      <c r="T120" s="47">
        <f>+YEAR(B120)</f>
        <v>2026</v>
      </c>
      <c r="U120" s="47" t="s">
        <v>364</v>
      </c>
    </row>
    <row r="121" spans="1:21" customFormat="1" ht="15" customHeight="1" x14ac:dyDescent="0.3">
      <c r="A121" s="10">
        <v>45000</v>
      </c>
      <c r="B121" s="10">
        <v>46023</v>
      </c>
      <c r="C121" s="10">
        <v>46063</v>
      </c>
      <c r="D121" s="11" t="s">
        <v>481</v>
      </c>
      <c r="E121" s="11" t="s">
        <v>479</v>
      </c>
      <c r="F121" s="11" t="s">
        <v>84</v>
      </c>
      <c r="G121" s="11" t="s">
        <v>53</v>
      </c>
      <c r="H121" s="12">
        <v>3182.56</v>
      </c>
      <c r="I121" s="13">
        <v>0.17500000000000002</v>
      </c>
      <c r="J121" s="12">
        <v>640.48950000000002</v>
      </c>
      <c r="K121" s="12">
        <v>312.68721999999991</v>
      </c>
      <c r="L121" s="12">
        <v>477.37999999999994</v>
      </c>
      <c r="M121" t="s">
        <v>10</v>
      </c>
      <c r="N121" t="s">
        <v>85</v>
      </c>
      <c r="O121" t="s">
        <v>55</v>
      </c>
      <c r="P121" s="19">
        <v>46081</v>
      </c>
      <c r="Q121" s="47">
        <f>+H121+L121</f>
        <v>3659.94</v>
      </c>
      <c r="R121" s="47">
        <f>+J121+K121+L121</f>
        <v>1430.5567199999998</v>
      </c>
      <c r="S121" s="47">
        <f>+MONTH(B121)</f>
        <v>1</v>
      </c>
      <c r="T121" s="47">
        <f>+YEAR(B121)</f>
        <v>2026</v>
      </c>
      <c r="U121" s="47" t="s">
        <v>364</v>
      </c>
    </row>
    <row r="122" spans="1:21" customFormat="1" ht="15" customHeight="1" x14ac:dyDescent="0.3">
      <c r="A122" s="10">
        <v>45000</v>
      </c>
      <c r="B122" s="10">
        <v>46023</v>
      </c>
      <c r="C122" s="10">
        <v>46063</v>
      </c>
      <c r="D122" s="11" t="s">
        <v>487</v>
      </c>
      <c r="E122" s="11" t="s">
        <v>479</v>
      </c>
      <c r="F122" s="11" t="s">
        <v>84</v>
      </c>
      <c r="G122" s="11" t="s">
        <v>53</v>
      </c>
      <c r="H122" s="12">
        <v>3176.06</v>
      </c>
      <c r="I122" s="13">
        <v>0.17499999999999999</v>
      </c>
      <c r="J122" s="12">
        <v>639.18224999999995</v>
      </c>
      <c r="K122" s="12">
        <v>312.04772000000003</v>
      </c>
      <c r="L122" s="12">
        <v>476.40999999999997</v>
      </c>
      <c r="M122" t="s">
        <v>10</v>
      </c>
      <c r="N122" t="s">
        <v>85</v>
      </c>
      <c r="O122" t="s">
        <v>55</v>
      </c>
      <c r="P122" s="19">
        <v>46081</v>
      </c>
      <c r="Q122" s="47">
        <f>+H122+L122</f>
        <v>3652.47</v>
      </c>
      <c r="R122" s="47">
        <f>+J122+K122+L122</f>
        <v>1427.6399699999999</v>
      </c>
      <c r="S122" s="47">
        <f>+MONTH(B122)</f>
        <v>1</v>
      </c>
      <c r="T122" s="47">
        <f>+YEAR(B122)</f>
        <v>2026</v>
      </c>
      <c r="U122" s="47" t="s">
        <v>364</v>
      </c>
    </row>
    <row r="123" spans="1:21" customFormat="1" ht="15" customHeight="1" x14ac:dyDescent="0.3">
      <c r="A123" s="10">
        <v>44987</v>
      </c>
      <c r="B123" s="10">
        <v>46037</v>
      </c>
      <c r="C123" s="10">
        <v>46064</v>
      </c>
      <c r="D123" s="11" t="s">
        <v>508</v>
      </c>
      <c r="E123" s="11" t="s">
        <v>509</v>
      </c>
      <c r="F123" s="11" t="s">
        <v>84</v>
      </c>
      <c r="G123" s="11" t="s">
        <v>53</v>
      </c>
      <c r="H123" s="12">
        <v>3168.67</v>
      </c>
      <c r="I123" s="13">
        <v>0.17499999999999996</v>
      </c>
      <c r="J123" s="12">
        <v>637.69474999999989</v>
      </c>
      <c r="K123" s="12">
        <v>311.3219150000001</v>
      </c>
      <c r="L123" s="12">
        <v>475.30000000000007</v>
      </c>
      <c r="M123" t="s">
        <v>10</v>
      </c>
      <c r="N123" t="s">
        <v>85</v>
      </c>
      <c r="O123" t="s">
        <v>55</v>
      </c>
      <c r="P123" s="19">
        <v>46081</v>
      </c>
      <c r="Q123" s="47">
        <f>+H123+L123</f>
        <v>3643.9700000000003</v>
      </c>
      <c r="R123" s="47">
        <f>+J123+K123+L123</f>
        <v>1424.3166650000001</v>
      </c>
      <c r="S123" s="47">
        <f>+MONTH(B123)</f>
        <v>1</v>
      </c>
      <c r="T123" s="47">
        <f>+YEAR(B123)</f>
        <v>2026</v>
      </c>
      <c r="U123" s="47" t="s">
        <v>364</v>
      </c>
    </row>
    <row r="124" spans="1:21" customFormat="1" ht="15" customHeight="1" x14ac:dyDescent="0.3">
      <c r="A124" s="10">
        <v>45000</v>
      </c>
      <c r="B124" s="10">
        <v>46023</v>
      </c>
      <c r="C124" s="10">
        <v>46063</v>
      </c>
      <c r="D124" s="11" t="s">
        <v>485</v>
      </c>
      <c r="E124" s="11" t="s">
        <v>479</v>
      </c>
      <c r="F124" s="11" t="s">
        <v>84</v>
      </c>
      <c r="G124" s="11" t="s">
        <v>53</v>
      </c>
      <c r="H124" s="12">
        <v>3165.9000000000005</v>
      </c>
      <c r="I124" s="13">
        <v>0.17499999999999996</v>
      </c>
      <c r="J124" s="12">
        <v>637.13649999999996</v>
      </c>
      <c r="K124" s="12">
        <v>311.05055000000016</v>
      </c>
      <c r="L124" s="12">
        <v>474.87999999999994</v>
      </c>
      <c r="M124" t="s">
        <v>10</v>
      </c>
      <c r="N124" t="s">
        <v>85</v>
      </c>
      <c r="O124" t="s">
        <v>55</v>
      </c>
      <c r="P124" s="19">
        <v>46081</v>
      </c>
      <c r="Q124" s="47">
        <f>+H124+L124</f>
        <v>3640.7800000000007</v>
      </c>
      <c r="R124" s="47">
        <f>+J124+K124+L124</f>
        <v>1423.0670500000001</v>
      </c>
      <c r="S124" s="47">
        <f>+MONTH(B124)</f>
        <v>1</v>
      </c>
      <c r="T124" s="47">
        <f>+YEAR(B124)</f>
        <v>2026</v>
      </c>
      <c r="U124" s="47" t="s">
        <v>364</v>
      </c>
    </row>
    <row r="125" spans="1:21" customFormat="1" ht="15" customHeight="1" x14ac:dyDescent="0.3">
      <c r="A125" s="10">
        <v>45000</v>
      </c>
      <c r="B125" s="10">
        <v>46023</v>
      </c>
      <c r="C125" s="10">
        <v>46063</v>
      </c>
      <c r="D125" s="11" t="s">
        <v>486</v>
      </c>
      <c r="E125" s="11" t="s">
        <v>479</v>
      </c>
      <c r="F125" s="11" t="s">
        <v>84</v>
      </c>
      <c r="G125" s="11" t="s">
        <v>53</v>
      </c>
      <c r="H125" s="12">
        <v>3160.58</v>
      </c>
      <c r="I125" s="13">
        <v>0.17499999999999999</v>
      </c>
      <c r="J125" s="12">
        <v>636.06549999999993</v>
      </c>
      <c r="K125" s="12">
        <v>310.52821000000006</v>
      </c>
      <c r="L125" s="12">
        <v>474.08</v>
      </c>
      <c r="M125" t="s">
        <v>10</v>
      </c>
      <c r="N125" t="s">
        <v>85</v>
      </c>
      <c r="O125" t="s">
        <v>55</v>
      </c>
      <c r="P125" s="19">
        <v>46081</v>
      </c>
      <c r="Q125" s="47">
        <f>+H125+L125</f>
        <v>3634.66</v>
      </c>
      <c r="R125" s="47">
        <f>+J125+K125+L125</f>
        <v>1420.67371</v>
      </c>
      <c r="S125" s="47">
        <f>+MONTH(B125)</f>
        <v>1</v>
      </c>
      <c r="T125" s="47">
        <f>+YEAR(B125)</f>
        <v>2026</v>
      </c>
      <c r="U125" s="47" t="s">
        <v>364</v>
      </c>
    </row>
    <row r="126" spans="1:21" customFormat="1" ht="15" customHeight="1" x14ac:dyDescent="0.3">
      <c r="A126" s="10">
        <v>45000</v>
      </c>
      <c r="B126" s="10">
        <v>46023</v>
      </c>
      <c r="C126" s="10">
        <v>46063</v>
      </c>
      <c r="D126" s="11" t="s">
        <v>491</v>
      </c>
      <c r="E126" s="11" t="s">
        <v>479</v>
      </c>
      <c r="F126" s="11" t="s">
        <v>84</v>
      </c>
      <c r="G126" s="11" t="s">
        <v>53</v>
      </c>
      <c r="H126" s="12">
        <v>3148.1399999999994</v>
      </c>
      <c r="I126" s="13">
        <v>0.17500000000000002</v>
      </c>
      <c r="J126" s="12">
        <v>633.56299999999999</v>
      </c>
      <c r="K126" s="12">
        <v>309.30492999999979</v>
      </c>
      <c r="L126" s="12">
        <v>472.22</v>
      </c>
      <c r="M126" t="s">
        <v>10</v>
      </c>
      <c r="N126" t="s">
        <v>85</v>
      </c>
      <c r="O126" t="s">
        <v>55</v>
      </c>
      <c r="P126" s="19">
        <v>46081</v>
      </c>
      <c r="Q126" s="47">
        <f>+H126+L126</f>
        <v>3620.3599999999997</v>
      </c>
      <c r="R126" s="47">
        <f>+J126+K126+L126</f>
        <v>1415.0879299999997</v>
      </c>
      <c r="S126" s="47">
        <f>+MONTH(B126)</f>
        <v>1</v>
      </c>
      <c r="T126" s="47">
        <f>+YEAR(B126)</f>
        <v>2026</v>
      </c>
      <c r="U126" s="47" t="s">
        <v>364</v>
      </c>
    </row>
    <row r="127" spans="1:21" customFormat="1" ht="15" customHeight="1" x14ac:dyDescent="0.3">
      <c r="A127" s="10">
        <v>45000</v>
      </c>
      <c r="B127" s="10">
        <v>46023</v>
      </c>
      <c r="C127" s="10">
        <v>46063</v>
      </c>
      <c r="D127" s="11" t="s">
        <v>492</v>
      </c>
      <c r="E127" s="11" t="s">
        <v>479</v>
      </c>
      <c r="F127" s="11" t="s">
        <v>84</v>
      </c>
      <c r="G127" s="11" t="s">
        <v>53</v>
      </c>
      <c r="H127" s="12">
        <v>3127.51</v>
      </c>
      <c r="I127" s="13">
        <v>0.17499999999999999</v>
      </c>
      <c r="J127" s="12">
        <v>629.41025000000002</v>
      </c>
      <c r="K127" s="12">
        <v>307.27899500000001</v>
      </c>
      <c r="L127" s="12">
        <v>469.12000000000006</v>
      </c>
      <c r="M127" t="s">
        <v>10</v>
      </c>
      <c r="N127" t="s">
        <v>85</v>
      </c>
      <c r="O127" t="s">
        <v>55</v>
      </c>
      <c r="P127" s="19">
        <v>46081</v>
      </c>
      <c r="Q127" s="47">
        <f>+H127+L127</f>
        <v>3596.63</v>
      </c>
      <c r="R127" s="47">
        <f>+J127+K127+L127</f>
        <v>1405.8092450000001</v>
      </c>
      <c r="S127" s="47">
        <f>+MONTH(B127)</f>
        <v>1</v>
      </c>
      <c r="T127" s="47">
        <f>+YEAR(B127)</f>
        <v>2026</v>
      </c>
      <c r="U127" s="47" t="s">
        <v>364</v>
      </c>
    </row>
    <row r="128" spans="1:21" customFormat="1" ht="15" customHeight="1" x14ac:dyDescent="0.3">
      <c r="A128" s="10">
        <v>45000</v>
      </c>
      <c r="B128" s="10">
        <v>46023</v>
      </c>
      <c r="C128" s="10">
        <v>46063</v>
      </c>
      <c r="D128" s="11" t="s">
        <v>484</v>
      </c>
      <c r="E128" s="11" t="s">
        <v>479</v>
      </c>
      <c r="F128" s="11" t="s">
        <v>84</v>
      </c>
      <c r="G128" s="11" t="s">
        <v>53</v>
      </c>
      <c r="H128" s="12">
        <v>3054.8499999999995</v>
      </c>
      <c r="I128" s="13">
        <v>0.17500000000000002</v>
      </c>
      <c r="J128" s="12">
        <v>614.78724999999997</v>
      </c>
      <c r="K128" s="12">
        <v>300.14032499999985</v>
      </c>
      <c r="L128" s="12">
        <v>458.22</v>
      </c>
      <c r="M128" t="s">
        <v>10</v>
      </c>
      <c r="N128" t="s">
        <v>85</v>
      </c>
      <c r="O128" t="s">
        <v>55</v>
      </c>
      <c r="P128" s="19">
        <v>46081</v>
      </c>
      <c r="Q128" s="47">
        <f>+H128+L128</f>
        <v>3513.0699999999997</v>
      </c>
      <c r="R128" s="47">
        <f>+J128+K128+L128</f>
        <v>1373.147575</v>
      </c>
      <c r="S128" s="47">
        <f>+MONTH(B128)</f>
        <v>1</v>
      </c>
      <c r="T128" s="47">
        <f>+YEAR(B128)</f>
        <v>2026</v>
      </c>
      <c r="U128" s="47" t="s">
        <v>364</v>
      </c>
    </row>
    <row r="129" spans="1:21" customFormat="1" ht="15" customHeight="1" x14ac:dyDescent="0.3">
      <c r="A129" s="10">
        <v>44907</v>
      </c>
      <c r="B129" s="10">
        <v>44907</v>
      </c>
      <c r="C129" s="10">
        <v>46038</v>
      </c>
      <c r="D129" s="11" t="s">
        <v>206</v>
      </c>
      <c r="E129" s="11" t="s">
        <v>83</v>
      </c>
      <c r="F129" s="11" t="s">
        <v>84</v>
      </c>
      <c r="G129" s="11" t="s">
        <v>53</v>
      </c>
      <c r="H129" s="12">
        <v>1604.3900000000003</v>
      </c>
      <c r="I129" s="13">
        <v>0.17499999999999993</v>
      </c>
      <c r="J129" s="12">
        <v>322.88199999999995</v>
      </c>
      <c r="K129" s="12">
        <v>157.63280500000013</v>
      </c>
      <c r="L129" s="12">
        <v>240.65</v>
      </c>
      <c r="M129" t="s">
        <v>10</v>
      </c>
      <c r="N129" t="s">
        <v>85</v>
      </c>
      <c r="O129" t="s">
        <v>41</v>
      </c>
      <c r="P129" s="19">
        <v>46053</v>
      </c>
      <c r="Q129">
        <f>+H129+L129</f>
        <v>1845.0400000000004</v>
      </c>
      <c r="R129">
        <f>+J129+K129+L129</f>
        <v>721.16480500000011</v>
      </c>
      <c r="S129">
        <f>+MONTH(B129)</f>
        <v>12</v>
      </c>
      <c r="T129">
        <f>+YEAR(B129)</f>
        <v>2022</v>
      </c>
      <c r="U129" t="s">
        <v>42</v>
      </c>
    </row>
    <row r="130" spans="1:21" customFormat="1" ht="15" customHeight="1" x14ac:dyDescent="0.3">
      <c r="A130" s="10">
        <v>44907</v>
      </c>
      <c r="B130" s="10">
        <v>44907</v>
      </c>
      <c r="C130" s="10">
        <v>46038</v>
      </c>
      <c r="D130" s="11" t="s">
        <v>207</v>
      </c>
      <c r="E130" s="11" t="s">
        <v>83</v>
      </c>
      <c r="F130" s="11" t="s">
        <v>84</v>
      </c>
      <c r="G130" s="11" t="s">
        <v>53</v>
      </c>
      <c r="H130" s="12">
        <v>519.76</v>
      </c>
      <c r="I130" s="13">
        <v>0.17499999999999999</v>
      </c>
      <c r="J130" s="12">
        <v>104.601</v>
      </c>
      <c r="K130" s="12">
        <v>51.067119999999989</v>
      </c>
      <c r="L130" s="12">
        <v>77.959999999999994</v>
      </c>
      <c r="M130" t="s">
        <v>10</v>
      </c>
      <c r="N130" t="s">
        <v>85</v>
      </c>
      <c r="O130" t="s">
        <v>41</v>
      </c>
      <c r="P130" s="19">
        <v>46053</v>
      </c>
      <c r="Q130">
        <f>+H130+L130</f>
        <v>597.72</v>
      </c>
      <c r="R130">
        <f>+J130+K130+L130</f>
        <v>233.62811999999997</v>
      </c>
      <c r="S130">
        <f>+MONTH(B130)</f>
        <v>12</v>
      </c>
      <c r="T130">
        <f>+YEAR(B130)</f>
        <v>2022</v>
      </c>
      <c r="U130" t="s">
        <v>42</v>
      </c>
    </row>
    <row r="131" spans="1:21" customFormat="1" ht="15" customHeight="1" x14ac:dyDescent="0.3">
      <c r="A131" s="10">
        <v>44907</v>
      </c>
      <c r="B131" s="10">
        <v>44907</v>
      </c>
      <c r="C131" s="10">
        <v>46038</v>
      </c>
      <c r="D131" s="11" t="s">
        <v>208</v>
      </c>
      <c r="E131" s="11" t="s">
        <v>83</v>
      </c>
      <c r="F131" s="11" t="s">
        <v>84</v>
      </c>
      <c r="G131" s="11" t="s">
        <v>53</v>
      </c>
      <c r="H131" s="12">
        <v>774.7600000000001</v>
      </c>
      <c r="I131" s="13">
        <v>0.17499999999999996</v>
      </c>
      <c r="J131" s="12">
        <v>155.92149999999998</v>
      </c>
      <c r="K131" s="12">
        <v>76.119120000000038</v>
      </c>
      <c r="L131" s="12">
        <v>116.22000000000001</v>
      </c>
      <c r="M131" t="s">
        <v>10</v>
      </c>
      <c r="N131" t="s">
        <v>85</v>
      </c>
      <c r="O131" t="s">
        <v>41</v>
      </c>
      <c r="P131" s="19">
        <v>46053</v>
      </c>
      <c r="Q131">
        <f>+H131+L131</f>
        <v>890.98000000000013</v>
      </c>
      <c r="R131">
        <f>+J131+K131+L131</f>
        <v>348.26062000000002</v>
      </c>
      <c r="S131">
        <f>+MONTH(B131)</f>
        <v>12</v>
      </c>
      <c r="T131">
        <f>+YEAR(B131)</f>
        <v>2022</v>
      </c>
      <c r="U131" t="s">
        <v>42</v>
      </c>
    </row>
    <row r="132" spans="1:21" customFormat="1" ht="15" customHeight="1" x14ac:dyDescent="0.3">
      <c r="A132" s="10">
        <v>44907</v>
      </c>
      <c r="B132" s="10">
        <v>44907</v>
      </c>
      <c r="C132" s="10">
        <v>46038</v>
      </c>
      <c r="D132" s="11" t="s">
        <v>209</v>
      </c>
      <c r="E132" s="11" t="s">
        <v>83</v>
      </c>
      <c r="F132" s="11" t="s">
        <v>84</v>
      </c>
      <c r="G132" s="11" t="s">
        <v>53</v>
      </c>
      <c r="H132" s="12">
        <v>857.46999999999991</v>
      </c>
      <c r="I132" s="13">
        <v>0.17500000000000002</v>
      </c>
      <c r="J132" s="12">
        <v>172.56575000000001</v>
      </c>
      <c r="K132" s="12">
        <v>84.24651499999996</v>
      </c>
      <c r="L132" s="12">
        <v>128.62</v>
      </c>
      <c r="M132" t="s">
        <v>10</v>
      </c>
      <c r="N132" t="s">
        <v>85</v>
      </c>
      <c r="O132" t="s">
        <v>41</v>
      </c>
      <c r="P132" s="19">
        <v>46053</v>
      </c>
      <c r="Q132">
        <f>+H132+L132</f>
        <v>986.08999999999992</v>
      </c>
      <c r="R132">
        <f>+J132+K132+L132</f>
        <v>385.43226499999997</v>
      </c>
      <c r="S132">
        <f>+MONTH(B132)</f>
        <v>12</v>
      </c>
      <c r="T132">
        <f>+YEAR(B132)</f>
        <v>2022</v>
      </c>
      <c r="U132" t="s">
        <v>42</v>
      </c>
    </row>
    <row r="133" spans="1:21" customFormat="1" ht="15" customHeight="1" x14ac:dyDescent="0.3">
      <c r="A133" s="10">
        <v>44907</v>
      </c>
      <c r="B133" s="10">
        <v>44907</v>
      </c>
      <c r="C133" s="10">
        <v>46038</v>
      </c>
      <c r="D133" s="11" t="s">
        <v>210</v>
      </c>
      <c r="E133" s="11" t="s">
        <v>83</v>
      </c>
      <c r="F133" s="11" t="s">
        <v>84</v>
      </c>
      <c r="G133" s="11" t="s">
        <v>53</v>
      </c>
      <c r="H133" s="12">
        <v>778.39</v>
      </c>
      <c r="I133" s="13">
        <v>0.17500000000000002</v>
      </c>
      <c r="J133" s="12">
        <v>156.65125</v>
      </c>
      <c r="K133" s="12">
        <v>76.476554999999991</v>
      </c>
      <c r="L133" s="12">
        <v>116.76</v>
      </c>
      <c r="M133" t="s">
        <v>10</v>
      </c>
      <c r="N133" t="s">
        <v>85</v>
      </c>
      <c r="O133" t="s">
        <v>41</v>
      </c>
      <c r="P133" s="19">
        <v>46053</v>
      </c>
      <c r="Q133">
        <f>+H133+L133</f>
        <v>895.15</v>
      </c>
      <c r="R133">
        <f>+J133+K133+L133</f>
        <v>349.88780500000001</v>
      </c>
      <c r="S133">
        <f>+MONTH(B133)</f>
        <v>12</v>
      </c>
      <c r="T133">
        <f>+YEAR(B133)</f>
        <v>2022</v>
      </c>
      <c r="U133" t="s">
        <v>42</v>
      </c>
    </row>
    <row r="134" spans="1:21" customFormat="1" ht="15" customHeight="1" x14ac:dyDescent="0.3">
      <c r="A134" s="10">
        <v>46014</v>
      </c>
      <c r="B134" s="10">
        <v>46014</v>
      </c>
      <c r="C134" s="10">
        <v>46041</v>
      </c>
      <c r="D134" s="11" t="s">
        <v>211</v>
      </c>
      <c r="E134" s="11" t="s">
        <v>212</v>
      </c>
      <c r="F134" s="11" t="s">
        <v>213</v>
      </c>
      <c r="G134" s="11" t="s">
        <v>53</v>
      </c>
      <c r="H134" s="12">
        <v>176.08695652173901</v>
      </c>
      <c r="I134" s="13">
        <v>0.13500000000000034</v>
      </c>
      <c r="J134" s="12">
        <v>27.337500000000055</v>
      </c>
      <c r="K134" s="12">
        <v>27.289076086956428</v>
      </c>
      <c r="L134" s="12">
        <v>26.413043478260899</v>
      </c>
      <c r="M134" t="s">
        <v>10</v>
      </c>
      <c r="N134" t="s">
        <v>54</v>
      </c>
      <c r="O134" t="s">
        <v>55</v>
      </c>
      <c r="P134" s="19">
        <v>46053</v>
      </c>
      <c r="Q134">
        <f>+H134+L134</f>
        <v>202.49999999999991</v>
      </c>
      <c r="R134">
        <f>+J134+K134+L134</f>
        <v>81.039619565217379</v>
      </c>
      <c r="S134">
        <f>+MONTH(B134)</f>
        <v>12</v>
      </c>
      <c r="T134">
        <f>+YEAR(B134)</f>
        <v>2025</v>
      </c>
      <c r="U134" t="s">
        <v>42</v>
      </c>
    </row>
    <row r="135" spans="1:21" customFormat="1" ht="15" customHeight="1" x14ac:dyDescent="0.3">
      <c r="A135" s="10">
        <v>46018</v>
      </c>
      <c r="B135" s="10">
        <v>46018</v>
      </c>
      <c r="C135" s="10">
        <v>46049</v>
      </c>
      <c r="D135" s="11" t="s">
        <v>214</v>
      </c>
      <c r="E135" s="11" t="s">
        <v>215</v>
      </c>
      <c r="F135" s="11" t="s">
        <v>213</v>
      </c>
      <c r="G135" s="11" t="s">
        <v>53</v>
      </c>
      <c r="H135" s="12">
        <v>215.21739130434798</v>
      </c>
      <c r="I135" s="13">
        <v>0.13500000000000018</v>
      </c>
      <c r="J135" s="12">
        <v>33.412500000000065</v>
      </c>
      <c r="K135" s="12">
        <v>33.353315217391284</v>
      </c>
      <c r="L135" s="12">
        <v>32.2826086956522</v>
      </c>
      <c r="M135" t="s">
        <v>10</v>
      </c>
      <c r="N135" t="s">
        <v>54</v>
      </c>
      <c r="O135" t="s">
        <v>55</v>
      </c>
      <c r="P135" s="19">
        <v>46053</v>
      </c>
      <c r="Q135">
        <f>+H135+L135</f>
        <v>247.50000000000017</v>
      </c>
      <c r="R135">
        <f>+J135+K135+L135</f>
        <v>99.04842391304355</v>
      </c>
      <c r="S135">
        <f>+MONTH(B135)</f>
        <v>12</v>
      </c>
      <c r="T135">
        <f>+YEAR(B135)</f>
        <v>2025</v>
      </c>
      <c r="U135" t="s">
        <v>42</v>
      </c>
    </row>
    <row r="136" spans="1:21" customFormat="1" ht="15" customHeight="1" x14ac:dyDescent="0.3">
      <c r="A136" s="10">
        <v>46018</v>
      </c>
      <c r="B136" s="10">
        <v>46018</v>
      </c>
      <c r="C136" s="10">
        <v>46049</v>
      </c>
      <c r="D136" s="11" t="s">
        <v>216</v>
      </c>
      <c r="E136" s="11" t="s">
        <v>215</v>
      </c>
      <c r="F136" s="11" t="s">
        <v>213</v>
      </c>
      <c r="G136" s="11" t="s">
        <v>53</v>
      </c>
      <c r="H136" s="12">
        <v>173.91304347826099</v>
      </c>
      <c r="I136" s="13">
        <v>0.13499999999999968</v>
      </c>
      <c r="J136" s="12">
        <v>26.999999999999947</v>
      </c>
      <c r="K136" s="12">
        <v>26.952173913043563</v>
      </c>
      <c r="L136" s="12">
        <v>26.086956521739101</v>
      </c>
      <c r="M136" t="s">
        <v>10</v>
      </c>
      <c r="N136" t="s">
        <v>54</v>
      </c>
      <c r="O136" t="s">
        <v>55</v>
      </c>
      <c r="P136" s="19">
        <v>46053</v>
      </c>
      <c r="Q136">
        <f>+H136+L136</f>
        <v>200.00000000000009</v>
      </c>
      <c r="R136">
        <f>+J136+K136+L136</f>
        <v>80.039130434782606</v>
      </c>
      <c r="S136">
        <f>+MONTH(B136)</f>
        <v>12</v>
      </c>
      <c r="T136">
        <f>+YEAR(B136)</f>
        <v>2025</v>
      </c>
      <c r="U136" t="s">
        <v>42</v>
      </c>
    </row>
    <row r="137" spans="1:21" customFormat="1" ht="15" customHeight="1" x14ac:dyDescent="0.3">
      <c r="A137" s="10">
        <v>45992</v>
      </c>
      <c r="B137" s="10">
        <v>45992</v>
      </c>
      <c r="C137" s="10">
        <v>46037</v>
      </c>
      <c r="D137" s="11" t="s">
        <v>217</v>
      </c>
      <c r="E137" s="11" t="s">
        <v>218</v>
      </c>
      <c r="F137" s="11" t="s">
        <v>219</v>
      </c>
      <c r="G137" s="11" t="s">
        <v>53</v>
      </c>
      <c r="H137" s="12">
        <v>1260.8695652173899</v>
      </c>
      <c r="I137" s="13">
        <v>0.14000000000000051</v>
      </c>
      <c r="J137" s="12">
        <v>203.0000000000006</v>
      </c>
      <c r="K137" s="12">
        <v>188.15326086956415</v>
      </c>
      <c r="L137" s="12">
        <v>189.13043478260903</v>
      </c>
      <c r="M137" t="s">
        <v>10</v>
      </c>
      <c r="N137" t="s">
        <v>54</v>
      </c>
      <c r="O137" t="s">
        <v>55</v>
      </c>
      <c r="P137" s="19">
        <v>46053</v>
      </c>
      <c r="Q137">
        <f>+H137+L137</f>
        <v>1449.9999999999989</v>
      </c>
      <c r="R137">
        <f>+J137+K137+L137</f>
        <v>580.28369565217372</v>
      </c>
      <c r="S137">
        <f>+MONTH(B137)</f>
        <v>12</v>
      </c>
      <c r="T137">
        <f>+YEAR(B137)</f>
        <v>2025</v>
      </c>
      <c r="U137" t="s">
        <v>42</v>
      </c>
    </row>
    <row r="138" spans="1:21" customFormat="1" ht="15" customHeight="1" x14ac:dyDescent="0.3">
      <c r="A138" s="10">
        <v>45996</v>
      </c>
      <c r="B138" s="10">
        <v>45996</v>
      </c>
      <c r="C138" s="10">
        <v>46036</v>
      </c>
      <c r="D138" s="11" t="s">
        <v>220</v>
      </c>
      <c r="E138" s="11" t="s">
        <v>221</v>
      </c>
      <c r="F138" s="11" t="s">
        <v>52</v>
      </c>
      <c r="G138" s="11" t="s">
        <v>53</v>
      </c>
      <c r="H138" s="12">
        <v>20034.782608695699</v>
      </c>
      <c r="I138" s="13">
        <v>0.13999999999999946</v>
      </c>
      <c r="J138" s="12">
        <v>3225.5999999999949</v>
      </c>
      <c r="K138" s="12">
        <v>2989.6904347826276</v>
      </c>
      <c r="L138" s="12">
        <v>3005.2173913043498</v>
      </c>
      <c r="M138" t="s">
        <v>10</v>
      </c>
      <c r="N138" t="s">
        <v>54</v>
      </c>
      <c r="O138" t="s">
        <v>55</v>
      </c>
      <c r="P138" s="19">
        <v>46053</v>
      </c>
      <c r="Q138">
        <f>+H138+L138</f>
        <v>23040.000000000051</v>
      </c>
      <c r="R138">
        <f>+J138+K138+L138</f>
        <v>9220.5078260869723</v>
      </c>
      <c r="S138">
        <f>+MONTH(B138)</f>
        <v>12</v>
      </c>
      <c r="T138">
        <f>+YEAR(B138)</f>
        <v>2025</v>
      </c>
      <c r="U138" t="s">
        <v>42</v>
      </c>
    </row>
    <row r="139" spans="1:21" customFormat="1" ht="15" customHeight="1" x14ac:dyDescent="0.3">
      <c r="A139" s="10">
        <v>45996</v>
      </c>
      <c r="B139" s="10">
        <v>45996</v>
      </c>
      <c r="C139" s="10">
        <v>46035</v>
      </c>
      <c r="D139" s="11" t="s">
        <v>222</v>
      </c>
      <c r="E139" s="11" t="s">
        <v>223</v>
      </c>
      <c r="F139" s="11" t="s">
        <v>52</v>
      </c>
      <c r="G139" s="11" t="s">
        <v>53</v>
      </c>
      <c r="H139" s="12">
        <v>6260.8695652173892</v>
      </c>
      <c r="I139" s="13">
        <v>0.14000000000000012</v>
      </c>
      <c r="J139" s="12">
        <v>1008.0000000000006</v>
      </c>
      <c r="K139" s="12">
        <v>934.27826086956372</v>
      </c>
      <c r="L139" s="12">
        <v>939.13043478260897</v>
      </c>
      <c r="M139" t="s">
        <v>10</v>
      </c>
      <c r="N139" t="s">
        <v>54</v>
      </c>
      <c r="O139" t="s">
        <v>55</v>
      </c>
      <c r="P139" s="19">
        <v>46053</v>
      </c>
      <c r="Q139">
        <f>+H139+L139</f>
        <v>7199.9999999999982</v>
      </c>
      <c r="R139">
        <f>+J139+K139+L139</f>
        <v>2881.4086956521733</v>
      </c>
      <c r="S139">
        <f>+MONTH(B139)</f>
        <v>12</v>
      </c>
      <c r="T139">
        <f>+YEAR(B139)</f>
        <v>2025</v>
      </c>
      <c r="U139" t="s">
        <v>42</v>
      </c>
    </row>
    <row r="140" spans="1:21" customFormat="1" ht="15" customHeight="1" x14ac:dyDescent="0.3">
      <c r="A140" s="10">
        <v>46008</v>
      </c>
      <c r="B140" s="10">
        <v>46008</v>
      </c>
      <c r="C140" s="10">
        <v>46030</v>
      </c>
      <c r="D140" s="11" t="s">
        <v>224</v>
      </c>
      <c r="E140" s="11" t="s">
        <v>225</v>
      </c>
      <c r="F140" s="11" t="s">
        <v>90</v>
      </c>
      <c r="G140" s="11" t="s">
        <v>53</v>
      </c>
      <c r="H140" s="12">
        <v>545.59</v>
      </c>
      <c r="I140" s="13">
        <v>0.17500050932557806</v>
      </c>
      <c r="J140" s="12">
        <v>109.80024999999999</v>
      </c>
      <c r="K140" s="12">
        <v>59.455407749999992</v>
      </c>
      <c r="L140" s="12">
        <v>81.838173913043505</v>
      </c>
      <c r="M140" t="s">
        <v>10</v>
      </c>
      <c r="N140" t="s">
        <v>54</v>
      </c>
      <c r="O140" t="s">
        <v>55</v>
      </c>
      <c r="P140" s="19">
        <v>46053</v>
      </c>
      <c r="Q140">
        <f>+H140+L140</f>
        <v>627.42817391304357</v>
      </c>
      <c r="R140">
        <f>+J140+K140+L140</f>
        <v>251.09383166304349</v>
      </c>
      <c r="S140">
        <f>+MONTH(B140)</f>
        <v>12</v>
      </c>
      <c r="T140">
        <f>+YEAR(B140)</f>
        <v>2025</v>
      </c>
      <c r="U140" t="s">
        <v>42</v>
      </c>
    </row>
    <row r="141" spans="1:21" customFormat="1" ht="15" customHeight="1" x14ac:dyDescent="0.3">
      <c r="A141" s="10">
        <v>46001</v>
      </c>
      <c r="B141" s="10">
        <v>46001</v>
      </c>
      <c r="C141" s="10">
        <v>46035</v>
      </c>
      <c r="D141" s="11" t="s">
        <v>226</v>
      </c>
      <c r="E141" s="11" t="s">
        <v>223</v>
      </c>
      <c r="F141" s="11" t="s">
        <v>52</v>
      </c>
      <c r="G141" s="11" t="s">
        <v>53</v>
      </c>
      <c r="H141" s="12">
        <v>8556.5217391304304</v>
      </c>
      <c r="I141" s="13">
        <v>0.14000000000000007</v>
      </c>
      <c r="J141" s="12">
        <v>1377.6000000000006</v>
      </c>
      <c r="K141" s="12">
        <v>1276.8469565217372</v>
      </c>
      <c r="L141" s="12">
        <v>1283.47826086957</v>
      </c>
      <c r="M141" t="s">
        <v>10</v>
      </c>
      <c r="N141" t="s">
        <v>54</v>
      </c>
      <c r="O141" t="s">
        <v>55</v>
      </c>
      <c r="P141" s="19">
        <v>46053</v>
      </c>
      <c r="Q141">
        <f>+H141+L141</f>
        <v>9840</v>
      </c>
      <c r="R141">
        <f>+J141+K141+L141</f>
        <v>3937.9252173913078</v>
      </c>
      <c r="S141">
        <f>+MONTH(B141)</f>
        <v>12</v>
      </c>
      <c r="T141">
        <f>+YEAR(B141)</f>
        <v>2025</v>
      </c>
      <c r="U141" t="s">
        <v>42</v>
      </c>
    </row>
    <row r="142" spans="1:21" customFormat="1" ht="15" customHeight="1" x14ac:dyDescent="0.3">
      <c r="A142" s="10">
        <v>46001</v>
      </c>
      <c r="B142" s="10">
        <v>46001</v>
      </c>
      <c r="C142" s="10">
        <v>46036</v>
      </c>
      <c r="D142" s="11" t="s">
        <v>227</v>
      </c>
      <c r="E142" s="11" t="s">
        <v>223</v>
      </c>
      <c r="F142" s="11" t="s">
        <v>52</v>
      </c>
      <c r="G142" s="11" t="s">
        <v>53</v>
      </c>
      <c r="H142" s="12">
        <v>17113.043478260901</v>
      </c>
      <c r="I142" s="13">
        <v>0.13999999999999985</v>
      </c>
      <c r="J142" s="12">
        <v>2755.2000000000012</v>
      </c>
      <c r="K142" s="12">
        <v>2553.6939130434862</v>
      </c>
      <c r="L142" s="12">
        <v>2566.95652173913</v>
      </c>
      <c r="M142" t="s">
        <v>10</v>
      </c>
      <c r="N142" t="s">
        <v>54</v>
      </c>
      <c r="O142" t="s">
        <v>55</v>
      </c>
      <c r="P142" s="19">
        <v>46053</v>
      </c>
      <c r="Q142">
        <f>+H142+L142</f>
        <v>19680.000000000029</v>
      </c>
      <c r="R142">
        <f>+J142+K142+L142</f>
        <v>7875.8504347826174</v>
      </c>
      <c r="S142">
        <f>+MONTH(B142)</f>
        <v>12</v>
      </c>
      <c r="T142">
        <f>+YEAR(B142)</f>
        <v>2025</v>
      </c>
      <c r="U142" t="s">
        <v>42</v>
      </c>
    </row>
    <row r="143" spans="1:21" customFormat="1" ht="15" customHeight="1" x14ac:dyDescent="0.3">
      <c r="A143" s="10">
        <v>46009</v>
      </c>
      <c r="B143" s="10">
        <v>46009</v>
      </c>
      <c r="C143" s="10">
        <v>46035</v>
      </c>
      <c r="D143" s="11" t="s">
        <v>228</v>
      </c>
      <c r="E143" s="11" t="s">
        <v>223</v>
      </c>
      <c r="F143" s="11" t="s">
        <v>52</v>
      </c>
      <c r="G143" s="11" t="s">
        <v>53</v>
      </c>
      <c r="H143" s="12">
        <v>10432.695652173899</v>
      </c>
      <c r="I143" s="13">
        <v>0.1400000000000006</v>
      </c>
      <c r="J143" s="12">
        <v>1679.6640000000057</v>
      </c>
      <c r="K143" s="12">
        <v>1556.819008695642</v>
      </c>
      <c r="L143" s="12">
        <v>1564.9043478260901</v>
      </c>
      <c r="M143" t="s">
        <v>10</v>
      </c>
      <c r="N143" t="s">
        <v>54</v>
      </c>
      <c r="O143" t="s">
        <v>55</v>
      </c>
      <c r="P143" s="19">
        <v>46053</v>
      </c>
      <c r="Q143">
        <f>+H143+L143</f>
        <v>11997.599999999989</v>
      </c>
      <c r="R143">
        <f>+J143+K143+L143</f>
        <v>4801.3873565217382</v>
      </c>
      <c r="S143">
        <f>+MONTH(B143)</f>
        <v>12</v>
      </c>
      <c r="T143">
        <f>+YEAR(B143)</f>
        <v>2025</v>
      </c>
      <c r="U143" t="s">
        <v>42</v>
      </c>
    </row>
    <row r="144" spans="1:21" customFormat="1" ht="15" customHeight="1" x14ac:dyDescent="0.3">
      <c r="A144" s="10">
        <v>46009</v>
      </c>
      <c r="B144" s="10">
        <v>46009</v>
      </c>
      <c r="C144" s="10">
        <v>46036</v>
      </c>
      <c r="D144" s="11" t="s">
        <v>229</v>
      </c>
      <c r="E144" s="11" t="s">
        <v>223</v>
      </c>
      <c r="F144" s="11" t="s">
        <v>52</v>
      </c>
      <c r="G144" s="11" t="s">
        <v>53</v>
      </c>
      <c r="H144" s="12">
        <v>20865.391304347799</v>
      </c>
      <c r="I144" s="13">
        <v>0.14000000000000007</v>
      </c>
      <c r="J144" s="12">
        <v>3359.3279999999972</v>
      </c>
      <c r="K144" s="12">
        <v>3113.638017391298</v>
      </c>
      <c r="L144" s="12">
        <v>3129.8086956521702</v>
      </c>
      <c r="M144" t="s">
        <v>10</v>
      </c>
      <c r="N144" t="s">
        <v>54</v>
      </c>
      <c r="O144" t="s">
        <v>55</v>
      </c>
      <c r="P144" s="19">
        <v>46053</v>
      </c>
      <c r="Q144">
        <f>+H144+L144</f>
        <v>23995.199999999968</v>
      </c>
      <c r="R144">
        <f>+J144+K144+L144</f>
        <v>9602.7747130434655</v>
      </c>
      <c r="S144">
        <f>+MONTH(B144)</f>
        <v>12</v>
      </c>
      <c r="T144">
        <f>+YEAR(B144)</f>
        <v>2025</v>
      </c>
      <c r="U144" t="s">
        <v>42</v>
      </c>
    </row>
    <row r="145" spans="1:21" customFormat="1" ht="15" customHeight="1" x14ac:dyDescent="0.3">
      <c r="A145" s="10">
        <v>46009</v>
      </c>
      <c r="B145" s="10">
        <v>46009</v>
      </c>
      <c r="C145" s="10">
        <v>46042</v>
      </c>
      <c r="D145" s="11" t="s">
        <v>230</v>
      </c>
      <c r="E145" s="11" t="s">
        <v>231</v>
      </c>
      <c r="F145" s="11" t="s">
        <v>52</v>
      </c>
      <c r="G145" s="11" t="s">
        <v>53</v>
      </c>
      <c r="H145" s="12">
        <v>27130.4347826087</v>
      </c>
      <c r="I145" s="13">
        <v>0.13999999999999996</v>
      </c>
      <c r="J145" s="12">
        <v>4367.9999999999991</v>
      </c>
      <c r="K145" s="12">
        <v>4048.5391304347841</v>
      </c>
      <c r="L145" s="12">
        <v>4069.5652173912999</v>
      </c>
      <c r="M145" t="s">
        <v>10</v>
      </c>
      <c r="N145" t="s">
        <v>54</v>
      </c>
      <c r="O145" t="s">
        <v>55</v>
      </c>
      <c r="P145" s="19">
        <v>46053</v>
      </c>
      <c r="Q145">
        <f>+H145+L145</f>
        <v>31200</v>
      </c>
      <c r="R145">
        <f>+J145+K145+L145</f>
        <v>12486.104347826084</v>
      </c>
      <c r="S145">
        <f>+MONTH(B145)</f>
        <v>12</v>
      </c>
      <c r="T145">
        <f>+YEAR(B145)</f>
        <v>2025</v>
      </c>
      <c r="U145" t="s">
        <v>42</v>
      </c>
    </row>
    <row r="146" spans="1:21" customFormat="1" ht="15" customHeight="1" x14ac:dyDescent="0.3">
      <c r="A146" s="10">
        <v>45000</v>
      </c>
      <c r="B146" s="10">
        <v>46023</v>
      </c>
      <c r="C146" s="10">
        <v>46063</v>
      </c>
      <c r="D146" s="11" t="s">
        <v>478</v>
      </c>
      <c r="E146" s="11" t="s">
        <v>479</v>
      </c>
      <c r="F146" s="11" t="s">
        <v>84</v>
      </c>
      <c r="G146" s="11" t="s">
        <v>53</v>
      </c>
      <c r="H146" s="12">
        <v>3010.7799999999997</v>
      </c>
      <c r="I146" s="13">
        <v>0.17499999999999999</v>
      </c>
      <c r="J146" s="12">
        <v>605.91824999999994</v>
      </c>
      <c r="K146" s="12">
        <v>295.81035999999995</v>
      </c>
      <c r="L146" s="12">
        <v>451.61</v>
      </c>
      <c r="M146" t="s">
        <v>10</v>
      </c>
      <c r="N146" t="s">
        <v>85</v>
      </c>
      <c r="O146" t="s">
        <v>55</v>
      </c>
      <c r="P146" s="19">
        <v>46081</v>
      </c>
      <c r="Q146" s="47">
        <f>+H146+L146</f>
        <v>3462.39</v>
      </c>
      <c r="R146" s="47">
        <f>+J146+K146+L146</f>
        <v>1353.3386099999998</v>
      </c>
      <c r="S146" s="47">
        <f>+MONTH(B146)</f>
        <v>1</v>
      </c>
      <c r="T146" s="47">
        <f>+YEAR(B146)</f>
        <v>2026</v>
      </c>
      <c r="U146" s="47" t="s">
        <v>364</v>
      </c>
    </row>
    <row r="147" spans="1:21" customFormat="1" ht="15" customHeight="1" x14ac:dyDescent="0.3">
      <c r="A147" s="10">
        <v>45625</v>
      </c>
      <c r="B147" s="10">
        <v>46204</v>
      </c>
      <c r="C147" s="10">
        <v>46038</v>
      </c>
      <c r="D147" s="11" t="s">
        <v>233</v>
      </c>
      <c r="E147" s="11" t="s">
        <v>234</v>
      </c>
      <c r="F147" s="11" t="s">
        <v>235</v>
      </c>
      <c r="G147" s="11" t="s">
        <v>53</v>
      </c>
      <c r="H147" s="12">
        <v>17305.13</v>
      </c>
      <c r="I147" s="13">
        <v>0.16500000000000001</v>
      </c>
      <c r="J147" s="12">
        <v>3283.6452000000004</v>
      </c>
      <c r="K147" s="12">
        <v>2119.4490142500003</v>
      </c>
      <c r="L147" s="12">
        <v>2595.75</v>
      </c>
      <c r="M147" t="s">
        <v>10</v>
      </c>
      <c r="N147" t="s">
        <v>85</v>
      </c>
      <c r="O147" t="s">
        <v>55</v>
      </c>
      <c r="P147" s="19">
        <v>46053</v>
      </c>
      <c r="Q147">
        <f>+H147+L147</f>
        <v>19900.88</v>
      </c>
      <c r="R147">
        <f>+J147+K147+L147</f>
        <v>7998.8442142500007</v>
      </c>
      <c r="S147">
        <f>+MONTH(B147)</f>
        <v>7</v>
      </c>
      <c r="T147">
        <f>+YEAR(B147)</f>
        <v>2026</v>
      </c>
      <c r="U147" t="s">
        <v>42</v>
      </c>
    </row>
    <row r="148" spans="1:21" customFormat="1" ht="15" customHeight="1" x14ac:dyDescent="0.3">
      <c r="A148" s="10">
        <v>45625</v>
      </c>
      <c r="B148" s="10">
        <v>46204</v>
      </c>
      <c r="C148" s="10">
        <v>46038</v>
      </c>
      <c r="D148" s="11" t="s">
        <v>236</v>
      </c>
      <c r="E148" s="11" t="s">
        <v>234</v>
      </c>
      <c r="F148" s="11" t="s">
        <v>235</v>
      </c>
      <c r="G148" s="11" t="s">
        <v>53</v>
      </c>
      <c r="H148" s="12">
        <v>17305.13</v>
      </c>
      <c r="I148" s="13">
        <v>0.16500000000000001</v>
      </c>
      <c r="J148" s="12">
        <v>3283.6452000000004</v>
      </c>
      <c r="K148" s="12">
        <v>2119.4490142500003</v>
      </c>
      <c r="L148" s="12">
        <v>2595.75</v>
      </c>
      <c r="M148" t="s">
        <v>10</v>
      </c>
      <c r="N148" t="s">
        <v>85</v>
      </c>
      <c r="O148" t="s">
        <v>55</v>
      </c>
      <c r="P148" s="19">
        <v>46053</v>
      </c>
      <c r="Q148">
        <f>+H148+L148</f>
        <v>19900.88</v>
      </c>
      <c r="R148">
        <f>+J148+K148+L148</f>
        <v>7998.8442142500007</v>
      </c>
      <c r="S148">
        <f>+MONTH(B148)</f>
        <v>7</v>
      </c>
      <c r="T148">
        <f>+YEAR(B148)</f>
        <v>2026</v>
      </c>
      <c r="U148" t="s">
        <v>42</v>
      </c>
    </row>
    <row r="149" spans="1:21" customFormat="1" ht="15" customHeight="1" x14ac:dyDescent="0.3">
      <c r="A149" s="10">
        <v>45000</v>
      </c>
      <c r="B149" s="10">
        <v>46023</v>
      </c>
      <c r="C149" s="10">
        <v>46063</v>
      </c>
      <c r="D149" s="11" t="s">
        <v>480</v>
      </c>
      <c r="E149" s="11" t="s">
        <v>479</v>
      </c>
      <c r="F149" s="11" t="s">
        <v>84</v>
      </c>
      <c r="G149" s="11" t="s">
        <v>53</v>
      </c>
      <c r="H149" s="12">
        <v>2994.32</v>
      </c>
      <c r="I149" s="13">
        <v>0.17499999999999999</v>
      </c>
      <c r="J149" s="12">
        <v>602.60725000000002</v>
      </c>
      <c r="K149" s="12">
        <v>294.19159000000002</v>
      </c>
      <c r="L149" s="12">
        <v>449.15</v>
      </c>
      <c r="M149" t="s">
        <v>10</v>
      </c>
      <c r="N149" t="s">
        <v>85</v>
      </c>
      <c r="O149" t="s">
        <v>55</v>
      </c>
      <c r="P149" s="19">
        <v>46081</v>
      </c>
      <c r="Q149" s="47">
        <f>+H149+L149</f>
        <v>3443.4700000000003</v>
      </c>
      <c r="R149" s="47">
        <f>+J149+K149+L149</f>
        <v>1345.94884</v>
      </c>
      <c r="S149" s="47">
        <f>+MONTH(B149)</f>
        <v>1</v>
      </c>
      <c r="T149" s="47">
        <f>+YEAR(B149)</f>
        <v>2026</v>
      </c>
      <c r="U149" s="47" t="s">
        <v>364</v>
      </c>
    </row>
    <row r="150" spans="1:21" customFormat="1" ht="15" customHeight="1" x14ac:dyDescent="0.3">
      <c r="A150" s="10">
        <v>45000</v>
      </c>
      <c r="B150" s="10">
        <v>46023</v>
      </c>
      <c r="C150" s="10">
        <v>46063</v>
      </c>
      <c r="D150" s="11" t="s">
        <v>482</v>
      </c>
      <c r="E150" s="11" t="s">
        <v>479</v>
      </c>
      <c r="F150" s="11" t="s">
        <v>84</v>
      </c>
      <c r="G150" s="11" t="s">
        <v>53</v>
      </c>
      <c r="H150" s="12">
        <v>2897.38</v>
      </c>
      <c r="I150" s="13">
        <v>0.17499999999999999</v>
      </c>
      <c r="J150" s="12">
        <v>583.09649999999999</v>
      </c>
      <c r="K150" s="12">
        <v>284.66881000000001</v>
      </c>
      <c r="L150" s="12">
        <v>434.6</v>
      </c>
      <c r="M150" t="s">
        <v>10</v>
      </c>
      <c r="N150" t="s">
        <v>85</v>
      </c>
      <c r="O150" t="s">
        <v>55</v>
      </c>
      <c r="P150" s="19">
        <v>46081</v>
      </c>
      <c r="Q150" s="47">
        <f>+H150+L150</f>
        <v>3331.98</v>
      </c>
      <c r="R150" s="47">
        <f>+J150+K150+L150</f>
        <v>1302.3653100000001</v>
      </c>
      <c r="S150" s="47">
        <f>+MONTH(B150)</f>
        <v>1</v>
      </c>
      <c r="T150" s="47">
        <f>+YEAR(B150)</f>
        <v>2026</v>
      </c>
      <c r="U150" s="47" t="s">
        <v>364</v>
      </c>
    </row>
    <row r="151" spans="1:21" customFormat="1" ht="15" customHeight="1" x14ac:dyDescent="0.3">
      <c r="A151" s="10">
        <v>46046</v>
      </c>
      <c r="B151" s="10">
        <v>46046</v>
      </c>
      <c r="C151" s="10">
        <v>46049</v>
      </c>
      <c r="D151" s="11" t="s">
        <v>312</v>
      </c>
      <c r="E151" s="11" t="s">
        <v>313</v>
      </c>
      <c r="F151" s="11" t="s">
        <v>314</v>
      </c>
      <c r="G151" s="11" t="s">
        <v>53</v>
      </c>
      <c r="H151" s="12">
        <v>2826.0869565217395</v>
      </c>
      <c r="I151" s="13">
        <v>0.1</v>
      </c>
      <c r="J151" s="12">
        <v>325</v>
      </c>
      <c r="K151" s="12">
        <v>557.37500000000023</v>
      </c>
      <c r="L151" s="12">
        <v>423.91304347826053</v>
      </c>
      <c r="M151" t="s">
        <v>10</v>
      </c>
      <c r="N151" t="s">
        <v>54</v>
      </c>
      <c r="O151" t="s">
        <v>55</v>
      </c>
      <c r="P151" s="19">
        <v>46053</v>
      </c>
      <c r="Q151">
        <f>+H151+L151</f>
        <v>3250</v>
      </c>
      <c r="R151">
        <f>+J151+K151+L151</f>
        <v>1306.2880434782608</v>
      </c>
      <c r="S151">
        <f>+MONTH(B151)</f>
        <v>1</v>
      </c>
      <c r="T151">
        <f>+YEAR(B151)</f>
        <v>2026</v>
      </c>
      <c r="U151" t="s">
        <v>42</v>
      </c>
    </row>
    <row r="152" spans="1:21" customFormat="1" ht="15" customHeight="1" x14ac:dyDescent="0.3">
      <c r="A152" s="10">
        <v>46059</v>
      </c>
      <c r="B152" s="10">
        <v>46051</v>
      </c>
      <c r="C152" s="10">
        <v>46059</v>
      </c>
      <c r="D152" s="11" t="s">
        <v>516</v>
      </c>
      <c r="E152" s="11" t="s">
        <v>517</v>
      </c>
      <c r="F152" s="11" t="s">
        <v>84</v>
      </c>
      <c r="G152" s="11" t="s">
        <v>53</v>
      </c>
      <c r="H152" s="12">
        <v>2608.6999999999998</v>
      </c>
      <c r="I152" s="13">
        <v>0.17499999999999999</v>
      </c>
      <c r="J152" s="12">
        <v>525</v>
      </c>
      <c r="K152" s="12">
        <v>289.50135750000004</v>
      </c>
      <c r="L152" s="12">
        <v>391.3</v>
      </c>
      <c r="M152" t="s">
        <v>10</v>
      </c>
      <c r="N152" t="s">
        <v>54</v>
      </c>
      <c r="O152" t="s">
        <v>41</v>
      </c>
      <c r="P152" s="19">
        <v>46081</v>
      </c>
      <c r="Q152" s="47">
        <f>+H152+L152</f>
        <v>3000</v>
      </c>
      <c r="R152" s="47">
        <f>+J152+K152+L152</f>
        <v>1205.8013575</v>
      </c>
      <c r="S152" s="47">
        <f>+MONTH(B152)</f>
        <v>1</v>
      </c>
      <c r="T152" s="47">
        <f>+YEAR(B152)</f>
        <v>2026</v>
      </c>
      <c r="U152" s="47" t="s">
        <v>364</v>
      </c>
    </row>
    <row r="153" spans="1:21" customFormat="1" ht="15" customHeight="1" x14ac:dyDescent="0.3">
      <c r="A153" s="10">
        <v>44701</v>
      </c>
      <c r="B153" s="10">
        <v>46023</v>
      </c>
      <c r="C153" s="10">
        <v>46049</v>
      </c>
      <c r="D153" s="11" t="s">
        <v>259</v>
      </c>
      <c r="E153" s="11" t="s">
        <v>246</v>
      </c>
      <c r="F153" s="11" t="s">
        <v>84</v>
      </c>
      <c r="G153" s="11" t="s">
        <v>53</v>
      </c>
      <c r="H153" s="12">
        <v>2293.94</v>
      </c>
      <c r="I153" s="13">
        <v>0.17499999999999999</v>
      </c>
      <c r="J153" s="12">
        <v>461.65699999999998</v>
      </c>
      <c r="K153" s="12">
        <v>225.37803000000002</v>
      </c>
      <c r="L153" s="12">
        <v>344.1</v>
      </c>
      <c r="M153" t="s">
        <v>10</v>
      </c>
      <c r="N153" t="s">
        <v>85</v>
      </c>
      <c r="O153" t="s">
        <v>55</v>
      </c>
      <c r="P153" s="19">
        <v>46053</v>
      </c>
      <c r="Q153">
        <f>+H153+L153</f>
        <v>2638.04</v>
      </c>
      <c r="R153">
        <f>+J153+K153+L153</f>
        <v>1031.1350299999999</v>
      </c>
      <c r="S153">
        <f>+MONTH(B153)</f>
        <v>1</v>
      </c>
      <c r="T153">
        <f>+YEAR(B153)</f>
        <v>2026</v>
      </c>
      <c r="U153" t="s">
        <v>42</v>
      </c>
    </row>
    <row r="154" spans="1:21" customFormat="1" ht="15" customHeight="1" x14ac:dyDescent="0.3">
      <c r="A154" s="41"/>
      <c r="B154" s="20">
        <v>46040</v>
      </c>
      <c r="C154" s="41"/>
      <c r="D154" s="41" t="s">
        <v>365</v>
      </c>
      <c r="E154" s="41" t="s">
        <v>366</v>
      </c>
      <c r="F154" s="41" t="s">
        <v>367</v>
      </c>
      <c r="G154" s="41" t="s">
        <v>53</v>
      </c>
      <c r="H154" s="55">
        <v>2272.6999999999998</v>
      </c>
      <c r="I154" s="56">
        <v>0.14000000000000001</v>
      </c>
      <c r="J154" s="55">
        <v>365.904</v>
      </c>
      <c r="K154" s="55">
        <v>343.68975750000004</v>
      </c>
      <c r="L154" s="55">
        <v>340.9</v>
      </c>
      <c r="M154" s="41" t="s">
        <v>10</v>
      </c>
      <c r="N154" s="41" t="s">
        <v>54</v>
      </c>
      <c r="O154" s="41" t="s">
        <v>55</v>
      </c>
      <c r="P154" s="57">
        <v>46053</v>
      </c>
      <c r="Q154" s="41">
        <f>+H154+L154</f>
        <v>2613.6</v>
      </c>
      <c r="R154" s="41">
        <f>+J154+K154+L154</f>
        <v>1050.4937574999999</v>
      </c>
      <c r="S154" s="41">
        <f>+MONTH(B154)</f>
        <v>1</v>
      </c>
      <c r="T154" s="41">
        <f>+YEAR(B154)</f>
        <v>2026</v>
      </c>
      <c r="U154" s="41" t="s">
        <v>364</v>
      </c>
    </row>
    <row r="155" spans="1:21" customFormat="1" ht="15" customHeight="1" x14ac:dyDescent="0.3">
      <c r="A155" s="10">
        <v>45363</v>
      </c>
      <c r="B155" s="10">
        <v>46023</v>
      </c>
      <c r="C155" s="10">
        <v>46034</v>
      </c>
      <c r="D155" s="11" t="s">
        <v>202</v>
      </c>
      <c r="E155" s="11" t="s">
        <v>140</v>
      </c>
      <c r="F155" s="11" t="s">
        <v>84</v>
      </c>
      <c r="G155" s="11" t="s">
        <v>53</v>
      </c>
      <c r="H155" s="12">
        <v>2115.94</v>
      </c>
      <c r="I155" s="13">
        <v>0.17499999999999999</v>
      </c>
      <c r="J155" s="12">
        <v>425.83274999999998</v>
      </c>
      <c r="K155" s="12">
        <v>227.19923250000005</v>
      </c>
      <c r="L155" s="12">
        <v>317.39</v>
      </c>
      <c r="M155" t="s">
        <v>10</v>
      </c>
      <c r="N155" t="s">
        <v>85</v>
      </c>
      <c r="O155" t="s">
        <v>55</v>
      </c>
      <c r="P155" s="19">
        <v>46053</v>
      </c>
      <c r="Q155">
        <f>+H155+L155</f>
        <v>2433.33</v>
      </c>
      <c r="R155">
        <f>+J155+K155+L155</f>
        <v>970.42198250000001</v>
      </c>
      <c r="S155">
        <f>+MONTH(B155)</f>
        <v>1</v>
      </c>
      <c r="T155">
        <f>+YEAR(B155)</f>
        <v>2026</v>
      </c>
      <c r="U155" t="s">
        <v>42</v>
      </c>
    </row>
    <row r="156" spans="1:21" customFormat="1" ht="15" customHeight="1" x14ac:dyDescent="0.3">
      <c r="A156" s="10">
        <v>45520</v>
      </c>
      <c r="B156" s="10">
        <v>46023</v>
      </c>
      <c r="C156" s="10">
        <v>46034</v>
      </c>
      <c r="D156" s="11" t="s">
        <v>170</v>
      </c>
      <c r="E156" s="11" t="s">
        <v>140</v>
      </c>
      <c r="F156" s="11" t="s">
        <v>84</v>
      </c>
      <c r="G156" s="11" t="s">
        <v>53</v>
      </c>
      <c r="H156" s="12">
        <v>2110.6999999999998</v>
      </c>
      <c r="I156" s="13">
        <v>0.17500000000000004</v>
      </c>
      <c r="J156" s="12">
        <v>424.77750000000003</v>
      </c>
      <c r="K156" s="12">
        <v>226.63728749999984</v>
      </c>
      <c r="L156" s="12">
        <v>316.60000000000002</v>
      </c>
      <c r="M156" t="s">
        <v>10</v>
      </c>
      <c r="N156" t="s">
        <v>85</v>
      </c>
      <c r="O156" t="s">
        <v>55</v>
      </c>
      <c r="P156" s="19">
        <v>46053</v>
      </c>
      <c r="Q156">
        <f>+H156+L156</f>
        <v>2427.2999999999997</v>
      </c>
      <c r="R156">
        <f>+J156+K156+L156</f>
        <v>968.0147874999999</v>
      </c>
      <c r="S156">
        <f>+MONTH(B156)</f>
        <v>1</v>
      </c>
      <c r="T156">
        <f>+YEAR(B156)</f>
        <v>2026</v>
      </c>
      <c r="U156" t="s">
        <v>42</v>
      </c>
    </row>
    <row r="157" spans="1:21" customFormat="1" ht="15" customHeight="1" x14ac:dyDescent="0.3">
      <c r="A157" s="10">
        <v>45016</v>
      </c>
      <c r="B157" s="10">
        <v>46023</v>
      </c>
      <c r="C157" s="10">
        <v>46049</v>
      </c>
      <c r="D157" s="11" t="s">
        <v>290</v>
      </c>
      <c r="E157" s="11" t="s">
        <v>246</v>
      </c>
      <c r="F157" s="11" t="s">
        <v>84</v>
      </c>
      <c r="G157" s="11" t="s">
        <v>53</v>
      </c>
      <c r="H157" s="12">
        <v>2032.5100000000002</v>
      </c>
      <c r="I157" s="13">
        <v>0.17499999999999999</v>
      </c>
      <c r="J157" s="12">
        <v>409.04149999999998</v>
      </c>
      <c r="K157" s="12">
        <v>199.69524500000006</v>
      </c>
      <c r="L157" s="12">
        <v>304.87</v>
      </c>
      <c r="M157" t="s">
        <v>10</v>
      </c>
      <c r="N157" t="s">
        <v>85</v>
      </c>
      <c r="O157" t="s">
        <v>55</v>
      </c>
      <c r="P157" s="19">
        <v>46053</v>
      </c>
      <c r="Q157">
        <f>+H157+L157</f>
        <v>2337.38</v>
      </c>
      <c r="R157">
        <f>+J157+K157+L157</f>
        <v>913.60674500000005</v>
      </c>
      <c r="S157">
        <f>+MONTH(B157)</f>
        <v>1</v>
      </c>
      <c r="T157">
        <f>+YEAR(B157)</f>
        <v>2026</v>
      </c>
      <c r="U157" t="s">
        <v>42</v>
      </c>
    </row>
    <row r="158" spans="1:21" customFormat="1" ht="15" customHeight="1" x14ac:dyDescent="0.3">
      <c r="A158" s="10">
        <v>45299</v>
      </c>
      <c r="B158" s="10">
        <v>46023</v>
      </c>
      <c r="C158" s="10">
        <v>46034</v>
      </c>
      <c r="D158" s="11" t="s">
        <v>145</v>
      </c>
      <c r="E158" s="11" t="s">
        <v>140</v>
      </c>
      <c r="F158" s="11" t="s">
        <v>84</v>
      </c>
      <c r="G158" s="11" t="s">
        <v>53</v>
      </c>
      <c r="H158" s="12">
        <v>1913.0499999999995</v>
      </c>
      <c r="I158" s="13">
        <v>0.17500000000000004</v>
      </c>
      <c r="J158" s="12">
        <v>385</v>
      </c>
      <c r="K158" s="12">
        <v>205.41505624999979</v>
      </c>
      <c r="L158" s="12">
        <v>286.95</v>
      </c>
      <c r="M158" t="s">
        <v>10</v>
      </c>
      <c r="N158" t="s">
        <v>85</v>
      </c>
      <c r="O158" t="s">
        <v>55</v>
      </c>
      <c r="P158" s="19">
        <v>46053</v>
      </c>
      <c r="Q158">
        <f>+H158+L158</f>
        <v>2199.9999999999995</v>
      </c>
      <c r="R158">
        <f>+J158+K158+L158</f>
        <v>877.36505624999972</v>
      </c>
      <c r="S158">
        <f>+MONTH(B158)</f>
        <v>1</v>
      </c>
      <c r="T158">
        <f>+YEAR(B158)</f>
        <v>2026</v>
      </c>
      <c r="U158" t="s">
        <v>42</v>
      </c>
    </row>
    <row r="159" spans="1:21" customFormat="1" ht="15" customHeight="1" x14ac:dyDescent="0.3">
      <c r="A159" s="10">
        <v>45342</v>
      </c>
      <c r="B159" s="10">
        <v>46043</v>
      </c>
      <c r="C159" s="10">
        <v>46064</v>
      </c>
      <c r="D159" s="11" t="s">
        <v>477</v>
      </c>
      <c r="E159" s="11" t="s">
        <v>140</v>
      </c>
      <c r="F159" s="11" t="s">
        <v>84</v>
      </c>
      <c r="G159" s="11" t="s">
        <v>53</v>
      </c>
      <c r="H159" s="12">
        <v>1858.5099999999998</v>
      </c>
      <c r="I159" s="13">
        <v>0.17499999999999999</v>
      </c>
      <c r="J159" s="12">
        <v>374.02399999999994</v>
      </c>
      <c r="K159" s="12">
        <v>206.24928475000007</v>
      </c>
      <c r="L159" s="12">
        <v>278.77</v>
      </c>
      <c r="M159" t="s">
        <v>10</v>
      </c>
      <c r="N159" t="s">
        <v>85</v>
      </c>
      <c r="O159" t="s">
        <v>55</v>
      </c>
      <c r="P159" s="19">
        <v>46081</v>
      </c>
      <c r="Q159" s="47">
        <f>+H159+L159</f>
        <v>2137.2799999999997</v>
      </c>
      <c r="R159" s="47">
        <f>+J159+K159+L159</f>
        <v>859.04328475</v>
      </c>
      <c r="S159" s="47">
        <f>+MONTH(B159)</f>
        <v>1</v>
      </c>
      <c r="T159" s="47">
        <f>+YEAR(B159)</f>
        <v>2026</v>
      </c>
      <c r="U159" s="47" t="s">
        <v>364</v>
      </c>
    </row>
    <row r="160" spans="1:21" customFormat="1" ht="15" customHeight="1" x14ac:dyDescent="0.3">
      <c r="A160" s="10">
        <v>46049</v>
      </c>
      <c r="B160" s="10">
        <v>46051</v>
      </c>
      <c r="C160" s="10">
        <v>46051</v>
      </c>
      <c r="D160" s="11" t="s">
        <v>359</v>
      </c>
      <c r="E160" s="11" t="s">
        <v>360</v>
      </c>
      <c r="F160" s="11" t="s">
        <v>84</v>
      </c>
      <c r="G160" s="11" t="s">
        <v>53</v>
      </c>
      <c r="H160" s="12">
        <v>1849.41</v>
      </c>
      <c r="I160" s="13">
        <v>0.17499999999999999</v>
      </c>
      <c r="J160" s="12">
        <v>372.19350000000003</v>
      </c>
      <c r="K160" s="12">
        <v>205.23853725000009</v>
      </c>
      <c r="L160" s="12">
        <v>277.41000000000003</v>
      </c>
      <c r="M160" t="s">
        <v>10</v>
      </c>
      <c r="N160" t="s">
        <v>54</v>
      </c>
      <c r="O160" t="s">
        <v>41</v>
      </c>
      <c r="P160" s="19">
        <v>46053</v>
      </c>
      <c r="Q160">
        <f>+H160+L160</f>
        <v>2126.8200000000002</v>
      </c>
      <c r="R160">
        <f>+J160+K160+L160</f>
        <v>854.8420372500002</v>
      </c>
      <c r="S160">
        <f>+MONTH(B160)</f>
        <v>1</v>
      </c>
      <c r="T160">
        <f>+YEAR(B160)</f>
        <v>2026</v>
      </c>
      <c r="U160" t="s">
        <v>42</v>
      </c>
    </row>
    <row r="161" spans="1:21" customFormat="1" ht="15" customHeight="1" x14ac:dyDescent="0.3">
      <c r="A161" s="10">
        <v>46045</v>
      </c>
      <c r="B161" s="10">
        <v>46045</v>
      </c>
      <c r="C161" s="10">
        <v>46049</v>
      </c>
      <c r="D161" s="11" t="s">
        <v>352</v>
      </c>
      <c r="E161" s="11" t="s">
        <v>353</v>
      </c>
      <c r="F161" s="11" t="s">
        <v>84</v>
      </c>
      <c r="G161" s="11" t="s">
        <v>53</v>
      </c>
      <c r="H161" s="12">
        <v>1826.0869565217392</v>
      </c>
      <c r="I161" s="13">
        <v>0.17499999999999999</v>
      </c>
      <c r="J161" s="12">
        <v>367.5</v>
      </c>
      <c r="K161" s="12">
        <v>202.65000000000009</v>
      </c>
      <c r="L161" s="12">
        <v>273.91304347826076</v>
      </c>
      <c r="M161" t="s">
        <v>10</v>
      </c>
      <c r="N161" t="s">
        <v>54</v>
      </c>
      <c r="O161" t="s">
        <v>55</v>
      </c>
      <c r="P161" s="19">
        <v>46053</v>
      </c>
      <c r="Q161">
        <f>+H161+L161</f>
        <v>2100</v>
      </c>
      <c r="R161">
        <f>+J161+K161+L161</f>
        <v>844.06304347826085</v>
      </c>
      <c r="S161">
        <f>+MONTH(B161)</f>
        <v>1</v>
      </c>
      <c r="T161">
        <f>+YEAR(B161)</f>
        <v>2026</v>
      </c>
      <c r="U161" t="s">
        <v>42</v>
      </c>
    </row>
    <row r="162" spans="1:21" customFormat="1" ht="15" customHeight="1" x14ac:dyDescent="0.3">
      <c r="A162" s="10">
        <v>45436</v>
      </c>
      <c r="B162" s="10">
        <v>46043</v>
      </c>
      <c r="C162" s="10">
        <v>46064</v>
      </c>
      <c r="D162" s="11" t="s">
        <v>503</v>
      </c>
      <c r="E162" s="11" t="s">
        <v>140</v>
      </c>
      <c r="F162" s="11" t="s">
        <v>84</v>
      </c>
      <c r="G162" s="11" t="s">
        <v>53</v>
      </c>
      <c r="H162" s="12">
        <v>1814.2600000000002</v>
      </c>
      <c r="I162" s="13">
        <v>0.17499999999999999</v>
      </c>
      <c r="J162" s="12">
        <v>365.12</v>
      </c>
      <c r="K162" s="12">
        <v>194.8059925</v>
      </c>
      <c r="L162" s="12">
        <v>272.14</v>
      </c>
      <c r="M162" t="s">
        <v>10</v>
      </c>
      <c r="N162" t="s">
        <v>85</v>
      </c>
      <c r="O162" t="s">
        <v>55</v>
      </c>
      <c r="P162" s="19">
        <v>46081</v>
      </c>
      <c r="Q162" s="47">
        <f>+H162+L162</f>
        <v>2086.4</v>
      </c>
      <c r="R162" s="47">
        <f>+J162+K162+L162</f>
        <v>832.06599249999999</v>
      </c>
      <c r="S162" s="47">
        <f>+MONTH(B162)</f>
        <v>1</v>
      </c>
      <c r="T162" s="47">
        <f>+YEAR(B162)</f>
        <v>2026</v>
      </c>
      <c r="U162" s="47" t="s">
        <v>364</v>
      </c>
    </row>
    <row r="163" spans="1:21" customFormat="1" ht="15" customHeight="1" x14ac:dyDescent="0.3">
      <c r="A163" s="10">
        <v>44701</v>
      </c>
      <c r="B163" s="10">
        <v>46023</v>
      </c>
      <c r="C163" s="10">
        <v>46049</v>
      </c>
      <c r="D163" s="11" t="s">
        <v>255</v>
      </c>
      <c r="E163" s="11" t="s">
        <v>246</v>
      </c>
      <c r="F163" s="11" t="s">
        <v>84</v>
      </c>
      <c r="G163" s="11" t="s">
        <v>53</v>
      </c>
      <c r="H163" s="12">
        <v>1708.22</v>
      </c>
      <c r="I163" s="13">
        <v>0.17499999999999999</v>
      </c>
      <c r="J163" s="12">
        <v>343.77875</v>
      </c>
      <c r="K163" s="12">
        <v>167.83314000000001</v>
      </c>
      <c r="L163" s="12">
        <v>256.23</v>
      </c>
      <c r="M163" t="s">
        <v>10</v>
      </c>
      <c r="N163" t="s">
        <v>85</v>
      </c>
      <c r="O163" t="s">
        <v>55</v>
      </c>
      <c r="P163" s="19">
        <v>46053</v>
      </c>
      <c r="Q163">
        <f>+H163+L163</f>
        <v>1964.45</v>
      </c>
      <c r="R163">
        <f>+J163+K163+L163</f>
        <v>767.84189000000003</v>
      </c>
      <c r="S163">
        <f>+MONTH(B163)</f>
        <v>1</v>
      </c>
      <c r="T163">
        <f>+YEAR(B163)</f>
        <v>2026</v>
      </c>
      <c r="U163" t="s">
        <v>42</v>
      </c>
    </row>
    <row r="164" spans="1:21" customFormat="1" ht="15" customHeight="1" x14ac:dyDescent="0.3">
      <c r="A164" s="10">
        <v>45299</v>
      </c>
      <c r="B164" s="10">
        <v>46023</v>
      </c>
      <c r="C164" s="10">
        <v>46034</v>
      </c>
      <c r="D164" s="11" t="s">
        <v>177</v>
      </c>
      <c r="E164" s="11" t="s">
        <v>140</v>
      </c>
      <c r="F164" s="11" t="s">
        <v>84</v>
      </c>
      <c r="G164" s="11" t="s">
        <v>53</v>
      </c>
      <c r="H164" s="12">
        <v>1695.7999999999997</v>
      </c>
      <c r="I164" s="13">
        <v>0.17500000000000002</v>
      </c>
      <c r="J164" s="12">
        <v>341.27974999999998</v>
      </c>
      <c r="K164" s="12">
        <v>182.08652499999988</v>
      </c>
      <c r="L164" s="12">
        <v>254.37</v>
      </c>
      <c r="M164" t="s">
        <v>10</v>
      </c>
      <c r="N164" t="s">
        <v>85</v>
      </c>
      <c r="O164" t="s">
        <v>55</v>
      </c>
      <c r="P164" s="19">
        <v>46053</v>
      </c>
      <c r="Q164">
        <f>+H164+L164</f>
        <v>1950.1699999999996</v>
      </c>
      <c r="R164">
        <f>+J164+K164+L164</f>
        <v>777.73627499999986</v>
      </c>
      <c r="S164">
        <f>+MONTH(B164)</f>
        <v>1</v>
      </c>
      <c r="T164">
        <f>+YEAR(B164)</f>
        <v>2026</v>
      </c>
      <c r="U164" t="s">
        <v>42</v>
      </c>
    </row>
    <row r="165" spans="1:21" customFormat="1" ht="15" customHeight="1" x14ac:dyDescent="0.3">
      <c r="A165" s="10">
        <v>45551</v>
      </c>
      <c r="B165" s="10">
        <v>46043</v>
      </c>
      <c r="C165" s="10">
        <v>46064</v>
      </c>
      <c r="D165" s="11" t="s">
        <v>501</v>
      </c>
      <c r="E165" s="11" t="s">
        <v>140</v>
      </c>
      <c r="F165" s="11" t="s">
        <v>84</v>
      </c>
      <c r="G165" s="11" t="s">
        <v>53</v>
      </c>
      <c r="H165" s="12">
        <v>1691</v>
      </c>
      <c r="I165" s="13">
        <v>0.17499999999999999</v>
      </c>
      <c r="J165" s="12">
        <v>340.31374999999997</v>
      </c>
      <c r="K165" s="12">
        <v>181.57112499999999</v>
      </c>
      <c r="L165" s="12">
        <v>253.65</v>
      </c>
      <c r="M165" t="s">
        <v>10</v>
      </c>
      <c r="N165" t="s">
        <v>85</v>
      </c>
      <c r="O165" t="s">
        <v>55</v>
      </c>
      <c r="P165" s="19">
        <v>46081</v>
      </c>
      <c r="Q165" s="47">
        <f>+H165+L165</f>
        <v>1944.65</v>
      </c>
      <c r="R165" s="47">
        <f>+J165+K165+L165</f>
        <v>775.53487499999994</v>
      </c>
      <c r="S165" s="47">
        <f>+MONTH(B165)</f>
        <v>1</v>
      </c>
      <c r="T165" s="47">
        <f>+YEAR(B165)</f>
        <v>2026</v>
      </c>
      <c r="U165" s="47" t="s">
        <v>364</v>
      </c>
    </row>
    <row r="166" spans="1:21" customFormat="1" ht="15" customHeight="1" x14ac:dyDescent="0.3">
      <c r="A166" s="10">
        <v>46041</v>
      </c>
      <c r="B166" s="10">
        <v>46045</v>
      </c>
      <c r="C166" s="10">
        <v>46045</v>
      </c>
      <c r="D166" s="11" t="s">
        <v>296</v>
      </c>
      <c r="E166" s="11" t="s">
        <v>297</v>
      </c>
      <c r="F166" s="11" t="s">
        <v>84</v>
      </c>
      <c r="G166" s="11" t="s">
        <v>53</v>
      </c>
      <c r="H166" s="12">
        <v>1677.29</v>
      </c>
      <c r="I166" s="13">
        <v>0.17499999999999999</v>
      </c>
      <c r="J166" s="12">
        <v>337.55399999999997</v>
      </c>
      <c r="K166" s="12">
        <v>186.13787025000011</v>
      </c>
      <c r="L166" s="12">
        <v>251.59</v>
      </c>
      <c r="M166" t="s">
        <v>10</v>
      </c>
      <c r="N166" t="s">
        <v>54</v>
      </c>
      <c r="O166" t="s">
        <v>41</v>
      </c>
      <c r="P166" s="19">
        <v>46053</v>
      </c>
      <c r="Q166">
        <f>+H166+L166</f>
        <v>1928.8799999999999</v>
      </c>
      <c r="R166">
        <f>+J166+K166+L166</f>
        <v>775.28187025000011</v>
      </c>
      <c r="S166">
        <f>+MONTH(B166)</f>
        <v>1</v>
      </c>
      <c r="T166">
        <f>+YEAR(B166)</f>
        <v>2026</v>
      </c>
      <c r="U166" t="s">
        <v>42</v>
      </c>
    </row>
    <row r="167" spans="1:21" customFormat="1" ht="15" customHeight="1" x14ac:dyDescent="0.3">
      <c r="A167" s="10">
        <v>45299</v>
      </c>
      <c r="B167" s="10">
        <v>46023</v>
      </c>
      <c r="C167" s="10">
        <v>46034</v>
      </c>
      <c r="D167" s="11" t="s">
        <v>175</v>
      </c>
      <c r="E167" s="11" t="s">
        <v>140</v>
      </c>
      <c r="F167" s="11" t="s">
        <v>84</v>
      </c>
      <c r="G167" s="11" t="s">
        <v>53</v>
      </c>
      <c r="H167" s="12">
        <v>1612.44</v>
      </c>
      <c r="I167" s="13">
        <v>0.17499999999999999</v>
      </c>
      <c r="J167" s="12">
        <v>324.50424999999996</v>
      </c>
      <c r="K167" s="12">
        <v>173.13504500000005</v>
      </c>
      <c r="L167" s="12">
        <v>241.87</v>
      </c>
      <c r="M167" t="s">
        <v>10</v>
      </c>
      <c r="N167" t="s">
        <v>85</v>
      </c>
      <c r="O167" t="s">
        <v>55</v>
      </c>
      <c r="P167" s="19">
        <v>46053</v>
      </c>
      <c r="Q167">
        <f>+H167+L167</f>
        <v>1854.31</v>
      </c>
      <c r="R167">
        <f>+J167+K167+L167</f>
        <v>739.50929500000007</v>
      </c>
      <c r="S167">
        <f>+MONTH(B167)</f>
        <v>1</v>
      </c>
      <c r="T167">
        <f>+YEAR(B167)</f>
        <v>2026</v>
      </c>
      <c r="U167" t="s">
        <v>42</v>
      </c>
    </row>
    <row r="168" spans="1:21" customFormat="1" ht="15" customHeight="1" x14ac:dyDescent="0.3">
      <c r="A168" s="10">
        <v>44963</v>
      </c>
      <c r="B168" s="10">
        <v>46023</v>
      </c>
      <c r="C168" s="10">
        <v>46049</v>
      </c>
      <c r="D168" s="11" t="s">
        <v>287</v>
      </c>
      <c r="E168" s="11" t="s">
        <v>246</v>
      </c>
      <c r="F168" s="11" t="s">
        <v>84</v>
      </c>
      <c r="G168" s="11" t="s">
        <v>53</v>
      </c>
      <c r="H168" s="12">
        <v>1571.88</v>
      </c>
      <c r="I168" s="13">
        <v>0.17500000000000002</v>
      </c>
      <c r="J168" s="12">
        <v>316.34050000000002</v>
      </c>
      <c r="K168" s="12">
        <v>154.43756000000002</v>
      </c>
      <c r="L168" s="12">
        <v>235.78</v>
      </c>
      <c r="M168" t="s">
        <v>10</v>
      </c>
      <c r="N168" t="s">
        <v>85</v>
      </c>
      <c r="O168" t="s">
        <v>55</v>
      </c>
      <c r="P168" s="19">
        <v>46053</v>
      </c>
      <c r="Q168">
        <f>+H168+L168</f>
        <v>1807.66</v>
      </c>
      <c r="R168">
        <f>+J168+K168+L168</f>
        <v>706.55806000000007</v>
      </c>
      <c r="S168">
        <f>+MONTH(B168)</f>
        <v>1</v>
      </c>
      <c r="T168">
        <f>+YEAR(B168)</f>
        <v>2026</v>
      </c>
      <c r="U168" t="s">
        <v>42</v>
      </c>
    </row>
    <row r="169" spans="1:21" customFormat="1" ht="15" customHeight="1" x14ac:dyDescent="0.3">
      <c r="A169" s="10">
        <v>44782</v>
      </c>
      <c r="B169" s="10">
        <v>46023</v>
      </c>
      <c r="C169" s="10">
        <v>46049</v>
      </c>
      <c r="D169" s="11" t="s">
        <v>273</v>
      </c>
      <c r="E169" s="11" t="s">
        <v>246</v>
      </c>
      <c r="F169" s="11" t="s">
        <v>84</v>
      </c>
      <c r="G169" s="11" t="s">
        <v>53</v>
      </c>
      <c r="H169" s="12">
        <v>1568.8</v>
      </c>
      <c r="I169" s="13">
        <v>0.17500000000000002</v>
      </c>
      <c r="J169" s="12">
        <v>315.721</v>
      </c>
      <c r="K169" s="12">
        <v>154.13459999999998</v>
      </c>
      <c r="L169" s="12">
        <v>235.32000000000002</v>
      </c>
      <c r="M169" t="s">
        <v>10</v>
      </c>
      <c r="N169" t="s">
        <v>85</v>
      </c>
      <c r="O169" t="s">
        <v>55</v>
      </c>
      <c r="P169" s="19">
        <v>46053</v>
      </c>
      <c r="Q169">
        <f>+H169+L169</f>
        <v>1804.12</v>
      </c>
      <c r="R169">
        <f>+J169+K169+L169</f>
        <v>705.17560000000003</v>
      </c>
      <c r="S169">
        <f>+MONTH(B169)</f>
        <v>1</v>
      </c>
      <c r="T169">
        <f>+YEAR(B169)</f>
        <v>2026</v>
      </c>
      <c r="U169" t="s">
        <v>42</v>
      </c>
    </row>
    <row r="170" spans="1:21" customFormat="1" ht="15" customHeight="1" x14ac:dyDescent="0.3">
      <c r="A170" s="10">
        <v>45299</v>
      </c>
      <c r="B170" s="10">
        <v>46023</v>
      </c>
      <c r="C170" s="10">
        <v>46034</v>
      </c>
      <c r="D170" s="11" t="s">
        <v>173</v>
      </c>
      <c r="E170" s="11" t="s">
        <v>140</v>
      </c>
      <c r="F170" s="11" t="s">
        <v>84</v>
      </c>
      <c r="G170" s="11" t="s">
        <v>53</v>
      </c>
      <c r="H170" s="12">
        <v>1564.87</v>
      </c>
      <c r="I170" s="13">
        <v>0.17500000000000002</v>
      </c>
      <c r="J170" s="12">
        <v>314.93</v>
      </c>
      <c r="K170" s="12">
        <v>168.02800374999993</v>
      </c>
      <c r="L170" s="12">
        <v>234.73</v>
      </c>
      <c r="M170" t="s">
        <v>10</v>
      </c>
      <c r="N170" t="s">
        <v>85</v>
      </c>
      <c r="O170" t="s">
        <v>55</v>
      </c>
      <c r="P170" s="19">
        <v>46053</v>
      </c>
      <c r="Q170">
        <f>+H170+L170</f>
        <v>1799.6</v>
      </c>
      <c r="R170">
        <f>+J170+K170+L170</f>
        <v>717.68800374999989</v>
      </c>
      <c r="S170">
        <f>+MONTH(B170)</f>
        <v>1</v>
      </c>
      <c r="T170">
        <f>+YEAR(B170)</f>
        <v>2026</v>
      </c>
      <c r="U170" t="s">
        <v>42</v>
      </c>
    </row>
    <row r="171" spans="1:21" customFormat="1" ht="15" customHeight="1" x14ac:dyDescent="0.3">
      <c r="A171" s="10">
        <v>46048</v>
      </c>
      <c r="B171" s="10">
        <v>46052</v>
      </c>
      <c r="C171" s="10">
        <v>46048</v>
      </c>
      <c r="D171" s="11" t="s">
        <v>299</v>
      </c>
      <c r="E171" s="11" t="s">
        <v>78</v>
      </c>
      <c r="F171" s="11" t="s">
        <v>58</v>
      </c>
      <c r="G171" s="11" t="s">
        <v>53</v>
      </c>
      <c r="H171" s="12">
        <v>1561.78</v>
      </c>
      <c r="I171" s="13">
        <v>0.14000000000000001</v>
      </c>
      <c r="J171" s="12">
        <v>251.44560000000004</v>
      </c>
      <c r="K171" s="12">
        <v>236.1811605</v>
      </c>
      <c r="L171" s="12">
        <v>234.26</v>
      </c>
      <c r="M171" t="s">
        <v>10</v>
      </c>
      <c r="N171" t="s">
        <v>54</v>
      </c>
      <c r="O171" t="s">
        <v>41</v>
      </c>
      <c r="P171" s="19">
        <v>46053</v>
      </c>
      <c r="Q171">
        <f>+H171+L171</f>
        <v>1796.04</v>
      </c>
      <c r="R171">
        <f>+J171+K171+L171</f>
        <v>721.88676050000004</v>
      </c>
      <c r="S171">
        <f>+MONTH(B171)</f>
        <v>1</v>
      </c>
      <c r="T171">
        <f>+YEAR(B171)</f>
        <v>2026</v>
      </c>
      <c r="U171" t="s">
        <v>42</v>
      </c>
    </row>
    <row r="172" spans="1:21" customFormat="1" ht="15" customHeight="1" x14ac:dyDescent="0.3">
      <c r="A172" s="10">
        <v>46048</v>
      </c>
      <c r="B172" s="10">
        <v>46052</v>
      </c>
      <c r="C172" s="10">
        <v>46048</v>
      </c>
      <c r="D172" s="11" t="s">
        <v>300</v>
      </c>
      <c r="E172" s="11" t="s">
        <v>76</v>
      </c>
      <c r="F172" s="11" t="s">
        <v>58</v>
      </c>
      <c r="G172" s="11" t="s">
        <v>53</v>
      </c>
      <c r="H172" s="12">
        <v>1561.78</v>
      </c>
      <c r="I172" s="13">
        <v>0.14000000000000001</v>
      </c>
      <c r="J172" s="12">
        <v>251.44560000000004</v>
      </c>
      <c r="K172" s="12">
        <v>236.1811605</v>
      </c>
      <c r="L172" s="12">
        <v>234.26</v>
      </c>
      <c r="M172" t="s">
        <v>10</v>
      </c>
      <c r="N172" t="s">
        <v>54</v>
      </c>
      <c r="O172" t="s">
        <v>41</v>
      </c>
      <c r="P172" s="19">
        <v>46053</v>
      </c>
      <c r="Q172">
        <f>+H172+L172</f>
        <v>1796.04</v>
      </c>
      <c r="R172">
        <f>+J172+K172+L172</f>
        <v>721.88676050000004</v>
      </c>
      <c r="S172">
        <f>+MONTH(B172)</f>
        <v>1</v>
      </c>
      <c r="T172">
        <f>+YEAR(B172)</f>
        <v>2026</v>
      </c>
      <c r="U172" t="s">
        <v>42</v>
      </c>
    </row>
    <row r="173" spans="1:21" customFormat="1" ht="15" customHeight="1" x14ac:dyDescent="0.3">
      <c r="A173" s="10">
        <v>45299</v>
      </c>
      <c r="B173" s="10">
        <v>46023</v>
      </c>
      <c r="C173" s="10">
        <v>46034</v>
      </c>
      <c r="D173" s="11" t="s">
        <v>155</v>
      </c>
      <c r="E173" s="11" t="s">
        <v>140</v>
      </c>
      <c r="F173" s="11" t="s">
        <v>84</v>
      </c>
      <c r="G173" s="11" t="s">
        <v>53</v>
      </c>
      <c r="H173" s="12">
        <v>1498.56</v>
      </c>
      <c r="I173" s="13">
        <v>0.17499999999999999</v>
      </c>
      <c r="J173" s="12">
        <v>301.58624999999995</v>
      </c>
      <c r="K173" s="12">
        <v>160.90683000000001</v>
      </c>
      <c r="L173" s="12">
        <v>224.79</v>
      </c>
      <c r="M173" t="s">
        <v>10</v>
      </c>
      <c r="N173" t="s">
        <v>85</v>
      </c>
      <c r="O173" t="s">
        <v>55</v>
      </c>
      <c r="P173" s="19">
        <v>46053</v>
      </c>
      <c r="Q173">
        <f>+H173+L173</f>
        <v>1723.35</v>
      </c>
      <c r="R173">
        <f>+J173+K173+L173</f>
        <v>687.28307999999993</v>
      </c>
      <c r="S173">
        <f>+MONTH(B173)</f>
        <v>1</v>
      </c>
      <c r="T173">
        <f>+YEAR(B173)</f>
        <v>2026</v>
      </c>
      <c r="U173" t="s">
        <v>42</v>
      </c>
    </row>
    <row r="174" spans="1:21" customFormat="1" ht="15" customHeight="1" x14ac:dyDescent="0.3">
      <c r="A174" s="10">
        <v>45342</v>
      </c>
      <c r="B174" s="10">
        <v>46023</v>
      </c>
      <c r="C174" s="10">
        <v>46034</v>
      </c>
      <c r="D174" s="11" t="s">
        <v>167</v>
      </c>
      <c r="E174" s="11" t="s">
        <v>140</v>
      </c>
      <c r="F174" s="11" t="s">
        <v>84</v>
      </c>
      <c r="G174" s="11" t="s">
        <v>53</v>
      </c>
      <c r="H174" s="12">
        <v>1495.4800000000002</v>
      </c>
      <c r="I174" s="13">
        <v>0.17499999999999996</v>
      </c>
      <c r="J174" s="12">
        <v>300.96499999999997</v>
      </c>
      <c r="K174" s="12">
        <v>160.57751500000006</v>
      </c>
      <c r="L174" s="12">
        <v>224.32</v>
      </c>
      <c r="M174" t="s">
        <v>10</v>
      </c>
      <c r="N174" t="s">
        <v>85</v>
      </c>
      <c r="O174" t="s">
        <v>55</v>
      </c>
      <c r="P174" s="19">
        <v>46053</v>
      </c>
      <c r="Q174">
        <f>+H174+L174</f>
        <v>1719.8000000000002</v>
      </c>
      <c r="R174">
        <f>+J174+K174+L174</f>
        <v>685.86251500000003</v>
      </c>
      <c r="S174">
        <f>+MONTH(B174)</f>
        <v>1</v>
      </c>
      <c r="T174">
        <f>+YEAR(B174)</f>
        <v>2026</v>
      </c>
      <c r="U174" t="s">
        <v>42</v>
      </c>
    </row>
    <row r="175" spans="1:21" customFormat="1" ht="15" customHeight="1" x14ac:dyDescent="0.3">
      <c r="A175" s="41"/>
      <c r="B175" s="20">
        <v>46037</v>
      </c>
      <c r="C175" s="41"/>
      <c r="D175" s="41" t="s">
        <v>411</v>
      </c>
      <c r="E175" s="41" t="s">
        <v>412</v>
      </c>
      <c r="F175" s="41" t="s">
        <v>363</v>
      </c>
      <c r="G175" s="41" t="s">
        <v>53</v>
      </c>
      <c r="H175" s="55">
        <v>1490.87</v>
      </c>
      <c r="I175" s="56">
        <v>0.17499999999999999</v>
      </c>
      <c r="J175" s="55">
        <v>300.03749999999997</v>
      </c>
      <c r="K175" s="55">
        <v>165.44938575000003</v>
      </c>
      <c r="L175" s="55">
        <v>223.63</v>
      </c>
      <c r="M175" s="41" t="s">
        <v>10</v>
      </c>
      <c r="N175" s="41" t="s">
        <v>54</v>
      </c>
      <c r="O175" s="41" t="s">
        <v>55</v>
      </c>
      <c r="P175" s="57">
        <v>46053</v>
      </c>
      <c r="Q175" s="41">
        <f>+H175+L175</f>
        <v>1714.5</v>
      </c>
      <c r="R175" s="41">
        <f>+J175+K175+L175</f>
        <v>689.11688574999994</v>
      </c>
      <c r="S175" s="41">
        <f>+MONTH(B175)</f>
        <v>1</v>
      </c>
      <c r="T175" s="41">
        <f>+YEAR(B175)</f>
        <v>2026</v>
      </c>
      <c r="U175" s="41" t="s">
        <v>364</v>
      </c>
    </row>
    <row r="176" spans="1:21" customFormat="1" ht="15" customHeight="1" x14ac:dyDescent="0.3">
      <c r="A176" s="10">
        <v>45520</v>
      </c>
      <c r="B176" s="10">
        <v>46023</v>
      </c>
      <c r="C176" s="10">
        <v>46034</v>
      </c>
      <c r="D176" s="11" t="s">
        <v>205</v>
      </c>
      <c r="E176" s="11" t="s">
        <v>140</v>
      </c>
      <c r="F176" s="11" t="s">
        <v>84</v>
      </c>
      <c r="G176" s="11" t="s">
        <v>53</v>
      </c>
      <c r="H176" s="12">
        <v>1473.8599999999997</v>
      </c>
      <c r="I176" s="13">
        <v>0.17500000000000002</v>
      </c>
      <c r="J176" s="12">
        <v>296.61449999999996</v>
      </c>
      <c r="K176" s="12">
        <v>158.25554249999993</v>
      </c>
      <c r="L176" s="12">
        <v>221.08000000000004</v>
      </c>
      <c r="M176" t="s">
        <v>10</v>
      </c>
      <c r="N176" t="s">
        <v>85</v>
      </c>
      <c r="O176" t="s">
        <v>55</v>
      </c>
      <c r="P176" s="19">
        <v>46053</v>
      </c>
      <c r="Q176">
        <f>+H176+L176</f>
        <v>1694.9399999999996</v>
      </c>
      <c r="R176">
        <f>+J176+K176+L176</f>
        <v>675.95004249999988</v>
      </c>
      <c r="S176">
        <f>+MONTH(B176)</f>
        <v>1</v>
      </c>
      <c r="T176">
        <f>+YEAR(B176)</f>
        <v>2026</v>
      </c>
      <c r="U176" t="s">
        <v>42</v>
      </c>
    </row>
    <row r="177" spans="1:21" customFormat="1" ht="15" customHeight="1" x14ac:dyDescent="0.3">
      <c r="A177" s="10">
        <v>46048</v>
      </c>
      <c r="B177" s="10">
        <v>46052</v>
      </c>
      <c r="C177" s="10">
        <v>46048</v>
      </c>
      <c r="D177" s="11" t="s">
        <v>298</v>
      </c>
      <c r="E177" s="11" t="s">
        <v>80</v>
      </c>
      <c r="F177" s="11" t="s">
        <v>58</v>
      </c>
      <c r="G177" s="11" t="s">
        <v>53</v>
      </c>
      <c r="H177" s="12">
        <v>1410.58</v>
      </c>
      <c r="I177" s="13">
        <v>0.14000000000000004</v>
      </c>
      <c r="J177" s="12">
        <v>227.10240000000005</v>
      </c>
      <c r="K177" s="12">
        <v>213.31594049999995</v>
      </c>
      <c r="L177" s="12">
        <v>211.58000000000004</v>
      </c>
      <c r="M177" t="s">
        <v>10</v>
      </c>
      <c r="N177" t="s">
        <v>54</v>
      </c>
      <c r="O177" t="s">
        <v>41</v>
      </c>
      <c r="P177" s="19">
        <v>46053</v>
      </c>
      <c r="Q177">
        <f>+H177+L177</f>
        <v>1622.1599999999999</v>
      </c>
      <c r="R177">
        <f>+J177+K177+L177</f>
        <v>651.99834050000004</v>
      </c>
      <c r="S177">
        <f>+MONTH(B177)</f>
        <v>1</v>
      </c>
      <c r="T177">
        <f>+YEAR(B177)</f>
        <v>2026</v>
      </c>
      <c r="U177" t="s">
        <v>42</v>
      </c>
    </row>
    <row r="178" spans="1:21" customFormat="1" ht="15" customHeight="1" x14ac:dyDescent="0.3">
      <c r="A178" s="10">
        <v>46025</v>
      </c>
      <c r="B178" s="10">
        <v>46025</v>
      </c>
      <c r="C178" s="10">
        <v>46049</v>
      </c>
      <c r="D178" s="11" t="s">
        <v>335</v>
      </c>
      <c r="E178" s="11" t="s">
        <v>336</v>
      </c>
      <c r="F178" s="11" t="s">
        <v>337</v>
      </c>
      <c r="G178" s="11" t="s">
        <v>53</v>
      </c>
      <c r="H178" s="12">
        <v>1260.8695652173913</v>
      </c>
      <c r="I178" s="13">
        <v>0.1</v>
      </c>
      <c r="J178" s="12">
        <v>145</v>
      </c>
      <c r="K178" s="12">
        <v>248.67500000000001</v>
      </c>
      <c r="L178" s="12">
        <v>189.13043478260875</v>
      </c>
      <c r="M178" t="s">
        <v>10</v>
      </c>
      <c r="N178" t="s">
        <v>54</v>
      </c>
      <c r="O178" t="s">
        <v>55</v>
      </c>
      <c r="P178" s="19">
        <v>46053</v>
      </c>
      <c r="Q178">
        <f>+H178+L178</f>
        <v>1450</v>
      </c>
      <c r="R178">
        <f>+J178+K178+L178</f>
        <v>582.8054347826087</v>
      </c>
      <c r="S178">
        <f>+MONTH(B178)</f>
        <v>1</v>
      </c>
      <c r="T178">
        <f>+YEAR(B178)</f>
        <v>2026</v>
      </c>
      <c r="U178" t="s">
        <v>42</v>
      </c>
    </row>
    <row r="179" spans="1:21" customFormat="1" ht="15" customHeight="1" x14ac:dyDescent="0.3">
      <c r="A179" s="10">
        <v>44701</v>
      </c>
      <c r="B179" s="10">
        <v>46023</v>
      </c>
      <c r="C179" s="10">
        <v>46049</v>
      </c>
      <c r="D179" s="11" t="s">
        <v>248</v>
      </c>
      <c r="E179" s="11" t="s">
        <v>246</v>
      </c>
      <c r="F179" s="11" t="s">
        <v>84</v>
      </c>
      <c r="G179" s="11" t="s">
        <v>53</v>
      </c>
      <c r="H179" s="12">
        <v>1250.75</v>
      </c>
      <c r="I179" s="13">
        <v>0.17500000000000002</v>
      </c>
      <c r="J179" s="12">
        <v>251.71125000000001</v>
      </c>
      <c r="K179" s="12">
        <v>122.888375</v>
      </c>
      <c r="L179" s="12">
        <v>187.6</v>
      </c>
      <c r="M179" t="s">
        <v>10</v>
      </c>
      <c r="N179" t="s">
        <v>85</v>
      </c>
      <c r="O179" t="s">
        <v>55</v>
      </c>
      <c r="P179" s="19">
        <v>46053</v>
      </c>
      <c r="Q179">
        <f>+H179+L179</f>
        <v>1438.35</v>
      </c>
      <c r="R179">
        <f>+J179+K179+L179</f>
        <v>562.19962499999997</v>
      </c>
      <c r="S179">
        <f>+MONTH(B179)</f>
        <v>1</v>
      </c>
      <c r="T179">
        <f>+YEAR(B179)</f>
        <v>2026</v>
      </c>
      <c r="U179" t="s">
        <v>42</v>
      </c>
    </row>
    <row r="180" spans="1:21" customFormat="1" ht="15" customHeight="1" x14ac:dyDescent="0.3">
      <c r="A180" s="10">
        <v>45427</v>
      </c>
      <c r="B180" s="10">
        <v>46023</v>
      </c>
      <c r="C180" s="10">
        <v>46034</v>
      </c>
      <c r="D180" s="11" t="s">
        <v>150</v>
      </c>
      <c r="E180" s="11" t="s">
        <v>140</v>
      </c>
      <c r="F180" s="11" t="s">
        <v>84</v>
      </c>
      <c r="G180" s="11" t="s">
        <v>53</v>
      </c>
      <c r="H180" s="12">
        <v>1231.7</v>
      </c>
      <c r="I180" s="13">
        <v>0.17499999999999999</v>
      </c>
      <c r="J180" s="12">
        <v>247.88049999999998</v>
      </c>
      <c r="K180" s="12">
        <v>132.25291250000004</v>
      </c>
      <c r="L180" s="12">
        <v>184.76</v>
      </c>
      <c r="M180" t="s">
        <v>10</v>
      </c>
      <c r="N180" t="s">
        <v>85</v>
      </c>
      <c r="O180" t="s">
        <v>55</v>
      </c>
      <c r="P180" s="19">
        <v>46053</v>
      </c>
      <c r="Q180">
        <f>+H180+L180</f>
        <v>1416.46</v>
      </c>
      <c r="R180">
        <f>+J180+K180+L180</f>
        <v>564.89341250000007</v>
      </c>
      <c r="S180">
        <f>+MONTH(B180)</f>
        <v>1</v>
      </c>
      <c r="T180">
        <f>+YEAR(B180)</f>
        <v>2026</v>
      </c>
      <c r="U180" t="s">
        <v>42</v>
      </c>
    </row>
    <row r="181" spans="1:21" customFormat="1" ht="15" customHeight="1" x14ac:dyDescent="0.3">
      <c r="A181" s="10">
        <v>46038</v>
      </c>
      <c r="B181" s="10">
        <v>46038</v>
      </c>
      <c r="C181" s="10">
        <v>46049</v>
      </c>
      <c r="D181" s="11" t="s">
        <v>315</v>
      </c>
      <c r="E181" s="11" t="s">
        <v>316</v>
      </c>
      <c r="F181" s="11" t="s">
        <v>58</v>
      </c>
      <c r="G181" s="11" t="s">
        <v>53</v>
      </c>
      <c r="H181" s="12">
        <v>1217.391304347826</v>
      </c>
      <c r="I181" s="13">
        <v>0.14000000000000001</v>
      </c>
      <c r="J181" s="12">
        <v>196.00000000000003</v>
      </c>
      <c r="K181" s="12">
        <v>184.1</v>
      </c>
      <c r="L181" s="12">
        <v>182.60869565217396</v>
      </c>
      <c r="M181" t="s">
        <v>10</v>
      </c>
      <c r="N181" t="s">
        <v>54</v>
      </c>
      <c r="O181" t="s">
        <v>55</v>
      </c>
      <c r="P181" s="19">
        <v>46053</v>
      </c>
      <c r="Q181">
        <f>+H181+L181</f>
        <v>1400</v>
      </c>
      <c r="R181">
        <f>+J181+K181+L181</f>
        <v>562.70869565217401</v>
      </c>
      <c r="S181">
        <f>+MONTH(B181)</f>
        <v>1</v>
      </c>
      <c r="T181">
        <f>+YEAR(B181)</f>
        <v>2026</v>
      </c>
      <c r="U181" t="s">
        <v>42</v>
      </c>
    </row>
    <row r="182" spans="1:21" customFormat="1" ht="15" customHeight="1" x14ac:dyDescent="0.3">
      <c r="A182" s="10">
        <v>44701</v>
      </c>
      <c r="B182" s="10">
        <v>46023</v>
      </c>
      <c r="C182" s="10">
        <v>46049</v>
      </c>
      <c r="D182" s="11" t="s">
        <v>258</v>
      </c>
      <c r="E182" s="11" t="s">
        <v>246</v>
      </c>
      <c r="F182" s="11" t="s">
        <v>84</v>
      </c>
      <c r="G182" s="11" t="s">
        <v>53</v>
      </c>
      <c r="H182" s="12">
        <v>1210.22</v>
      </c>
      <c r="I182" s="13">
        <v>0.17499999999999999</v>
      </c>
      <c r="J182" s="12">
        <v>243.55624999999998</v>
      </c>
      <c r="K182" s="12">
        <v>118.90464000000003</v>
      </c>
      <c r="L182" s="12">
        <v>181.53</v>
      </c>
      <c r="M182" t="s">
        <v>10</v>
      </c>
      <c r="N182" t="s">
        <v>85</v>
      </c>
      <c r="O182" t="s">
        <v>55</v>
      </c>
      <c r="P182" s="19">
        <v>46053</v>
      </c>
      <c r="Q182">
        <f>+H182+L182</f>
        <v>1391.75</v>
      </c>
      <c r="R182">
        <f>+J182+K182+L182</f>
        <v>543.99089000000004</v>
      </c>
      <c r="S182">
        <f>+MONTH(B182)</f>
        <v>1</v>
      </c>
      <c r="T182">
        <f>+YEAR(B182)</f>
        <v>2026</v>
      </c>
      <c r="U182" t="s">
        <v>42</v>
      </c>
    </row>
    <row r="183" spans="1:21" customFormat="1" ht="15" customHeight="1" x14ac:dyDescent="0.3">
      <c r="A183" s="10">
        <v>45517</v>
      </c>
      <c r="B183" s="10">
        <v>46023</v>
      </c>
      <c r="C183" s="10">
        <v>46034</v>
      </c>
      <c r="D183" s="11" t="s">
        <v>169</v>
      </c>
      <c r="E183" s="11" t="s">
        <v>140</v>
      </c>
      <c r="F183" s="11" t="s">
        <v>84</v>
      </c>
      <c r="G183" s="11" t="s">
        <v>53</v>
      </c>
      <c r="H183" s="12">
        <v>1201.8900000000001</v>
      </c>
      <c r="I183" s="13">
        <v>0.17499999999999999</v>
      </c>
      <c r="J183" s="12">
        <v>241.87975</v>
      </c>
      <c r="K183" s="12">
        <v>129.05355125</v>
      </c>
      <c r="L183" s="12">
        <v>180.28</v>
      </c>
      <c r="M183" t="s">
        <v>10</v>
      </c>
      <c r="N183" t="s">
        <v>85</v>
      </c>
      <c r="O183" t="s">
        <v>55</v>
      </c>
      <c r="P183" s="19">
        <v>46053</v>
      </c>
      <c r="Q183">
        <f>+H183+L183</f>
        <v>1382.17</v>
      </c>
      <c r="R183">
        <f>+J183+K183+L183</f>
        <v>551.21330124999997</v>
      </c>
      <c r="S183">
        <f>+MONTH(B183)</f>
        <v>1</v>
      </c>
      <c r="T183">
        <f>+YEAR(B183)</f>
        <v>2026</v>
      </c>
      <c r="U183" t="s">
        <v>42</v>
      </c>
    </row>
    <row r="184" spans="1:21" customFormat="1" ht="15" customHeight="1" x14ac:dyDescent="0.3">
      <c r="A184" s="10">
        <v>45299</v>
      </c>
      <c r="B184" s="10">
        <v>46023</v>
      </c>
      <c r="C184" s="10">
        <v>46034</v>
      </c>
      <c r="D184" s="11" t="s">
        <v>181</v>
      </c>
      <c r="E184" s="11" t="s">
        <v>140</v>
      </c>
      <c r="F184" s="11" t="s">
        <v>84</v>
      </c>
      <c r="G184" s="11" t="s">
        <v>53</v>
      </c>
      <c r="H184" s="12">
        <v>1200.94</v>
      </c>
      <c r="I184" s="13">
        <v>0.17500000000000002</v>
      </c>
      <c r="J184" s="12">
        <v>241.68900000000002</v>
      </c>
      <c r="K184" s="12">
        <v>128.95110749999998</v>
      </c>
      <c r="L184" s="12">
        <v>180.14</v>
      </c>
      <c r="M184" t="s">
        <v>10</v>
      </c>
      <c r="N184" t="s">
        <v>85</v>
      </c>
      <c r="O184" t="s">
        <v>55</v>
      </c>
      <c r="P184" s="19">
        <v>46053</v>
      </c>
      <c r="Q184">
        <f>+H184+L184</f>
        <v>1381.08</v>
      </c>
      <c r="R184">
        <f>+J184+K184+L184</f>
        <v>550.78010749999999</v>
      </c>
      <c r="S184">
        <f>+MONTH(B184)</f>
        <v>1</v>
      </c>
      <c r="T184">
        <f>+YEAR(B184)</f>
        <v>2026</v>
      </c>
      <c r="U184" t="s">
        <v>42</v>
      </c>
    </row>
    <row r="185" spans="1:21" customFormat="1" ht="15" customHeight="1" x14ac:dyDescent="0.3">
      <c r="A185" s="10">
        <v>45299</v>
      </c>
      <c r="B185" s="10">
        <v>46023</v>
      </c>
      <c r="C185" s="10">
        <v>46034</v>
      </c>
      <c r="D185" s="11" t="s">
        <v>159</v>
      </c>
      <c r="E185" s="11" t="s">
        <v>140</v>
      </c>
      <c r="F185" s="11" t="s">
        <v>84</v>
      </c>
      <c r="G185" s="11" t="s">
        <v>53</v>
      </c>
      <c r="H185" s="12">
        <v>1198.76</v>
      </c>
      <c r="I185" s="13">
        <v>0.17500000000000002</v>
      </c>
      <c r="J185" s="12">
        <v>241.25150000000002</v>
      </c>
      <c r="K185" s="12">
        <v>128.71580499999993</v>
      </c>
      <c r="L185" s="12">
        <v>179.82</v>
      </c>
      <c r="M185" t="s">
        <v>10</v>
      </c>
      <c r="N185" t="s">
        <v>85</v>
      </c>
      <c r="O185" t="s">
        <v>55</v>
      </c>
      <c r="P185" s="19">
        <v>46053</v>
      </c>
      <c r="Q185">
        <f>+H185+L185</f>
        <v>1378.58</v>
      </c>
      <c r="R185">
        <f>+J185+K185+L185</f>
        <v>549.78730499999995</v>
      </c>
      <c r="S185">
        <f>+MONTH(B185)</f>
        <v>1</v>
      </c>
      <c r="T185">
        <f>+YEAR(B185)</f>
        <v>2026</v>
      </c>
      <c r="U185" t="s">
        <v>42</v>
      </c>
    </row>
    <row r="186" spans="1:21" customFormat="1" ht="15" customHeight="1" x14ac:dyDescent="0.3">
      <c r="A186" s="10">
        <v>45342</v>
      </c>
      <c r="B186" s="10">
        <v>46023</v>
      </c>
      <c r="C186" s="10">
        <v>46034</v>
      </c>
      <c r="D186" s="11" t="s">
        <v>187</v>
      </c>
      <c r="E186" s="11" t="s">
        <v>140</v>
      </c>
      <c r="F186" s="11" t="s">
        <v>84</v>
      </c>
      <c r="G186" s="11" t="s">
        <v>53</v>
      </c>
      <c r="H186" s="12">
        <v>1193</v>
      </c>
      <c r="I186" s="13">
        <v>0.17499999999999999</v>
      </c>
      <c r="J186" s="12">
        <v>240.09125</v>
      </c>
      <c r="K186" s="12">
        <v>128.09837499999998</v>
      </c>
      <c r="L186" s="12">
        <v>178.95</v>
      </c>
      <c r="M186" t="s">
        <v>10</v>
      </c>
      <c r="N186" t="s">
        <v>85</v>
      </c>
      <c r="O186" t="s">
        <v>55</v>
      </c>
      <c r="P186" s="19">
        <v>46053</v>
      </c>
      <c r="Q186">
        <f>+H186+L186</f>
        <v>1371.95</v>
      </c>
      <c r="R186">
        <f>+J186+K186+L186</f>
        <v>547.13962500000002</v>
      </c>
      <c r="S186">
        <f>+MONTH(B186)</f>
        <v>1</v>
      </c>
      <c r="T186">
        <f>+YEAR(B186)</f>
        <v>2026</v>
      </c>
      <c r="U186" t="s">
        <v>42</v>
      </c>
    </row>
    <row r="187" spans="1:21" customFormat="1" ht="15" customHeight="1" x14ac:dyDescent="0.3">
      <c r="A187" s="10">
        <v>45342</v>
      </c>
      <c r="B187" s="10">
        <v>46023</v>
      </c>
      <c r="C187" s="10">
        <v>46034</v>
      </c>
      <c r="D187" s="11" t="s">
        <v>200</v>
      </c>
      <c r="E187" s="11" t="s">
        <v>140</v>
      </c>
      <c r="F187" s="11" t="s">
        <v>84</v>
      </c>
      <c r="G187" s="11" t="s">
        <v>53</v>
      </c>
      <c r="H187" s="12">
        <v>1187.5700000000002</v>
      </c>
      <c r="I187" s="13">
        <v>0.17499999999999999</v>
      </c>
      <c r="J187" s="12">
        <v>238.99924999999999</v>
      </c>
      <c r="K187" s="12">
        <v>127.51454125000006</v>
      </c>
      <c r="L187" s="12">
        <v>178.14</v>
      </c>
      <c r="M187" t="s">
        <v>10</v>
      </c>
      <c r="N187" t="s">
        <v>85</v>
      </c>
      <c r="O187" t="s">
        <v>55</v>
      </c>
      <c r="P187" s="19">
        <v>46053</v>
      </c>
      <c r="Q187">
        <f>+H187+L187</f>
        <v>1365.71</v>
      </c>
      <c r="R187">
        <f>+J187+K187+L187</f>
        <v>544.65379125000004</v>
      </c>
      <c r="S187">
        <f>+MONTH(B187)</f>
        <v>1</v>
      </c>
      <c r="T187">
        <f>+YEAR(B187)</f>
        <v>2026</v>
      </c>
      <c r="U187" t="s">
        <v>42</v>
      </c>
    </row>
    <row r="188" spans="1:21" customFormat="1" ht="15" customHeight="1" x14ac:dyDescent="0.3">
      <c r="A188" s="10">
        <v>45299</v>
      </c>
      <c r="B188" s="10">
        <v>46023</v>
      </c>
      <c r="C188" s="10">
        <v>46034</v>
      </c>
      <c r="D188" s="11" t="s">
        <v>176</v>
      </c>
      <c r="E188" s="11" t="s">
        <v>140</v>
      </c>
      <c r="F188" s="11" t="s">
        <v>84</v>
      </c>
      <c r="G188" s="11" t="s">
        <v>53</v>
      </c>
      <c r="H188" s="12">
        <v>1186.18</v>
      </c>
      <c r="I188" s="13">
        <v>0.17499999999999999</v>
      </c>
      <c r="J188" s="12">
        <v>238.7175</v>
      </c>
      <c r="K188" s="12">
        <v>127.36730250000002</v>
      </c>
      <c r="L188" s="12">
        <v>177.92</v>
      </c>
      <c r="M188" t="s">
        <v>10</v>
      </c>
      <c r="N188" t="s">
        <v>85</v>
      </c>
      <c r="O188" t="s">
        <v>55</v>
      </c>
      <c r="P188" s="19">
        <v>46053</v>
      </c>
      <c r="Q188">
        <f>+H188+L188</f>
        <v>1364.1000000000001</v>
      </c>
      <c r="R188">
        <f>+J188+K188+L188</f>
        <v>544.00480249999998</v>
      </c>
      <c r="S188">
        <f>+MONTH(B188)</f>
        <v>1</v>
      </c>
      <c r="T188">
        <f>+YEAR(B188)</f>
        <v>2026</v>
      </c>
      <c r="U188" t="s">
        <v>42</v>
      </c>
    </row>
    <row r="189" spans="1:21" customFormat="1" ht="15" customHeight="1" x14ac:dyDescent="0.3">
      <c r="A189" s="10">
        <v>45299</v>
      </c>
      <c r="B189" s="10">
        <v>46023</v>
      </c>
      <c r="C189" s="10">
        <v>46034</v>
      </c>
      <c r="D189" s="11" t="s">
        <v>190</v>
      </c>
      <c r="E189" s="11" t="s">
        <v>140</v>
      </c>
      <c r="F189" s="11" t="s">
        <v>84</v>
      </c>
      <c r="G189" s="11" t="s">
        <v>53</v>
      </c>
      <c r="H189" s="12">
        <v>1185.8200000000002</v>
      </c>
      <c r="I189" s="13">
        <v>0.17499999999999999</v>
      </c>
      <c r="J189" s="12">
        <v>238.64574999999999</v>
      </c>
      <c r="K189" s="12">
        <v>127.32794750000002</v>
      </c>
      <c r="L189" s="12">
        <v>177.87</v>
      </c>
      <c r="M189" t="s">
        <v>10</v>
      </c>
      <c r="N189" t="s">
        <v>85</v>
      </c>
      <c r="O189" t="s">
        <v>55</v>
      </c>
      <c r="P189" s="19">
        <v>46053</v>
      </c>
      <c r="Q189">
        <f>+H189+L189</f>
        <v>1363.69</v>
      </c>
      <c r="R189">
        <f>+J189+K189+L189</f>
        <v>543.84369749999996</v>
      </c>
      <c r="S189">
        <f>+MONTH(B189)</f>
        <v>1</v>
      </c>
      <c r="T189">
        <f>+YEAR(B189)</f>
        <v>2026</v>
      </c>
      <c r="U189" t="s">
        <v>42</v>
      </c>
    </row>
    <row r="190" spans="1:21" customFormat="1" ht="15" customHeight="1" x14ac:dyDescent="0.3">
      <c r="A190" s="10">
        <v>44782</v>
      </c>
      <c r="B190" s="10">
        <v>46023</v>
      </c>
      <c r="C190" s="10">
        <v>46049</v>
      </c>
      <c r="D190" s="11" t="s">
        <v>277</v>
      </c>
      <c r="E190" s="11" t="s">
        <v>246</v>
      </c>
      <c r="F190" s="11" t="s">
        <v>84</v>
      </c>
      <c r="G190" s="11" t="s">
        <v>53</v>
      </c>
      <c r="H190" s="12">
        <v>1182.6400000000003</v>
      </c>
      <c r="I190" s="13">
        <v>0.17499999999999996</v>
      </c>
      <c r="J190" s="12">
        <v>238.00524999999999</v>
      </c>
      <c r="K190" s="12">
        <v>116.1954300000001</v>
      </c>
      <c r="L190" s="12">
        <v>177.39</v>
      </c>
      <c r="M190" t="s">
        <v>10</v>
      </c>
      <c r="N190" t="s">
        <v>85</v>
      </c>
      <c r="O190" t="s">
        <v>55</v>
      </c>
      <c r="P190" s="19">
        <v>46053</v>
      </c>
      <c r="Q190">
        <f>+H190+L190</f>
        <v>1360.0300000000002</v>
      </c>
      <c r="R190">
        <f>+J190+K190+L190</f>
        <v>531.59068000000002</v>
      </c>
      <c r="S190">
        <f>+MONTH(B190)</f>
        <v>1</v>
      </c>
      <c r="T190">
        <f>+YEAR(B190)</f>
        <v>2026</v>
      </c>
      <c r="U190" t="s">
        <v>42</v>
      </c>
    </row>
    <row r="191" spans="1:21" customFormat="1" ht="15" customHeight="1" x14ac:dyDescent="0.3">
      <c r="A191" s="10">
        <v>44782</v>
      </c>
      <c r="B191" s="10">
        <v>46023</v>
      </c>
      <c r="C191" s="10">
        <v>46049</v>
      </c>
      <c r="D191" s="11" t="s">
        <v>278</v>
      </c>
      <c r="E191" s="11" t="s">
        <v>246</v>
      </c>
      <c r="F191" s="11" t="s">
        <v>84</v>
      </c>
      <c r="G191" s="11" t="s">
        <v>53</v>
      </c>
      <c r="H191" s="12">
        <v>1177.1600000000001</v>
      </c>
      <c r="I191" s="13">
        <v>0.17499999999999999</v>
      </c>
      <c r="J191" s="12">
        <v>236.90099999999998</v>
      </c>
      <c r="K191" s="12">
        <v>115.65842000000001</v>
      </c>
      <c r="L191" s="12">
        <v>176.56</v>
      </c>
      <c r="M191" t="s">
        <v>10</v>
      </c>
      <c r="N191" t="s">
        <v>85</v>
      </c>
      <c r="O191" t="s">
        <v>55</v>
      </c>
      <c r="P191" s="19">
        <v>46053</v>
      </c>
      <c r="Q191">
        <f>+H191+L191</f>
        <v>1353.72</v>
      </c>
      <c r="R191">
        <f>+J191+K191+L191</f>
        <v>529.11941999999999</v>
      </c>
      <c r="S191">
        <f>+MONTH(B191)</f>
        <v>1</v>
      </c>
      <c r="T191">
        <f>+YEAR(B191)</f>
        <v>2026</v>
      </c>
      <c r="U191" t="s">
        <v>42</v>
      </c>
    </row>
    <row r="192" spans="1:21" customFormat="1" ht="15" customHeight="1" x14ac:dyDescent="0.3">
      <c r="A192" s="10">
        <v>44707</v>
      </c>
      <c r="B192" s="10">
        <v>46023</v>
      </c>
      <c r="C192" s="10">
        <v>46049</v>
      </c>
      <c r="D192" s="11" t="s">
        <v>261</v>
      </c>
      <c r="E192" s="11" t="s">
        <v>246</v>
      </c>
      <c r="F192" s="11" t="s">
        <v>84</v>
      </c>
      <c r="G192" s="11" t="s">
        <v>53</v>
      </c>
      <c r="H192" s="12">
        <v>1157.54</v>
      </c>
      <c r="I192" s="13">
        <v>0.17499999999999999</v>
      </c>
      <c r="J192" s="12">
        <v>232.95474999999999</v>
      </c>
      <c r="K192" s="12">
        <v>113.72847999999999</v>
      </c>
      <c r="L192" s="12">
        <v>173.63</v>
      </c>
      <c r="M192" t="s">
        <v>10</v>
      </c>
      <c r="N192" t="s">
        <v>85</v>
      </c>
      <c r="O192" t="s">
        <v>55</v>
      </c>
      <c r="P192" s="19">
        <v>46053</v>
      </c>
      <c r="Q192">
        <f>+H192+L192</f>
        <v>1331.17</v>
      </c>
      <c r="R192">
        <f>+J192+K192+L192</f>
        <v>520.31322999999998</v>
      </c>
      <c r="S192">
        <f>+MONTH(B192)</f>
        <v>1</v>
      </c>
      <c r="T192">
        <f>+YEAR(B192)</f>
        <v>2026</v>
      </c>
      <c r="U192" t="s">
        <v>42</v>
      </c>
    </row>
    <row r="193" spans="1:21" customFormat="1" ht="15" customHeight="1" x14ac:dyDescent="0.3">
      <c r="A193" s="10">
        <v>44782</v>
      </c>
      <c r="B193" s="10">
        <v>46023</v>
      </c>
      <c r="C193" s="10">
        <v>46049</v>
      </c>
      <c r="D193" s="11" t="s">
        <v>276</v>
      </c>
      <c r="E193" s="11" t="s">
        <v>246</v>
      </c>
      <c r="F193" s="11" t="s">
        <v>84</v>
      </c>
      <c r="G193" s="11" t="s">
        <v>53</v>
      </c>
      <c r="H193" s="12">
        <v>1146.81</v>
      </c>
      <c r="I193" s="13">
        <v>0.17499999999999999</v>
      </c>
      <c r="J193" s="12">
        <v>230.79699999999997</v>
      </c>
      <c r="K193" s="12">
        <v>112.672595</v>
      </c>
      <c r="L193" s="12">
        <v>172.03</v>
      </c>
      <c r="M193" t="s">
        <v>10</v>
      </c>
      <c r="N193" t="s">
        <v>85</v>
      </c>
      <c r="O193" t="s">
        <v>55</v>
      </c>
      <c r="P193" s="19">
        <v>46053</v>
      </c>
      <c r="Q193">
        <f>+H193+L193</f>
        <v>1318.84</v>
      </c>
      <c r="R193">
        <f>+J193+K193+L193</f>
        <v>515.499595</v>
      </c>
      <c r="S193">
        <f>+MONTH(B193)</f>
        <v>1</v>
      </c>
      <c r="T193">
        <f>+YEAR(B193)</f>
        <v>2026</v>
      </c>
      <c r="U193" t="s">
        <v>42</v>
      </c>
    </row>
    <row r="194" spans="1:21" customFormat="1" ht="15" customHeight="1" x14ac:dyDescent="0.3">
      <c r="A194" s="10">
        <v>45363</v>
      </c>
      <c r="B194" s="10">
        <v>46023</v>
      </c>
      <c r="C194" s="10">
        <v>46034</v>
      </c>
      <c r="D194" s="11" t="s">
        <v>148</v>
      </c>
      <c r="E194" s="11" t="s">
        <v>140</v>
      </c>
      <c r="F194" s="11" t="s">
        <v>84</v>
      </c>
      <c r="G194" s="11" t="s">
        <v>53</v>
      </c>
      <c r="H194" s="12">
        <v>1121.8399999999999</v>
      </c>
      <c r="I194" s="13">
        <v>0.17499999999999999</v>
      </c>
      <c r="J194" s="12">
        <v>225.77099999999996</v>
      </c>
      <c r="K194" s="12">
        <v>120.45686999999998</v>
      </c>
      <c r="L194" s="12">
        <v>168.28</v>
      </c>
      <c r="M194" t="s">
        <v>10</v>
      </c>
      <c r="N194" t="s">
        <v>85</v>
      </c>
      <c r="O194" t="s">
        <v>55</v>
      </c>
      <c r="P194" s="19">
        <v>46053</v>
      </c>
      <c r="Q194">
        <f>+H194+L194</f>
        <v>1290.1199999999999</v>
      </c>
      <c r="R194">
        <f>+J194+K194+L194</f>
        <v>514.50786999999991</v>
      </c>
      <c r="S194">
        <f>+MONTH(B194)</f>
        <v>1</v>
      </c>
      <c r="T194">
        <f>+YEAR(B194)</f>
        <v>2026</v>
      </c>
      <c r="U194" t="s">
        <v>42</v>
      </c>
    </row>
    <row r="195" spans="1:21" customFormat="1" ht="15" customHeight="1" x14ac:dyDescent="0.3">
      <c r="A195" s="10">
        <v>44747</v>
      </c>
      <c r="B195" s="10">
        <v>46023</v>
      </c>
      <c r="C195" s="10">
        <v>46049</v>
      </c>
      <c r="D195" s="11" t="s">
        <v>269</v>
      </c>
      <c r="E195" s="11" t="s">
        <v>246</v>
      </c>
      <c r="F195" s="11" t="s">
        <v>84</v>
      </c>
      <c r="G195" s="11" t="s">
        <v>53</v>
      </c>
      <c r="H195" s="12">
        <v>1102.05</v>
      </c>
      <c r="I195" s="13">
        <v>0.17499999999999999</v>
      </c>
      <c r="J195" s="12">
        <v>221.78624999999997</v>
      </c>
      <c r="K195" s="12">
        <v>108.277725</v>
      </c>
      <c r="L195" s="12">
        <v>165.3</v>
      </c>
      <c r="M195" t="s">
        <v>10</v>
      </c>
      <c r="N195" t="s">
        <v>85</v>
      </c>
      <c r="O195" t="s">
        <v>55</v>
      </c>
      <c r="P195" s="19">
        <v>46053</v>
      </c>
      <c r="Q195">
        <f>+H195+L195</f>
        <v>1267.3499999999999</v>
      </c>
      <c r="R195">
        <f>+J195+K195+L195</f>
        <v>495.36397499999998</v>
      </c>
      <c r="S195">
        <f>+MONTH(B195)</f>
        <v>1</v>
      </c>
      <c r="T195">
        <f>+YEAR(B195)</f>
        <v>2026</v>
      </c>
      <c r="U195" t="s">
        <v>42</v>
      </c>
    </row>
    <row r="196" spans="1:21" customFormat="1" ht="15" customHeight="1" x14ac:dyDescent="0.3">
      <c r="A196" s="10">
        <v>44854</v>
      </c>
      <c r="B196" s="10">
        <v>46023</v>
      </c>
      <c r="C196" s="10">
        <v>46049</v>
      </c>
      <c r="D196" s="11" t="s">
        <v>280</v>
      </c>
      <c r="E196" s="11" t="s">
        <v>246</v>
      </c>
      <c r="F196" s="11" t="s">
        <v>84</v>
      </c>
      <c r="G196" s="11" t="s">
        <v>53</v>
      </c>
      <c r="H196" s="12">
        <v>1093.81</v>
      </c>
      <c r="I196" s="13">
        <v>0.17499999999999999</v>
      </c>
      <c r="J196" s="12">
        <v>220.12899999999996</v>
      </c>
      <c r="K196" s="12">
        <v>107.46709500000003</v>
      </c>
      <c r="L196" s="12">
        <v>164.07</v>
      </c>
      <c r="M196" t="s">
        <v>10</v>
      </c>
      <c r="N196" t="s">
        <v>85</v>
      </c>
      <c r="O196" t="s">
        <v>55</v>
      </c>
      <c r="P196" s="19">
        <v>46053</v>
      </c>
      <c r="Q196">
        <f>+H196+L196</f>
        <v>1257.8799999999999</v>
      </c>
      <c r="R196">
        <f>+J196+K196+L196</f>
        <v>491.66609499999998</v>
      </c>
      <c r="S196">
        <f>+MONTH(B196)</f>
        <v>1</v>
      </c>
      <c r="T196">
        <f>+YEAR(B196)</f>
        <v>2026</v>
      </c>
      <c r="U196" t="s">
        <v>42</v>
      </c>
    </row>
    <row r="197" spans="1:21" customFormat="1" ht="15" customHeight="1" x14ac:dyDescent="0.3">
      <c r="A197" s="10">
        <v>44959</v>
      </c>
      <c r="B197" s="10">
        <v>46023</v>
      </c>
      <c r="C197" s="10">
        <v>46049</v>
      </c>
      <c r="D197" s="11" t="s">
        <v>283</v>
      </c>
      <c r="E197" s="11" t="s">
        <v>246</v>
      </c>
      <c r="F197" s="11" t="s">
        <v>84</v>
      </c>
      <c r="G197" s="11" t="s">
        <v>53</v>
      </c>
      <c r="H197" s="12">
        <v>1079.46</v>
      </c>
      <c r="I197" s="13">
        <v>0.17499999999999996</v>
      </c>
      <c r="J197" s="12">
        <v>217.24149999999997</v>
      </c>
      <c r="K197" s="12">
        <v>106.05677000000003</v>
      </c>
      <c r="L197" s="12">
        <v>161.91999999999999</v>
      </c>
      <c r="M197" t="s">
        <v>10</v>
      </c>
      <c r="N197" t="s">
        <v>85</v>
      </c>
      <c r="O197" t="s">
        <v>55</v>
      </c>
      <c r="P197" s="19">
        <v>46053</v>
      </c>
      <c r="Q197">
        <f>+H197+L197</f>
        <v>1241.3800000000001</v>
      </c>
      <c r="R197">
        <f>+J197+K197+L197</f>
        <v>485.21826999999996</v>
      </c>
      <c r="S197">
        <f>+MONTH(B197)</f>
        <v>1</v>
      </c>
      <c r="T197">
        <f>+YEAR(B197)</f>
        <v>2026</v>
      </c>
      <c r="U197" t="s">
        <v>42</v>
      </c>
    </row>
    <row r="198" spans="1:21" customFormat="1" ht="15" customHeight="1" x14ac:dyDescent="0.3">
      <c r="A198" s="10">
        <v>45300</v>
      </c>
      <c r="B198" s="10">
        <v>46023</v>
      </c>
      <c r="C198" s="10">
        <v>46034</v>
      </c>
      <c r="D198" s="11" t="s">
        <v>161</v>
      </c>
      <c r="E198" s="11" t="s">
        <v>140</v>
      </c>
      <c r="F198" s="11" t="s">
        <v>84</v>
      </c>
      <c r="G198" s="11" t="s">
        <v>53</v>
      </c>
      <c r="H198" s="12">
        <v>1075.23</v>
      </c>
      <c r="I198" s="13">
        <v>0.17499999999999999</v>
      </c>
      <c r="J198" s="12">
        <v>216.38924999999998</v>
      </c>
      <c r="K198" s="12">
        <v>115.45360875000003</v>
      </c>
      <c r="L198" s="12">
        <v>161.28</v>
      </c>
      <c r="M198" t="s">
        <v>10</v>
      </c>
      <c r="N198" t="s">
        <v>85</v>
      </c>
      <c r="O198" t="s">
        <v>55</v>
      </c>
      <c r="P198" s="19">
        <v>46053</v>
      </c>
      <c r="Q198">
        <f>+H198+L198</f>
        <v>1236.51</v>
      </c>
      <c r="R198">
        <f>+J198+K198+L198</f>
        <v>493.12285874999998</v>
      </c>
      <c r="S198">
        <f>+MONTH(B198)</f>
        <v>1</v>
      </c>
      <c r="T198">
        <f>+YEAR(B198)</f>
        <v>2026</v>
      </c>
      <c r="U198" t="s">
        <v>42</v>
      </c>
    </row>
    <row r="199" spans="1:21" customFormat="1" ht="15" customHeight="1" x14ac:dyDescent="0.3">
      <c r="A199" s="10">
        <v>45112</v>
      </c>
      <c r="B199" s="10">
        <v>45961</v>
      </c>
      <c r="C199" s="10">
        <v>46049</v>
      </c>
      <c r="D199" s="11" t="s">
        <v>291</v>
      </c>
      <c r="E199" s="11" t="s">
        <v>246</v>
      </c>
      <c r="F199" s="11" t="s">
        <v>84</v>
      </c>
      <c r="G199" s="11" t="s">
        <v>53</v>
      </c>
      <c r="H199" s="12">
        <v>1101.06</v>
      </c>
      <c r="I199" s="13">
        <v>0.17499999999999996</v>
      </c>
      <c r="J199" s="12">
        <v>221.58849999999995</v>
      </c>
      <c r="K199" s="12">
        <v>108.17896999999999</v>
      </c>
      <c r="L199" s="12">
        <v>165.16</v>
      </c>
      <c r="M199" t="s">
        <v>10</v>
      </c>
      <c r="N199" t="s">
        <v>85</v>
      </c>
      <c r="O199" t="s">
        <v>55</v>
      </c>
      <c r="P199" s="19">
        <v>46053</v>
      </c>
      <c r="Q199">
        <f>+H199+L199</f>
        <v>1266.22</v>
      </c>
      <c r="R199">
        <f>+J199+K199+L199</f>
        <v>494.92746999999997</v>
      </c>
      <c r="S199">
        <f>+MONTH(B199)</f>
        <v>10</v>
      </c>
      <c r="T199">
        <f>+YEAR(B199)</f>
        <v>2025</v>
      </c>
      <c r="U199" t="s">
        <v>42</v>
      </c>
    </row>
    <row r="200" spans="1:21" customFormat="1" ht="15" customHeight="1" x14ac:dyDescent="0.3">
      <c r="A200" s="10">
        <v>44747</v>
      </c>
      <c r="B200" s="10">
        <v>46023</v>
      </c>
      <c r="C200" s="10">
        <v>46049</v>
      </c>
      <c r="D200" s="11" t="s">
        <v>268</v>
      </c>
      <c r="E200" s="11" t="s">
        <v>246</v>
      </c>
      <c r="F200" s="11" t="s">
        <v>84</v>
      </c>
      <c r="G200" s="11" t="s">
        <v>53</v>
      </c>
      <c r="H200" s="12">
        <v>1051.3699999999999</v>
      </c>
      <c r="I200" s="13">
        <v>0.17500000000000004</v>
      </c>
      <c r="J200" s="12">
        <v>211.58900000000003</v>
      </c>
      <c r="K200" s="12">
        <v>103.29631499999991</v>
      </c>
      <c r="L200" s="12">
        <v>157.71</v>
      </c>
      <c r="M200" t="s">
        <v>10</v>
      </c>
      <c r="N200" t="s">
        <v>85</v>
      </c>
      <c r="O200" t="s">
        <v>55</v>
      </c>
      <c r="P200" s="19">
        <v>46053</v>
      </c>
      <c r="Q200">
        <f>+H200+L200</f>
        <v>1209.08</v>
      </c>
      <c r="R200">
        <f>+J200+K200+L200</f>
        <v>472.59531499999991</v>
      </c>
      <c r="S200">
        <f>+MONTH(B200)</f>
        <v>1</v>
      </c>
      <c r="T200">
        <f>+YEAR(B200)</f>
        <v>2026</v>
      </c>
      <c r="U200" t="s">
        <v>42</v>
      </c>
    </row>
    <row r="201" spans="1:21" customFormat="1" ht="15" customHeight="1" x14ac:dyDescent="0.3">
      <c r="A201" s="10">
        <v>45625</v>
      </c>
      <c r="B201" s="10">
        <v>46204</v>
      </c>
      <c r="C201" s="10">
        <v>46045</v>
      </c>
      <c r="D201" s="11" t="s">
        <v>294</v>
      </c>
      <c r="E201" s="11" t="s">
        <v>234</v>
      </c>
      <c r="F201" s="11" t="s">
        <v>235</v>
      </c>
      <c r="G201" s="11" t="s">
        <v>53</v>
      </c>
      <c r="H201" s="12">
        <v>11536.75</v>
      </c>
      <c r="I201" s="13">
        <v>0.16500000000000001</v>
      </c>
      <c r="J201" s="12">
        <v>2189.0962500000001</v>
      </c>
      <c r="K201" s="12">
        <v>1371.4332187499999</v>
      </c>
      <c r="L201" s="12">
        <v>1730.5</v>
      </c>
      <c r="M201" t="s">
        <v>10</v>
      </c>
      <c r="N201" t="s">
        <v>85</v>
      </c>
      <c r="O201" t="s">
        <v>55</v>
      </c>
      <c r="P201" s="19">
        <v>46053</v>
      </c>
      <c r="Q201">
        <f>+H201+L201</f>
        <v>13267.25</v>
      </c>
      <c r="R201">
        <f>+J201+K201+L201</f>
        <v>5291.02946875</v>
      </c>
      <c r="S201">
        <f>+MONTH(B201)</f>
        <v>7</v>
      </c>
      <c r="T201">
        <f>+YEAR(B201)</f>
        <v>2026</v>
      </c>
      <c r="U201" t="s">
        <v>42</v>
      </c>
    </row>
    <row r="202" spans="1:21" customFormat="1" ht="15" customHeight="1" x14ac:dyDescent="0.3">
      <c r="A202" s="10">
        <v>45625</v>
      </c>
      <c r="B202" s="10">
        <v>46204</v>
      </c>
      <c r="C202" s="10">
        <v>46045</v>
      </c>
      <c r="D202" s="11" t="s">
        <v>295</v>
      </c>
      <c r="E202" s="11" t="s">
        <v>234</v>
      </c>
      <c r="F202" s="11" t="s">
        <v>235</v>
      </c>
      <c r="G202" s="11" t="s">
        <v>53</v>
      </c>
      <c r="H202" s="12">
        <v>11536.75</v>
      </c>
      <c r="I202" s="13">
        <v>0.16500000000000001</v>
      </c>
      <c r="J202" s="12">
        <v>2189.0962500000001</v>
      </c>
      <c r="K202" s="12">
        <v>1371.4332187499999</v>
      </c>
      <c r="L202" s="12">
        <v>1730.5</v>
      </c>
      <c r="M202" t="s">
        <v>10</v>
      </c>
      <c r="N202" t="s">
        <v>85</v>
      </c>
      <c r="O202" t="s">
        <v>55</v>
      </c>
      <c r="P202" s="19">
        <v>46053</v>
      </c>
      <c r="Q202">
        <f>+H202+L202</f>
        <v>13267.25</v>
      </c>
      <c r="R202">
        <f>+J202+K202+L202</f>
        <v>5291.02946875</v>
      </c>
      <c r="S202">
        <f>+MONTH(B202)</f>
        <v>7</v>
      </c>
      <c r="T202">
        <f>+YEAR(B202)</f>
        <v>2026</v>
      </c>
      <c r="U202" t="s">
        <v>42</v>
      </c>
    </row>
    <row r="203" spans="1:21" customFormat="1" ht="15" customHeight="1" x14ac:dyDescent="0.3">
      <c r="A203" s="10">
        <v>45299</v>
      </c>
      <c r="B203" s="10">
        <v>46023</v>
      </c>
      <c r="C203" s="10">
        <v>46034</v>
      </c>
      <c r="D203" s="11" t="s">
        <v>189</v>
      </c>
      <c r="E203" s="11" t="s">
        <v>140</v>
      </c>
      <c r="F203" s="11" t="s">
        <v>84</v>
      </c>
      <c r="G203" s="11" t="s">
        <v>53</v>
      </c>
      <c r="H203" s="12">
        <v>1048.8399999999999</v>
      </c>
      <c r="I203" s="13">
        <v>0.17500000000000002</v>
      </c>
      <c r="J203" s="12">
        <v>211.07974999999999</v>
      </c>
      <c r="K203" s="12">
        <v>112.61849499999994</v>
      </c>
      <c r="L203" s="12">
        <v>157.33000000000001</v>
      </c>
      <c r="M203" t="s">
        <v>10</v>
      </c>
      <c r="N203" t="s">
        <v>85</v>
      </c>
      <c r="O203" t="s">
        <v>55</v>
      </c>
      <c r="P203" s="19">
        <v>46053</v>
      </c>
      <c r="Q203">
        <f>+H203+L203</f>
        <v>1206.1699999999998</v>
      </c>
      <c r="R203">
        <f>+J203+K203+L203</f>
        <v>481.02824499999997</v>
      </c>
      <c r="S203">
        <f>+MONTH(B203)</f>
        <v>1</v>
      </c>
      <c r="T203">
        <f>+YEAR(B203)</f>
        <v>2026</v>
      </c>
      <c r="U203" t="s">
        <v>42</v>
      </c>
    </row>
    <row r="204" spans="1:21" customFormat="1" ht="15" customHeight="1" x14ac:dyDescent="0.3">
      <c r="A204" s="10">
        <v>45299</v>
      </c>
      <c r="B204" s="10">
        <v>46023</v>
      </c>
      <c r="C204" s="10">
        <v>46034</v>
      </c>
      <c r="D204" s="11" t="s">
        <v>152</v>
      </c>
      <c r="E204" s="11" t="s">
        <v>140</v>
      </c>
      <c r="F204" s="11" t="s">
        <v>84</v>
      </c>
      <c r="G204" s="11" t="s">
        <v>53</v>
      </c>
      <c r="H204" s="12">
        <v>1043.4100000000001</v>
      </c>
      <c r="I204" s="13">
        <v>0.17499999999999999</v>
      </c>
      <c r="J204" s="12">
        <v>209.98599999999999</v>
      </c>
      <c r="K204" s="12">
        <v>112.03641125000001</v>
      </c>
      <c r="L204" s="12">
        <v>156.51</v>
      </c>
      <c r="M204" t="s">
        <v>10</v>
      </c>
      <c r="N204" t="s">
        <v>85</v>
      </c>
      <c r="O204" t="s">
        <v>55</v>
      </c>
      <c r="P204" s="19">
        <v>46053</v>
      </c>
      <c r="Q204">
        <f>+H204+L204</f>
        <v>1199.92</v>
      </c>
      <c r="R204">
        <f>+J204+K204+L204</f>
        <v>478.53241125</v>
      </c>
      <c r="S204">
        <f>+MONTH(B204)</f>
        <v>1</v>
      </c>
      <c r="T204">
        <f>+YEAR(B204)</f>
        <v>2026</v>
      </c>
      <c r="U204" t="s">
        <v>42</v>
      </c>
    </row>
    <row r="205" spans="1:21" customFormat="1" ht="15" customHeight="1" x14ac:dyDescent="0.3">
      <c r="A205" s="10">
        <v>45520</v>
      </c>
      <c r="B205" s="10">
        <v>46023</v>
      </c>
      <c r="C205" s="10">
        <v>46034</v>
      </c>
      <c r="D205" s="11" t="s">
        <v>195</v>
      </c>
      <c r="E205" s="11" t="s">
        <v>140</v>
      </c>
      <c r="F205" s="11" t="s">
        <v>84</v>
      </c>
      <c r="G205" s="11" t="s">
        <v>53</v>
      </c>
      <c r="H205" s="12">
        <v>1036.07</v>
      </c>
      <c r="I205" s="13">
        <v>0.17499999999999999</v>
      </c>
      <c r="J205" s="12">
        <v>208.50899999999999</v>
      </c>
      <c r="K205" s="12">
        <v>111.24810374999996</v>
      </c>
      <c r="L205" s="12">
        <v>155.41</v>
      </c>
      <c r="M205" t="s">
        <v>10</v>
      </c>
      <c r="N205" t="s">
        <v>85</v>
      </c>
      <c r="O205" t="s">
        <v>55</v>
      </c>
      <c r="P205" s="19">
        <v>46053</v>
      </c>
      <c r="Q205">
        <f>+H205+L205</f>
        <v>1191.48</v>
      </c>
      <c r="R205">
        <f>+J205+K205+L205</f>
        <v>475.16710374999991</v>
      </c>
      <c r="S205">
        <f>+MONTH(B205)</f>
        <v>1</v>
      </c>
      <c r="T205">
        <f>+YEAR(B205)</f>
        <v>2026</v>
      </c>
      <c r="U205" t="s">
        <v>42</v>
      </c>
    </row>
    <row r="206" spans="1:21" customFormat="1" ht="15" customHeight="1" x14ac:dyDescent="0.3">
      <c r="A206" s="10">
        <v>45342</v>
      </c>
      <c r="B206" s="10">
        <v>46023</v>
      </c>
      <c r="C206" s="10">
        <v>46034</v>
      </c>
      <c r="D206" s="11" t="s">
        <v>146</v>
      </c>
      <c r="E206" s="11" t="s">
        <v>140</v>
      </c>
      <c r="F206" s="11" t="s">
        <v>84</v>
      </c>
      <c r="G206" s="11" t="s">
        <v>53</v>
      </c>
      <c r="H206" s="12">
        <v>990.82</v>
      </c>
      <c r="I206" s="13">
        <v>0.17499999999999999</v>
      </c>
      <c r="J206" s="12">
        <v>199.40199999999999</v>
      </c>
      <c r="K206" s="12">
        <v>106.38982250000004</v>
      </c>
      <c r="L206" s="12">
        <v>148.62</v>
      </c>
      <c r="M206" t="s">
        <v>10</v>
      </c>
      <c r="N206" t="s">
        <v>85</v>
      </c>
      <c r="O206" t="s">
        <v>55</v>
      </c>
      <c r="P206" s="19">
        <v>46053</v>
      </c>
      <c r="Q206">
        <f>+H206+L206</f>
        <v>1139.44</v>
      </c>
      <c r="R206">
        <f>+J206+K206+L206</f>
        <v>454.41182250000003</v>
      </c>
      <c r="S206">
        <f>+MONTH(B206)</f>
        <v>1</v>
      </c>
      <c r="T206">
        <f>+YEAR(B206)</f>
        <v>2026</v>
      </c>
      <c r="U206" t="s">
        <v>42</v>
      </c>
    </row>
    <row r="207" spans="1:21" customFormat="1" ht="15" customHeight="1" x14ac:dyDescent="0.3">
      <c r="A207" s="10">
        <v>44782</v>
      </c>
      <c r="B207" s="10">
        <v>46023</v>
      </c>
      <c r="C207" s="10">
        <v>46049</v>
      </c>
      <c r="D207" s="11" t="s">
        <v>274</v>
      </c>
      <c r="E207" s="11" t="s">
        <v>246</v>
      </c>
      <c r="F207" s="11" t="s">
        <v>84</v>
      </c>
      <c r="G207" s="11" t="s">
        <v>53</v>
      </c>
      <c r="H207" s="12">
        <v>988.01</v>
      </c>
      <c r="I207" s="13">
        <v>0.17499999999999999</v>
      </c>
      <c r="J207" s="12">
        <v>198.83674999999999</v>
      </c>
      <c r="K207" s="12">
        <v>97.072245000000009</v>
      </c>
      <c r="L207" s="12">
        <v>148.19999999999999</v>
      </c>
      <c r="M207" t="s">
        <v>10</v>
      </c>
      <c r="N207" t="s">
        <v>85</v>
      </c>
      <c r="O207" t="s">
        <v>55</v>
      </c>
      <c r="P207" s="19">
        <v>46053</v>
      </c>
      <c r="Q207">
        <f>+H207+L207</f>
        <v>1136.21</v>
      </c>
      <c r="R207">
        <f>+J207+K207+L207</f>
        <v>444.10899499999999</v>
      </c>
      <c r="S207">
        <f>+MONTH(B207)</f>
        <v>1</v>
      </c>
      <c r="T207">
        <f>+YEAR(B207)</f>
        <v>2026</v>
      </c>
      <c r="U207" t="s">
        <v>42</v>
      </c>
    </row>
    <row r="208" spans="1:21" customFormat="1" ht="15" customHeight="1" x14ac:dyDescent="0.3">
      <c r="A208" s="10">
        <v>44782</v>
      </c>
      <c r="B208" s="10">
        <v>46023</v>
      </c>
      <c r="C208" s="10">
        <v>46049</v>
      </c>
      <c r="D208" s="11" t="s">
        <v>275</v>
      </c>
      <c r="E208" s="11" t="s">
        <v>246</v>
      </c>
      <c r="F208" s="11" t="s">
        <v>84</v>
      </c>
      <c r="G208" s="11" t="s">
        <v>53</v>
      </c>
      <c r="H208" s="12">
        <v>987.01000000000022</v>
      </c>
      <c r="I208" s="13">
        <v>0.17499999999999996</v>
      </c>
      <c r="J208" s="12">
        <v>198.63549999999998</v>
      </c>
      <c r="K208" s="12">
        <v>96.973995000000059</v>
      </c>
      <c r="L208" s="12">
        <v>148.05000000000001</v>
      </c>
      <c r="M208" t="s">
        <v>10</v>
      </c>
      <c r="N208" t="s">
        <v>85</v>
      </c>
      <c r="O208" t="s">
        <v>55</v>
      </c>
      <c r="P208" s="19">
        <v>46053</v>
      </c>
      <c r="Q208">
        <f>+H208+L208</f>
        <v>1135.0600000000002</v>
      </c>
      <c r="R208">
        <f>+J208+K208+L208</f>
        <v>443.65949500000005</v>
      </c>
      <c r="S208">
        <f>+MONTH(B208)</f>
        <v>1</v>
      </c>
      <c r="T208">
        <f>+YEAR(B208)</f>
        <v>2026</v>
      </c>
      <c r="U208" t="s">
        <v>42</v>
      </c>
    </row>
    <row r="209" spans="1:21" customFormat="1" ht="15" customHeight="1" x14ac:dyDescent="0.3">
      <c r="A209" s="10">
        <v>45299</v>
      </c>
      <c r="B209" s="10">
        <v>46023</v>
      </c>
      <c r="C209" s="10">
        <v>46034</v>
      </c>
      <c r="D209" s="11" t="s">
        <v>174</v>
      </c>
      <c r="E209" s="11" t="s">
        <v>140</v>
      </c>
      <c r="F209" s="11" t="s">
        <v>84</v>
      </c>
      <c r="G209" s="11" t="s">
        <v>53</v>
      </c>
      <c r="H209" s="12">
        <v>985.99000000000012</v>
      </c>
      <c r="I209" s="13">
        <v>0.17499999999999996</v>
      </c>
      <c r="J209" s="12">
        <v>198.42899999999997</v>
      </c>
      <c r="K209" s="12">
        <v>105.87216375000003</v>
      </c>
      <c r="L209" s="12">
        <v>147.88999999999999</v>
      </c>
      <c r="M209" t="s">
        <v>10</v>
      </c>
      <c r="N209" t="s">
        <v>85</v>
      </c>
      <c r="O209" t="s">
        <v>55</v>
      </c>
      <c r="P209" s="19">
        <v>46053</v>
      </c>
      <c r="Q209">
        <f>+H209+L209</f>
        <v>1133.8800000000001</v>
      </c>
      <c r="R209">
        <f>+J209+K209+L209</f>
        <v>452.19116374999999</v>
      </c>
      <c r="S209">
        <f>+MONTH(B209)</f>
        <v>1</v>
      </c>
      <c r="T209">
        <f>+YEAR(B209)</f>
        <v>2026</v>
      </c>
      <c r="U209" t="s">
        <v>42</v>
      </c>
    </row>
    <row r="210" spans="1:21" customFormat="1" ht="15" customHeight="1" x14ac:dyDescent="0.3">
      <c r="A210" s="10">
        <v>44701</v>
      </c>
      <c r="B210" s="10">
        <v>46023</v>
      </c>
      <c r="C210" s="10">
        <v>46049</v>
      </c>
      <c r="D210" s="11" t="s">
        <v>247</v>
      </c>
      <c r="E210" s="11" t="s">
        <v>246</v>
      </c>
      <c r="F210" s="11" t="s">
        <v>84</v>
      </c>
      <c r="G210" s="11" t="s">
        <v>53</v>
      </c>
      <c r="H210" s="12">
        <v>979.08</v>
      </c>
      <c r="I210" s="13">
        <v>0.17499999999999999</v>
      </c>
      <c r="J210" s="12">
        <v>197.0395</v>
      </c>
      <c r="K210" s="12">
        <v>96.194960000000009</v>
      </c>
      <c r="L210" s="12">
        <v>146.86000000000001</v>
      </c>
      <c r="M210" t="s">
        <v>10</v>
      </c>
      <c r="N210" t="s">
        <v>85</v>
      </c>
      <c r="O210" t="s">
        <v>55</v>
      </c>
      <c r="P210" s="19">
        <v>46053</v>
      </c>
      <c r="Q210">
        <f>+H210+L210</f>
        <v>1125.94</v>
      </c>
      <c r="R210">
        <f>+J210+K210+L210</f>
        <v>440.09446000000003</v>
      </c>
      <c r="S210">
        <f>+MONTH(B210)</f>
        <v>1</v>
      </c>
      <c r="T210">
        <f>+YEAR(B210)</f>
        <v>2026</v>
      </c>
      <c r="U210" t="s">
        <v>42</v>
      </c>
    </row>
    <row r="211" spans="1:21" customFormat="1" ht="15" customHeight="1" x14ac:dyDescent="0.3">
      <c r="A211" s="10">
        <v>44707</v>
      </c>
      <c r="B211" s="10">
        <v>46023</v>
      </c>
      <c r="C211" s="10">
        <v>46049</v>
      </c>
      <c r="D211" s="11" t="s">
        <v>245</v>
      </c>
      <c r="E211" s="11" t="s">
        <v>246</v>
      </c>
      <c r="F211" s="11" t="s">
        <v>84</v>
      </c>
      <c r="G211" s="11" t="s">
        <v>53</v>
      </c>
      <c r="H211" s="12">
        <v>978.63000000000011</v>
      </c>
      <c r="I211" s="13">
        <v>0.17499999999999993</v>
      </c>
      <c r="J211" s="12">
        <v>196.94674999999995</v>
      </c>
      <c r="K211" s="12">
        <v>96.15293500000007</v>
      </c>
      <c r="L211" s="12">
        <v>146.78</v>
      </c>
      <c r="M211" t="s">
        <v>10</v>
      </c>
      <c r="N211" t="s">
        <v>85</v>
      </c>
      <c r="O211" t="s">
        <v>55</v>
      </c>
      <c r="P211" s="19">
        <v>46053</v>
      </c>
      <c r="Q211">
        <f>+H211+L211</f>
        <v>1125.4100000000001</v>
      </c>
      <c r="R211">
        <f>+J211+K211+L211</f>
        <v>439.87968499999999</v>
      </c>
      <c r="S211">
        <f>+MONTH(B211)</f>
        <v>1</v>
      </c>
      <c r="T211">
        <f>+YEAR(B211)</f>
        <v>2026</v>
      </c>
      <c r="U211" t="s">
        <v>42</v>
      </c>
    </row>
    <row r="212" spans="1:21" customFormat="1" ht="15" customHeight="1" x14ac:dyDescent="0.3">
      <c r="A212" s="10">
        <v>46030</v>
      </c>
      <c r="B212" s="10">
        <v>46030</v>
      </c>
      <c r="C212" s="10">
        <v>46049</v>
      </c>
      <c r="D212" s="11" t="s">
        <v>308</v>
      </c>
      <c r="E212" s="11" t="s">
        <v>309</v>
      </c>
      <c r="F212" s="11" t="s">
        <v>84</v>
      </c>
      <c r="G212" s="11" t="s">
        <v>53</v>
      </c>
      <c r="H212" s="12">
        <v>978.10660869565208</v>
      </c>
      <c r="I212" s="13">
        <v>0.17499999999999996</v>
      </c>
      <c r="J212" s="12">
        <v>196.84395499999994</v>
      </c>
      <c r="K212" s="12">
        <v>108.54538090000005</v>
      </c>
      <c r="L212" s="12">
        <v>146.71599130434788</v>
      </c>
      <c r="M212" t="s">
        <v>10</v>
      </c>
      <c r="N212" t="s">
        <v>54</v>
      </c>
      <c r="O212" t="s">
        <v>55</v>
      </c>
      <c r="P212" s="19">
        <v>46053</v>
      </c>
      <c r="Q212">
        <f>+H212+L212</f>
        <v>1124.8226</v>
      </c>
      <c r="R212">
        <f>+J212+K212+L212</f>
        <v>452.10532720434787</v>
      </c>
      <c r="S212">
        <f>+MONTH(B212)</f>
        <v>1</v>
      </c>
      <c r="T212">
        <f>+YEAR(B212)</f>
        <v>2026</v>
      </c>
      <c r="U212" t="s">
        <v>42</v>
      </c>
    </row>
    <row r="213" spans="1:21" customFormat="1" ht="15" customHeight="1" x14ac:dyDescent="0.3">
      <c r="A213" s="10">
        <v>44747</v>
      </c>
      <c r="B213" s="10">
        <v>46023</v>
      </c>
      <c r="C213" s="10">
        <v>46049</v>
      </c>
      <c r="D213" s="11" t="s">
        <v>271</v>
      </c>
      <c r="E213" s="11" t="s">
        <v>246</v>
      </c>
      <c r="F213" s="11" t="s">
        <v>84</v>
      </c>
      <c r="G213" s="11" t="s">
        <v>53</v>
      </c>
      <c r="H213" s="12">
        <v>974.44000000000017</v>
      </c>
      <c r="I213" s="13">
        <v>0.17499999999999993</v>
      </c>
      <c r="J213" s="12">
        <v>196.10499999999996</v>
      </c>
      <c r="K213" s="12">
        <v>95.739780000000053</v>
      </c>
      <c r="L213" s="12">
        <v>146.16</v>
      </c>
      <c r="M213" t="s">
        <v>10</v>
      </c>
      <c r="N213" t="s">
        <v>85</v>
      </c>
      <c r="O213" t="s">
        <v>55</v>
      </c>
      <c r="P213" s="19">
        <v>46053</v>
      </c>
      <c r="Q213">
        <f>+H213+L213</f>
        <v>1120.6000000000001</v>
      </c>
      <c r="R213">
        <f>+J213+K213+L213</f>
        <v>438.00477999999998</v>
      </c>
      <c r="S213">
        <f>+MONTH(B213)</f>
        <v>1</v>
      </c>
      <c r="T213">
        <f>+YEAR(B213)</f>
        <v>2026</v>
      </c>
      <c r="U213" t="s">
        <v>42</v>
      </c>
    </row>
    <row r="214" spans="1:21" customFormat="1" ht="15" customHeight="1" x14ac:dyDescent="0.3">
      <c r="A214" s="10">
        <v>45342</v>
      </c>
      <c r="B214" s="10">
        <v>46023</v>
      </c>
      <c r="C214" s="10">
        <v>46034</v>
      </c>
      <c r="D214" s="11" t="s">
        <v>143</v>
      </c>
      <c r="E214" s="11" t="s">
        <v>140</v>
      </c>
      <c r="F214" s="11" t="s">
        <v>84</v>
      </c>
      <c r="G214" s="11" t="s">
        <v>53</v>
      </c>
      <c r="H214" s="12">
        <v>973.53</v>
      </c>
      <c r="I214" s="13">
        <v>0.17499999999999999</v>
      </c>
      <c r="J214" s="12">
        <v>195.92299999999997</v>
      </c>
      <c r="K214" s="12">
        <v>104.53269624999999</v>
      </c>
      <c r="L214" s="12">
        <v>146.03</v>
      </c>
      <c r="M214" t="s">
        <v>10</v>
      </c>
      <c r="N214" t="s">
        <v>85</v>
      </c>
      <c r="O214" t="s">
        <v>55</v>
      </c>
      <c r="P214" s="19">
        <v>46053</v>
      </c>
      <c r="Q214">
        <f>+H214+L214</f>
        <v>1119.56</v>
      </c>
      <c r="R214">
        <f>+J214+K214+L214</f>
        <v>446.48569624999993</v>
      </c>
      <c r="S214">
        <f>+MONTH(B214)</f>
        <v>1</v>
      </c>
      <c r="T214">
        <f>+YEAR(B214)</f>
        <v>2026</v>
      </c>
      <c r="U214" t="s">
        <v>42</v>
      </c>
    </row>
    <row r="215" spans="1:21" customFormat="1" ht="15" customHeight="1" x14ac:dyDescent="0.3">
      <c r="A215" s="10">
        <v>45342</v>
      </c>
      <c r="B215" s="10">
        <v>46023</v>
      </c>
      <c r="C215" s="10">
        <v>46034</v>
      </c>
      <c r="D215" s="11" t="s">
        <v>201</v>
      </c>
      <c r="E215" s="11" t="s">
        <v>140</v>
      </c>
      <c r="F215" s="11" t="s">
        <v>84</v>
      </c>
      <c r="G215" s="11" t="s">
        <v>53</v>
      </c>
      <c r="H215" s="12">
        <v>965.55999999999983</v>
      </c>
      <c r="I215" s="13">
        <v>0.17499999999999999</v>
      </c>
      <c r="J215" s="12">
        <v>194.31824999999998</v>
      </c>
      <c r="K215" s="12">
        <v>103.67770499999995</v>
      </c>
      <c r="L215" s="12">
        <v>144.83000000000001</v>
      </c>
      <c r="M215" t="s">
        <v>10</v>
      </c>
      <c r="N215" t="s">
        <v>85</v>
      </c>
      <c r="O215" t="s">
        <v>55</v>
      </c>
      <c r="P215" s="19">
        <v>46053</v>
      </c>
      <c r="Q215">
        <f>+H215+L215</f>
        <v>1110.3899999999999</v>
      </c>
      <c r="R215">
        <f>+J215+K215+L215</f>
        <v>442.82595499999991</v>
      </c>
      <c r="S215">
        <f>+MONTH(B215)</f>
        <v>1</v>
      </c>
      <c r="T215">
        <f>+YEAR(B215)</f>
        <v>2026</v>
      </c>
      <c r="U215" t="s">
        <v>42</v>
      </c>
    </row>
    <row r="216" spans="1:21" customFormat="1" ht="15" customHeight="1" x14ac:dyDescent="0.3">
      <c r="A216" s="10">
        <v>45427</v>
      </c>
      <c r="B216" s="10">
        <v>46023</v>
      </c>
      <c r="C216" s="10">
        <v>46034</v>
      </c>
      <c r="D216" s="11" t="s">
        <v>151</v>
      </c>
      <c r="E216" s="11" t="s">
        <v>140</v>
      </c>
      <c r="F216" s="11" t="s">
        <v>84</v>
      </c>
      <c r="G216" s="11" t="s">
        <v>53</v>
      </c>
      <c r="H216" s="12">
        <v>959.67999999999984</v>
      </c>
      <c r="I216" s="13">
        <v>0.17499999999999999</v>
      </c>
      <c r="J216" s="12">
        <v>193.13699999999997</v>
      </c>
      <c r="K216" s="12">
        <v>103.04423999999997</v>
      </c>
      <c r="L216" s="12">
        <v>143.96</v>
      </c>
      <c r="M216" t="s">
        <v>10</v>
      </c>
      <c r="N216" t="s">
        <v>85</v>
      </c>
      <c r="O216" t="s">
        <v>55</v>
      </c>
      <c r="P216" s="19">
        <v>46053</v>
      </c>
      <c r="Q216">
        <f>+H216+L216</f>
        <v>1103.6399999999999</v>
      </c>
      <c r="R216">
        <f>+J216+K216+L216</f>
        <v>440.14123999999993</v>
      </c>
      <c r="S216">
        <f>+MONTH(B216)</f>
        <v>1</v>
      </c>
      <c r="T216">
        <f>+YEAR(B216)</f>
        <v>2026</v>
      </c>
      <c r="U216" t="s">
        <v>42</v>
      </c>
    </row>
    <row r="217" spans="1:21" customFormat="1" ht="15" customHeight="1" x14ac:dyDescent="0.3">
      <c r="A217" s="10">
        <v>44707</v>
      </c>
      <c r="B217" s="10">
        <v>46023</v>
      </c>
      <c r="C217" s="10">
        <v>46049</v>
      </c>
      <c r="D217" s="11" t="s">
        <v>265</v>
      </c>
      <c r="E217" s="11" t="s">
        <v>246</v>
      </c>
      <c r="F217" s="11" t="s">
        <v>84</v>
      </c>
      <c r="G217" s="11" t="s">
        <v>53</v>
      </c>
      <c r="H217" s="12">
        <v>958.62000000000012</v>
      </c>
      <c r="I217" s="13">
        <v>0.17499999999999996</v>
      </c>
      <c r="J217" s="12">
        <v>192.92174999999997</v>
      </c>
      <c r="K217" s="12">
        <v>94.18494000000004</v>
      </c>
      <c r="L217" s="12">
        <v>143.79</v>
      </c>
      <c r="M217" t="s">
        <v>10</v>
      </c>
      <c r="N217" t="s">
        <v>85</v>
      </c>
      <c r="O217" t="s">
        <v>55</v>
      </c>
      <c r="P217" s="19">
        <v>46053</v>
      </c>
      <c r="Q217">
        <f>+H217+L217</f>
        <v>1102.4100000000001</v>
      </c>
      <c r="R217">
        <f>+J217+K217+L217</f>
        <v>430.89669000000004</v>
      </c>
      <c r="S217">
        <f>+MONTH(B217)</f>
        <v>1</v>
      </c>
      <c r="T217">
        <f>+YEAR(B217)</f>
        <v>2026</v>
      </c>
      <c r="U217" t="s">
        <v>42</v>
      </c>
    </row>
    <row r="218" spans="1:21" customFormat="1" ht="15" customHeight="1" x14ac:dyDescent="0.3">
      <c r="A218" s="10">
        <v>44707</v>
      </c>
      <c r="B218" s="10">
        <v>46023</v>
      </c>
      <c r="C218" s="10">
        <v>46049</v>
      </c>
      <c r="D218" s="11" t="s">
        <v>262</v>
      </c>
      <c r="E218" s="11" t="s">
        <v>246</v>
      </c>
      <c r="F218" s="11" t="s">
        <v>84</v>
      </c>
      <c r="G218" s="11" t="s">
        <v>53</v>
      </c>
      <c r="H218" s="12">
        <v>952.53000000000009</v>
      </c>
      <c r="I218" s="13">
        <v>0.17499999999999993</v>
      </c>
      <c r="J218" s="12">
        <v>191.69674999999995</v>
      </c>
      <c r="K218" s="12">
        <v>93.585985000000051</v>
      </c>
      <c r="L218" s="12">
        <v>142.88</v>
      </c>
      <c r="M218" t="s">
        <v>10</v>
      </c>
      <c r="N218" t="s">
        <v>85</v>
      </c>
      <c r="O218" t="s">
        <v>55</v>
      </c>
      <c r="P218" s="19">
        <v>46053</v>
      </c>
      <c r="Q218">
        <f>+H218+L218</f>
        <v>1095.4100000000001</v>
      </c>
      <c r="R218">
        <f>+J218+K218+L218</f>
        <v>428.162735</v>
      </c>
      <c r="S218">
        <f>+MONTH(B218)</f>
        <v>1</v>
      </c>
      <c r="T218">
        <f>+YEAR(B218)</f>
        <v>2026</v>
      </c>
      <c r="U218" t="s">
        <v>42</v>
      </c>
    </row>
    <row r="219" spans="1:21" customFormat="1" ht="15" customHeight="1" x14ac:dyDescent="0.3">
      <c r="A219" s="10">
        <v>45488</v>
      </c>
      <c r="B219" s="10">
        <v>46043</v>
      </c>
      <c r="C219" s="10">
        <v>46064</v>
      </c>
      <c r="D219" s="11" t="s">
        <v>500</v>
      </c>
      <c r="E219" s="11" t="s">
        <v>140</v>
      </c>
      <c r="F219" s="11" t="s">
        <v>84</v>
      </c>
      <c r="G219" s="11" t="s">
        <v>53</v>
      </c>
      <c r="H219" s="12">
        <v>944.51</v>
      </c>
      <c r="I219" s="13">
        <v>0.17499999999999996</v>
      </c>
      <c r="J219" s="12">
        <v>190.08324999999996</v>
      </c>
      <c r="K219" s="12">
        <v>101.41614874999999</v>
      </c>
      <c r="L219" s="12">
        <v>141.68</v>
      </c>
      <c r="M219" t="s">
        <v>10</v>
      </c>
      <c r="N219" t="s">
        <v>85</v>
      </c>
      <c r="O219" t="s">
        <v>55</v>
      </c>
      <c r="P219" s="19">
        <v>46081</v>
      </c>
      <c r="Q219" s="47">
        <f>+H219+L219</f>
        <v>1086.19</v>
      </c>
      <c r="R219" s="47">
        <f>+J219+K219+L219</f>
        <v>433.17939874999996</v>
      </c>
      <c r="S219" s="47">
        <f>+MONTH(B219)</f>
        <v>1</v>
      </c>
      <c r="T219" s="47">
        <f>+YEAR(B219)</f>
        <v>2026</v>
      </c>
      <c r="U219" s="47" t="s">
        <v>364</v>
      </c>
    </row>
    <row r="220" spans="1:21" customFormat="1" ht="15" customHeight="1" x14ac:dyDescent="0.3">
      <c r="A220" s="10">
        <v>45299</v>
      </c>
      <c r="B220" s="10">
        <v>46023</v>
      </c>
      <c r="C220" s="10">
        <v>46034</v>
      </c>
      <c r="D220" s="11" t="s">
        <v>166</v>
      </c>
      <c r="E220" s="11" t="s">
        <v>140</v>
      </c>
      <c r="F220" s="11" t="s">
        <v>84</v>
      </c>
      <c r="G220" s="11" t="s">
        <v>53</v>
      </c>
      <c r="H220" s="12">
        <v>939.35000000000025</v>
      </c>
      <c r="I220" s="13">
        <v>0.17499999999999996</v>
      </c>
      <c r="J220" s="12">
        <v>189.04374999999999</v>
      </c>
      <c r="K220" s="12">
        <v>100.86314375000006</v>
      </c>
      <c r="L220" s="12">
        <v>140.9</v>
      </c>
      <c r="M220" t="s">
        <v>10</v>
      </c>
      <c r="N220" t="s">
        <v>85</v>
      </c>
      <c r="O220" t="s">
        <v>55</v>
      </c>
      <c r="P220" s="19">
        <v>46053</v>
      </c>
      <c r="Q220">
        <f>+H220+L220</f>
        <v>1080.2500000000002</v>
      </c>
      <c r="R220">
        <f>+J220+K220+L220</f>
        <v>430.80689375000009</v>
      </c>
      <c r="S220">
        <f>+MONTH(B220)</f>
        <v>1</v>
      </c>
      <c r="T220">
        <f>+YEAR(B220)</f>
        <v>2026</v>
      </c>
      <c r="U220" t="s">
        <v>42</v>
      </c>
    </row>
    <row r="221" spans="1:21" customFormat="1" ht="15" customHeight="1" x14ac:dyDescent="0.3">
      <c r="A221" s="10">
        <v>44701</v>
      </c>
      <c r="B221" s="10">
        <v>46023</v>
      </c>
      <c r="C221" s="10">
        <v>46049</v>
      </c>
      <c r="D221" s="11" t="s">
        <v>254</v>
      </c>
      <c r="E221" s="11" t="s">
        <v>246</v>
      </c>
      <c r="F221" s="11" t="s">
        <v>84</v>
      </c>
      <c r="G221" s="11" t="s">
        <v>53</v>
      </c>
      <c r="H221" s="12">
        <v>939.2700000000001</v>
      </c>
      <c r="I221" s="13">
        <v>0.17499999999999996</v>
      </c>
      <c r="J221" s="12">
        <v>189.02624999999998</v>
      </c>
      <c r="K221" s="12">
        <v>92.285115000000047</v>
      </c>
      <c r="L221" s="12">
        <v>140.88</v>
      </c>
      <c r="M221" t="s">
        <v>10</v>
      </c>
      <c r="N221" t="s">
        <v>85</v>
      </c>
      <c r="O221" t="s">
        <v>55</v>
      </c>
      <c r="P221" s="19">
        <v>46053</v>
      </c>
      <c r="Q221">
        <f>+H221+L221</f>
        <v>1080.1500000000001</v>
      </c>
      <c r="R221">
        <f>+J221+K221+L221</f>
        <v>422.19136500000002</v>
      </c>
      <c r="S221">
        <f>+MONTH(B221)</f>
        <v>1</v>
      </c>
      <c r="T221">
        <f>+YEAR(B221)</f>
        <v>2026</v>
      </c>
      <c r="U221" t="s">
        <v>42</v>
      </c>
    </row>
    <row r="222" spans="1:21" customFormat="1" ht="15" customHeight="1" x14ac:dyDescent="0.3">
      <c r="A222" s="10">
        <v>45299</v>
      </c>
      <c r="B222" s="10">
        <v>46023</v>
      </c>
      <c r="C222" s="10">
        <v>46034</v>
      </c>
      <c r="D222" s="11" t="s">
        <v>144</v>
      </c>
      <c r="E222" s="11" t="s">
        <v>140</v>
      </c>
      <c r="F222" s="11" t="s">
        <v>84</v>
      </c>
      <c r="G222" s="11" t="s">
        <v>53</v>
      </c>
      <c r="H222" s="12">
        <v>934.98</v>
      </c>
      <c r="I222" s="13">
        <v>0.17499999999999999</v>
      </c>
      <c r="J222" s="12">
        <v>188.16524999999999</v>
      </c>
      <c r="K222" s="12">
        <v>100.39295250000001</v>
      </c>
      <c r="L222" s="12">
        <v>140.25</v>
      </c>
      <c r="M222" t="s">
        <v>10</v>
      </c>
      <c r="N222" t="s">
        <v>85</v>
      </c>
      <c r="O222" t="s">
        <v>55</v>
      </c>
      <c r="P222" s="19">
        <v>46053</v>
      </c>
      <c r="Q222">
        <f>+H222+L222</f>
        <v>1075.23</v>
      </c>
      <c r="R222">
        <f>+J222+K222+L222</f>
        <v>428.80820249999999</v>
      </c>
      <c r="S222">
        <f>+MONTH(B222)</f>
        <v>1</v>
      </c>
      <c r="T222">
        <f>+YEAR(B222)</f>
        <v>2026</v>
      </c>
      <c r="U222" t="s">
        <v>42</v>
      </c>
    </row>
    <row r="223" spans="1:21" customFormat="1" ht="15" customHeight="1" x14ac:dyDescent="0.3">
      <c r="A223" s="10">
        <v>45299</v>
      </c>
      <c r="B223" s="10">
        <v>46023</v>
      </c>
      <c r="C223" s="10">
        <v>46034</v>
      </c>
      <c r="D223" s="11" t="s">
        <v>165</v>
      </c>
      <c r="E223" s="11" t="s">
        <v>140</v>
      </c>
      <c r="F223" s="11" t="s">
        <v>84</v>
      </c>
      <c r="G223" s="11" t="s">
        <v>53</v>
      </c>
      <c r="H223" s="12">
        <v>933.16999999999985</v>
      </c>
      <c r="I223" s="13">
        <v>0.17499999999999999</v>
      </c>
      <c r="J223" s="12">
        <v>187.79949999999997</v>
      </c>
      <c r="K223" s="12">
        <v>100.20009124999996</v>
      </c>
      <c r="L223" s="12">
        <v>139.97</v>
      </c>
      <c r="M223" t="s">
        <v>10</v>
      </c>
      <c r="N223" t="s">
        <v>85</v>
      </c>
      <c r="O223" t="s">
        <v>55</v>
      </c>
      <c r="P223" s="19">
        <v>46053</v>
      </c>
      <c r="Q223">
        <f>+H223+L223</f>
        <v>1073.1399999999999</v>
      </c>
      <c r="R223">
        <f>+J223+K223+L223</f>
        <v>427.96959124999989</v>
      </c>
      <c r="S223">
        <f>+MONTH(B223)</f>
        <v>1</v>
      </c>
      <c r="T223">
        <f>+YEAR(B223)</f>
        <v>2026</v>
      </c>
      <c r="U223" t="s">
        <v>42</v>
      </c>
    </row>
    <row r="224" spans="1:21" customFormat="1" ht="15" customHeight="1" x14ac:dyDescent="0.3">
      <c r="A224" s="10">
        <v>45299</v>
      </c>
      <c r="B224" s="10">
        <v>46023</v>
      </c>
      <c r="C224" s="10">
        <v>46034</v>
      </c>
      <c r="D224" s="11" t="s">
        <v>172</v>
      </c>
      <c r="E224" s="11" t="s">
        <v>140</v>
      </c>
      <c r="F224" s="11" t="s">
        <v>84</v>
      </c>
      <c r="G224" s="11" t="s">
        <v>53</v>
      </c>
      <c r="H224" s="12">
        <v>924.47000000000014</v>
      </c>
      <c r="I224" s="13">
        <v>0.17499999999999996</v>
      </c>
      <c r="J224" s="12">
        <v>186.04949999999997</v>
      </c>
      <c r="K224" s="12">
        <v>99.26505375000005</v>
      </c>
      <c r="L224" s="12">
        <v>138.66999999999999</v>
      </c>
      <c r="M224" t="s">
        <v>10</v>
      </c>
      <c r="N224" t="s">
        <v>85</v>
      </c>
      <c r="O224" t="s">
        <v>55</v>
      </c>
      <c r="P224" s="19">
        <v>46053</v>
      </c>
      <c r="Q224">
        <f>+H224+L224</f>
        <v>1063.1400000000001</v>
      </c>
      <c r="R224">
        <f>+J224+K224+L224</f>
        <v>423.98455375000003</v>
      </c>
      <c r="S224">
        <f>+MONTH(B224)</f>
        <v>1</v>
      </c>
      <c r="T224">
        <f>+YEAR(B224)</f>
        <v>2026</v>
      </c>
      <c r="U224" t="s">
        <v>42</v>
      </c>
    </row>
    <row r="225" spans="1:21" customFormat="1" ht="15" customHeight="1" x14ac:dyDescent="0.3">
      <c r="A225" s="10">
        <v>45299</v>
      </c>
      <c r="B225" s="10">
        <v>46023</v>
      </c>
      <c r="C225" s="10">
        <v>46034</v>
      </c>
      <c r="D225" s="11" t="s">
        <v>188</v>
      </c>
      <c r="E225" s="11" t="s">
        <v>140</v>
      </c>
      <c r="F225" s="11" t="s">
        <v>84</v>
      </c>
      <c r="G225" s="11" t="s">
        <v>53</v>
      </c>
      <c r="H225" s="12">
        <v>920.55999999999983</v>
      </c>
      <c r="I225" s="13">
        <v>0.17499999999999999</v>
      </c>
      <c r="J225" s="12">
        <v>185.26374999999996</v>
      </c>
      <c r="K225" s="12">
        <v>98.844079999999963</v>
      </c>
      <c r="L225" s="12">
        <v>138.09</v>
      </c>
      <c r="M225" t="s">
        <v>10</v>
      </c>
      <c r="N225" t="s">
        <v>85</v>
      </c>
      <c r="O225" t="s">
        <v>55</v>
      </c>
      <c r="P225" s="19">
        <v>46053</v>
      </c>
      <c r="Q225">
        <f>+H225+L225</f>
        <v>1058.6499999999999</v>
      </c>
      <c r="R225">
        <f>+J225+K225+L225</f>
        <v>422.19782999999995</v>
      </c>
      <c r="S225">
        <f>+MONTH(B225)</f>
        <v>1</v>
      </c>
      <c r="T225">
        <f>+YEAR(B225)</f>
        <v>2026</v>
      </c>
      <c r="U225" t="s">
        <v>42</v>
      </c>
    </row>
    <row r="226" spans="1:21" customFormat="1" ht="15" customHeight="1" x14ac:dyDescent="0.3">
      <c r="A226" s="10">
        <v>45299</v>
      </c>
      <c r="B226" s="10">
        <v>46023</v>
      </c>
      <c r="C226" s="10">
        <v>46034</v>
      </c>
      <c r="D226" s="11" t="s">
        <v>139</v>
      </c>
      <c r="E226" s="11" t="s">
        <v>140</v>
      </c>
      <c r="F226" s="11" t="s">
        <v>84</v>
      </c>
      <c r="G226" s="11" t="s">
        <v>53</v>
      </c>
      <c r="H226" s="12">
        <v>912.74000000000012</v>
      </c>
      <c r="I226" s="13">
        <v>0.17499999999999999</v>
      </c>
      <c r="J226" s="12">
        <v>183.68875</v>
      </c>
      <c r="K226" s="12">
        <v>98.005632500000019</v>
      </c>
      <c r="L226" s="12">
        <v>136.91</v>
      </c>
      <c r="M226" t="s">
        <v>10</v>
      </c>
      <c r="N226" t="s">
        <v>85</v>
      </c>
      <c r="O226" t="s">
        <v>55</v>
      </c>
      <c r="P226" s="19">
        <v>46053</v>
      </c>
      <c r="Q226">
        <f>+H226+L226</f>
        <v>1049.6500000000001</v>
      </c>
      <c r="R226">
        <f>+J226+K226+L226</f>
        <v>418.60438250000004</v>
      </c>
      <c r="S226">
        <f>+MONTH(B226)</f>
        <v>1</v>
      </c>
      <c r="T226">
        <f>+YEAR(B226)</f>
        <v>2026</v>
      </c>
      <c r="U226" t="s">
        <v>42</v>
      </c>
    </row>
    <row r="227" spans="1:21" customFormat="1" ht="15" customHeight="1" x14ac:dyDescent="0.3">
      <c r="A227" s="10">
        <v>46053</v>
      </c>
      <c r="B227" s="10">
        <v>46030</v>
      </c>
      <c r="C227" s="10">
        <v>46053</v>
      </c>
      <c r="D227" s="11" t="s">
        <v>44</v>
      </c>
      <c r="E227" s="11" t="s">
        <v>37</v>
      </c>
      <c r="F227" t="s">
        <v>38</v>
      </c>
      <c r="G227" s="11" t="s">
        <v>39</v>
      </c>
      <c r="H227" s="12">
        <v>910</v>
      </c>
      <c r="I227" s="13">
        <v>0.15</v>
      </c>
      <c r="J227" s="12">
        <v>156.97499999999999</v>
      </c>
      <c r="K227" s="12">
        <v>127.39999999999999</v>
      </c>
      <c r="L227" s="12">
        <v>116.02499999999999</v>
      </c>
      <c r="M227" t="s">
        <v>11</v>
      </c>
      <c r="N227" t="s">
        <v>40</v>
      </c>
      <c r="O227" t="s">
        <v>41</v>
      </c>
      <c r="P227" s="19">
        <v>46053</v>
      </c>
      <c r="Q227">
        <f>+H227+L227</f>
        <v>1026.0250000000001</v>
      </c>
      <c r="R227">
        <f>+J227+K227+L227</f>
        <v>400.4</v>
      </c>
      <c r="S227">
        <f>+MONTH(B227)</f>
        <v>1</v>
      </c>
      <c r="T227">
        <f>+YEAR(B227)</f>
        <v>2026</v>
      </c>
      <c r="U227" t="s">
        <v>42</v>
      </c>
    </row>
    <row r="228" spans="1:21" customFormat="1" ht="15" customHeight="1" x14ac:dyDescent="0.3">
      <c r="A228" s="10">
        <v>45299</v>
      </c>
      <c r="B228" s="10">
        <v>46023</v>
      </c>
      <c r="C228" s="10">
        <v>46034</v>
      </c>
      <c r="D228" s="11" t="s">
        <v>162</v>
      </c>
      <c r="E228" s="11" t="s">
        <v>140</v>
      </c>
      <c r="F228" s="11" t="s">
        <v>84</v>
      </c>
      <c r="G228" s="11" t="s">
        <v>53</v>
      </c>
      <c r="H228" s="12">
        <v>905.08999999999992</v>
      </c>
      <c r="I228" s="13">
        <v>0.17500000000000002</v>
      </c>
      <c r="J228" s="12">
        <v>182.14875000000001</v>
      </c>
      <c r="K228" s="12">
        <v>97.184651249999945</v>
      </c>
      <c r="L228" s="12">
        <v>135.76</v>
      </c>
      <c r="M228" t="s">
        <v>10</v>
      </c>
      <c r="N228" t="s">
        <v>85</v>
      </c>
      <c r="O228" t="s">
        <v>55</v>
      </c>
      <c r="P228" s="19">
        <v>46053</v>
      </c>
      <c r="Q228">
        <f>+H228+L228</f>
        <v>1040.8499999999999</v>
      </c>
      <c r="R228">
        <f>+J228+K228+L228</f>
        <v>415.09340124999994</v>
      </c>
      <c r="S228">
        <f>+MONTH(B228)</f>
        <v>1</v>
      </c>
      <c r="T228">
        <f>+YEAR(B228)</f>
        <v>2026</v>
      </c>
      <c r="U228" t="s">
        <v>42</v>
      </c>
    </row>
    <row r="229" spans="1:21" customFormat="1" ht="15" customHeight="1" x14ac:dyDescent="0.3">
      <c r="A229" s="10">
        <v>44854</v>
      </c>
      <c r="B229" s="10">
        <v>46023</v>
      </c>
      <c r="C229" s="10">
        <v>46049</v>
      </c>
      <c r="D229" s="11" t="s">
        <v>282</v>
      </c>
      <c r="E229" s="11" t="s">
        <v>246</v>
      </c>
      <c r="F229" s="11" t="s">
        <v>84</v>
      </c>
      <c r="G229" s="11" t="s">
        <v>53</v>
      </c>
      <c r="H229" s="12">
        <v>904.79</v>
      </c>
      <c r="I229" s="13">
        <v>0.17499999999999999</v>
      </c>
      <c r="J229" s="12">
        <v>182.08749999999998</v>
      </c>
      <c r="K229" s="12">
        <v>88.89710500000001</v>
      </c>
      <c r="L229" s="12">
        <v>135.71</v>
      </c>
      <c r="M229" t="s">
        <v>10</v>
      </c>
      <c r="N229" t="s">
        <v>85</v>
      </c>
      <c r="O229" t="s">
        <v>55</v>
      </c>
      <c r="P229" s="19">
        <v>46053</v>
      </c>
      <c r="Q229">
        <f>+H229+L229</f>
        <v>1040.5</v>
      </c>
      <c r="R229">
        <f>+J229+K229+L229</f>
        <v>406.69460500000002</v>
      </c>
      <c r="S229">
        <f>+MONTH(B229)</f>
        <v>1</v>
      </c>
      <c r="T229">
        <f>+YEAR(B229)</f>
        <v>2026</v>
      </c>
      <c r="U229" t="s">
        <v>42</v>
      </c>
    </row>
    <row r="230" spans="1:21" customFormat="1" ht="15" customHeight="1" x14ac:dyDescent="0.3">
      <c r="A230" s="10">
        <v>45427</v>
      </c>
      <c r="B230" s="10">
        <v>46023</v>
      </c>
      <c r="C230" s="10">
        <v>46034</v>
      </c>
      <c r="D230" s="11" t="s">
        <v>204</v>
      </c>
      <c r="E230" s="11" t="s">
        <v>140</v>
      </c>
      <c r="F230" s="11" t="s">
        <v>84</v>
      </c>
      <c r="G230" s="11" t="s">
        <v>53</v>
      </c>
      <c r="H230" s="12">
        <v>893.47</v>
      </c>
      <c r="I230" s="13">
        <v>0.17499999999999999</v>
      </c>
      <c r="J230" s="12">
        <v>179.81074999999998</v>
      </c>
      <c r="K230" s="12">
        <v>95.936428750000005</v>
      </c>
      <c r="L230" s="12">
        <v>134.02000000000001</v>
      </c>
      <c r="M230" t="s">
        <v>10</v>
      </c>
      <c r="N230" t="s">
        <v>85</v>
      </c>
      <c r="O230" t="s">
        <v>55</v>
      </c>
      <c r="P230" s="19">
        <v>46053</v>
      </c>
      <c r="Q230">
        <f>+H230+L230</f>
        <v>1027.49</v>
      </c>
      <c r="R230">
        <f>+J230+K230+L230</f>
        <v>409.76717874999997</v>
      </c>
      <c r="S230">
        <f>+MONTH(B230)</f>
        <v>1</v>
      </c>
      <c r="T230">
        <f>+YEAR(B230)</f>
        <v>2026</v>
      </c>
      <c r="U230" t="s">
        <v>42</v>
      </c>
    </row>
    <row r="231" spans="1:21" customFormat="1" ht="15" customHeight="1" x14ac:dyDescent="0.3">
      <c r="A231" s="10">
        <v>45299</v>
      </c>
      <c r="B231" s="10">
        <v>46023</v>
      </c>
      <c r="C231" s="10">
        <v>46034</v>
      </c>
      <c r="D231" s="11" t="s">
        <v>185</v>
      </c>
      <c r="E231" s="11" t="s">
        <v>140</v>
      </c>
      <c r="F231" s="11" t="s">
        <v>84</v>
      </c>
      <c r="G231" s="11" t="s">
        <v>53</v>
      </c>
      <c r="H231" s="12">
        <v>892.57</v>
      </c>
      <c r="I231" s="13">
        <v>0.17499999999999999</v>
      </c>
      <c r="J231" s="12">
        <v>179.63049999999998</v>
      </c>
      <c r="K231" s="12">
        <v>95.838916250000011</v>
      </c>
      <c r="L231" s="12">
        <v>133.88999999999999</v>
      </c>
      <c r="M231" t="s">
        <v>10</v>
      </c>
      <c r="N231" t="s">
        <v>85</v>
      </c>
      <c r="O231" t="s">
        <v>55</v>
      </c>
      <c r="P231" s="19">
        <v>46053</v>
      </c>
      <c r="Q231">
        <f>+H231+L231</f>
        <v>1026.46</v>
      </c>
      <c r="R231">
        <f>+J231+K231+L231</f>
        <v>409.35941624999998</v>
      </c>
      <c r="S231">
        <f>+MONTH(B231)</f>
        <v>1</v>
      </c>
      <c r="T231">
        <f>+YEAR(B231)</f>
        <v>2026</v>
      </c>
      <c r="U231" t="s">
        <v>42</v>
      </c>
    </row>
    <row r="232" spans="1:21" customFormat="1" ht="15" customHeight="1" x14ac:dyDescent="0.3">
      <c r="A232" s="10">
        <v>45330</v>
      </c>
      <c r="B232" s="10">
        <v>46023</v>
      </c>
      <c r="C232" s="10">
        <v>46034</v>
      </c>
      <c r="D232" s="11" t="s">
        <v>183</v>
      </c>
      <c r="E232" s="11" t="s">
        <v>140</v>
      </c>
      <c r="F232" s="11" t="s">
        <v>84</v>
      </c>
      <c r="G232" s="11" t="s">
        <v>53</v>
      </c>
      <c r="H232" s="12">
        <v>889.91</v>
      </c>
      <c r="I232" s="13">
        <v>0.17499999999999996</v>
      </c>
      <c r="J232" s="12">
        <v>179.09499999999997</v>
      </c>
      <c r="K232" s="12">
        <v>95.553473750000023</v>
      </c>
      <c r="L232" s="12">
        <v>133.49</v>
      </c>
      <c r="M232" t="s">
        <v>10</v>
      </c>
      <c r="N232" t="s">
        <v>85</v>
      </c>
      <c r="O232" t="s">
        <v>55</v>
      </c>
      <c r="P232" s="19">
        <v>46053</v>
      </c>
      <c r="Q232">
        <f>+H232+L232</f>
        <v>1023.4</v>
      </c>
      <c r="R232">
        <f>+J232+K232+L232</f>
        <v>408.13847375</v>
      </c>
      <c r="S232">
        <f>+MONTH(B232)</f>
        <v>1</v>
      </c>
      <c r="T232">
        <f>+YEAR(B232)</f>
        <v>2026</v>
      </c>
      <c r="U232" t="s">
        <v>42</v>
      </c>
    </row>
    <row r="233" spans="1:21" customFormat="1" ht="15" customHeight="1" x14ac:dyDescent="0.3">
      <c r="A233" s="10">
        <v>45363</v>
      </c>
      <c r="B233" s="10">
        <v>46023</v>
      </c>
      <c r="C233" s="10">
        <v>46034</v>
      </c>
      <c r="D233" s="11" t="s">
        <v>147</v>
      </c>
      <c r="E233" s="11" t="s">
        <v>140</v>
      </c>
      <c r="F233" s="11" t="s">
        <v>84</v>
      </c>
      <c r="G233" s="11" t="s">
        <v>53</v>
      </c>
      <c r="H233" s="12">
        <v>886.53000000000009</v>
      </c>
      <c r="I233" s="13">
        <v>0.17499999999999996</v>
      </c>
      <c r="J233" s="12">
        <v>178.41249999999999</v>
      </c>
      <c r="K233" s="12">
        <v>95.192821250000037</v>
      </c>
      <c r="L233" s="12">
        <v>132.97</v>
      </c>
      <c r="M233" t="s">
        <v>10</v>
      </c>
      <c r="N233" t="s">
        <v>85</v>
      </c>
      <c r="O233" t="s">
        <v>55</v>
      </c>
      <c r="P233" s="19">
        <v>46053</v>
      </c>
      <c r="Q233">
        <f>+H233+L233</f>
        <v>1019.5000000000001</v>
      </c>
      <c r="R233">
        <f>+J233+K233+L233</f>
        <v>406.57532125</v>
      </c>
      <c r="S233">
        <f>+MONTH(B233)</f>
        <v>1</v>
      </c>
      <c r="T233">
        <f>+YEAR(B233)</f>
        <v>2026</v>
      </c>
      <c r="U233" t="s">
        <v>42</v>
      </c>
    </row>
    <row r="234" spans="1:21" customFormat="1" ht="15" customHeight="1" x14ac:dyDescent="0.3">
      <c r="A234" s="10">
        <v>44707</v>
      </c>
      <c r="B234" s="10">
        <v>46023</v>
      </c>
      <c r="C234" s="10">
        <v>46049</v>
      </c>
      <c r="D234" s="11" t="s">
        <v>266</v>
      </c>
      <c r="E234" s="11" t="s">
        <v>246</v>
      </c>
      <c r="F234" s="11" t="s">
        <v>84</v>
      </c>
      <c r="G234" s="11" t="s">
        <v>53</v>
      </c>
      <c r="H234" s="12">
        <v>881.7399999999999</v>
      </c>
      <c r="I234" s="13">
        <v>0.17499999999999999</v>
      </c>
      <c r="J234" s="12">
        <v>177.45174999999998</v>
      </c>
      <c r="K234" s="12">
        <v>86.629379999999998</v>
      </c>
      <c r="L234" s="12">
        <v>132.27000000000001</v>
      </c>
      <c r="M234" t="s">
        <v>10</v>
      </c>
      <c r="N234" t="s">
        <v>85</v>
      </c>
      <c r="O234" t="s">
        <v>55</v>
      </c>
      <c r="P234" s="19">
        <v>46053</v>
      </c>
      <c r="Q234">
        <f>+H234+L234</f>
        <v>1014.0099999999999</v>
      </c>
      <c r="R234">
        <f>+J234+K234+L234</f>
        <v>396.35113000000001</v>
      </c>
      <c r="S234">
        <f>+MONTH(B234)</f>
        <v>1</v>
      </c>
      <c r="T234">
        <f>+YEAR(B234)</f>
        <v>2026</v>
      </c>
      <c r="U234" t="s">
        <v>42</v>
      </c>
    </row>
    <row r="235" spans="1:21" customFormat="1" ht="15" customHeight="1" x14ac:dyDescent="0.3">
      <c r="A235" s="10">
        <v>45363</v>
      </c>
      <c r="B235" s="10">
        <v>46023</v>
      </c>
      <c r="C235" s="10">
        <v>46034</v>
      </c>
      <c r="D235" s="11" t="s">
        <v>154</v>
      </c>
      <c r="E235" s="11" t="s">
        <v>140</v>
      </c>
      <c r="F235" s="11" t="s">
        <v>84</v>
      </c>
      <c r="G235" s="11" t="s">
        <v>53</v>
      </c>
      <c r="H235" s="12">
        <v>878.32000000000016</v>
      </c>
      <c r="I235" s="13">
        <v>0.17499999999999993</v>
      </c>
      <c r="J235" s="12">
        <v>176.76224999999997</v>
      </c>
      <c r="K235" s="12">
        <v>94.30926000000008</v>
      </c>
      <c r="L235" s="12">
        <v>131.75</v>
      </c>
      <c r="M235" t="s">
        <v>10</v>
      </c>
      <c r="N235" t="s">
        <v>85</v>
      </c>
      <c r="O235" t="s">
        <v>55</v>
      </c>
      <c r="P235" s="19">
        <v>46053</v>
      </c>
      <c r="Q235">
        <f>+H235+L235</f>
        <v>1010.0700000000002</v>
      </c>
      <c r="R235">
        <f>+J235+K235+L235</f>
        <v>402.82151000000005</v>
      </c>
      <c r="S235">
        <f>+MONTH(B235)</f>
        <v>1</v>
      </c>
      <c r="T235">
        <f>+YEAR(B235)</f>
        <v>2026</v>
      </c>
      <c r="U235" t="s">
        <v>42</v>
      </c>
    </row>
    <row r="236" spans="1:21" customFormat="1" ht="15" customHeight="1" x14ac:dyDescent="0.3">
      <c r="A236" s="10">
        <v>45299</v>
      </c>
      <c r="B236" s="10">
        <v>46023</v>
      </c>
      <c r="C236" s="10">
        <v>46034</v>
      </c>
      <c r="D236" s="11" t="s">
        <v>197</v>
      </c>
      <c r="E236" s="11" t="s">
        <v>140</v>
      </c>
      <c r="F236" s="11" t="s">
        <v>84</v>
      </c>
      <c r="G236" s="11" t="s">
        <v>53</v>
      </c>
      <c r="H236" s="12">
        <v>876.88</v>
      </c>
      <c r="I236" s="13">
        <v>0.17500000000000002</v>
      </c>
      <c r="J236" s="12">
        <v>176.47</v>
      </c>
      <c r="K236" s="12">
        <v>94.157090000000011</v>
      </c>
      <c r="L236" s="12">
        <v>131.52000000000001</v>
      </c>
      <c r="M236" t="s">
        <v>10</v>
      </c>
      <c r="N236" t="s">
        <v>85</v>
      </c>
      <c r="O236" t="s">
        <v>55</v>
      </c>
      <c r="P236" s="19">
        <v>46053</v>
      </c>
      <c r="Q236">
        <f>+H236+L236</f>
        <v>1008.4</v>
      </c>
      <c r="R236">
        <f>+J236+K236+L236</f>
        <v>402.14709000000005</v>
      </c>
      <c r="S236">
        <f>+MONTH(B236)</f>
        <v>1</v>
      </c>
      <c r="T236">
        <f>+YEAR(B236)</f>
        <v>2026</v>
      </c>
      <c r="U236" t="s">
        <v>42</v>
      </c>
    </row>
    <row r="237" spans="1:21" customFormat="1" ht="15" customHeight="1" x14ac:dyDescent="0.3">
      <c r="A237" s="10">
        <v>44701</v>
      </c>
      <c r="B237" s="10">
        <v>46023</v>
      </c>
      <c r="C237" s="10">
        <v>46049</v>
      </c>
      <c r="D237" s="11" t="s">
        <v>252</v>
      </c>
      <c r="E237" s="11" t="s">
        <v>246</v>
      </c>
      <c r="F237" s="11" t="s">
        <v>84</v>
      </c>
      <c r="G237" s="11" t="s">
        <v>53</v>
      </c>
      <c r="H237" s="12">
        <v>843.76000000000022</v>
      </c>
      <c r="I237" s="13">
        <v>0.17499999999999999</v>
      </c>
      <c r="J237" s="12">
        <v>169.80600000000001</v>
      </c>
      <c r="K237" s="12">
        <v>82.900120000000044</v>
      </c>
      <c r="L237" s="12">
        <v>126.56</v>
      </c>
      <c r="M237" t="s">
        <v>10</v>
      </c>
      <c r="N237" t="s">
        <v>85</v>
      </c>
      <c r="O237" t="s">
        <v>55</v>
      </c>
      <c r="P237" s="19">
        <v>46053</v>
      </c>
      <c r="Q237">
        <f>+H237+L237</f>
        <v>970.32000000000016</v>
      </c>
      <c r="R237">
        <f>+J237+K237+L237</f>
        <v>379.26612000000006</v>
      </c>
      <c r="S237">
        <f>+MONTH(B237)</f>
        <v>1</v>
      </c>
      <c r="T237">
        <f>+YEAR(B237)</f>
        <v>2026</v>
      </c>
      <c r="U237" t="s">
        <v>42</v>
      </c>
    </row>
    <row r="238" spans="1:21" customFormat="1" ht="15" customHeight="1" x14ac:dyDescent="0.3">
      <c r="A238" s="10">
        <v>45342</v>
      </c>
      <c r="B238" s="10">
        <v>46023</v>
      </c>
      <c r="C238" s="10">
        <v>46034</v>
      </c>
      <c r="D238" s="11" t="s">
        <v>186</v>
      </c>
      <c r="E238" s="11" t="s">
        <v>140</v>
      </c>
      <c r="F238" s="11" t="s">
        <v>84</v>
      </c>
      <c r="G238" s="11" t="s">
        <v>53</v>
      </c>
      <c r="H238" s="12">
        <v>834.37</v>
      </c>
      <c r="I238" s="13">
        <v>0.17499999999999999</v>
      </c>
      <c r="J238" s="12">
        <v>167.916</v>
      </c>
      <c r="K238" s="12">
        <v>89.591441250000003</v>
      </c>
      <c r="L238" s="12">
        <v>125.15</v>
      </c>
      <c r="M238" t="s">
        <v>10</v>
      </c>
      <c r="N238" t="s">
        <v>85</v>
      </c>
      <c r="O238" t="s">
        <v>55</v>
      </c>
      <c r="P238" s="19">
        <v>46053</v>
      </c>
      <c r="Q238">
        <f>+H238+L238</f>
        <v>959.52</v>
      </c>
      <c r="R238">
        <f>+J238+K238+L238</f>
        <v>382.65744125000003</v>
      </c>
      <c r="S238">
        <f>+MONTH(B238)</f>
        <v>1</v>
      </c>
      <c r="T238">
        <f>+YEAR(B238)</f>
        <v>2026</v>
      </c>
      <c r="U238" t="s">
        <v>42</v>
      </c>
    </row>
    <row r="239" spans="1:21" customFormat="1" ht="15" customHeight="1" x14ac:dyDescent="0.3">
      <c r="A239" s="10">
        <v>45299</v>
      </c>
      <c r="B239" s="10">
        <v>46023</v>
      </c>
      <c r="C239" s="10">
        <v>46034</v>
      </c>
      <c r="D239" s="11" t="s">
        <v>153</v>
      </c>
      <c r="E239" s="11" t="s">
        <v>140</v>
      </c>
      <c r="F239" s="11" t="s">
        <v>84</v>
      </c>
      <c r="G239" s="11" t="s">
        <v>53</v>
      </c>
      <c r="H239" s="12">
        <v>833.34</v>
      </c>
      <c r="I239" s="13">
        <v>0.17499999999999999</v>
      </c>
      <c r="J239" s="12">
        <v>167.70949999999999</v>
      </c>
      <c r="K239" s="12">
        <v>89.480057499999987</v>
      </c>
      <c r="L239" s="12">
        <v>125</v>
      </c>
      <c r="M239" t="s">
        <v>10</v>
      </c>
      <c r="N239" t="s">
        <v>85</v>
      </c>
      <c r="O239" t="s">
        <v>55</v>
      </c>
      <c r="P239" s="19">
        <v>46053</v>
      </c>
      <c r="Q239">
        <f>+H239+L239</f>
        <v>958.34</v>
      </c>
      <c r="R239">
        <f>+J239+K239+L239</f>
        <v>382.18955749999998</v>
      </c>
      <c r="S239">
        <f>+MONTH(B239)</f>
        <v>1</v>
      </c>
      <c r="T239">
        <f>+YEAR(B239)</f>
        <v>2026</v>
      </c>
      <c r="U239" t="s">
        <v>42</v>
      </c>
    </row>
    <row r="240" spans="1:21" ht="15" customHeight="1" x14ac:dyDescent="0.3">
      <c r="A240" s="10">
        <v>44897</v>
      </c>
      <c r="B240" s="10">
        <v>44897</v>
      </c>
      <c r="C240" s="10">
        <v>46057</v>
      </c>
      <c r="D240" s="11" t="s">
        <v>433</v>
      </c>
      <c r="E240" s="11" t="s">
        <v>434</v>
      </c>
      <c r="F240" s="11" t="s">
        <v>84</v>
      </c>
      <c r="G240" s="11" t="s">
        <v>53</v>
      </c>
      <c r="H240" s="12">
        <v>212.80539130434803</v>
      </c>
      <c r="I240" s="13">
        <v>0.17500000000000013</v>
      </c>
      <c r="J240" s="12">
        <v>42.827085000000075</v>
      </c>
      <c r="K240" s="12">
        <v>20.908129695652157</v>
      </c>
      <c r="L240" s="12">
        <v>31.920808695652202</v>
      </c>
      <c r="M240" t="s">
        <v>10</v>
      </c>
      <c r="N240" t="s">
        <v>54</v>
      </c>
      <c r="O240" t="s">
        <v>55</v>
      </c>
      <c r="P240" s="19">
        <v>46081</v>
      </c>
      <c r="Q240" s="47">
        <f>+H240+L240</f>
        <v>244.72620000000023</v>
      </c>
      <c r="R240" s="47">
        <f>+J240+K240+L240</f>
        <v>95.65602339130443</v>
      </c>
      <c r="S240" s="47">
        <f>+MONTH(B240)</f>
        <v>12</v>
      </c>
      <c r="T240" s="47">
        <f>+YEAR(B240)</f>
        <v>2022</v>
      </c>
      <c r="U240" s="47" t="s">
        <v>364</v>
      </c>
    </row>
    <row r="241" spans="1:21" ht="15" customHeight="1" x14ac:dyDescent="0.3">
      <c r="A241" s="10">
        <v>45658</v>
      </c>
      <c r="B241" s="10">
        <v>45658</v>
      </c>
      <c r="C241" s="10">
        <v>46062</v>
      </c>
      <c r="D241" s="11" t="s">
        <v>435</v>
      </c>
      <c r="E241" s="11" t="s">
        <v>436</v>
      </c>
      <c r="F241" s="11" t="s">
        <v>52</v>
      </c>
      <c r="G241" s="11" t="s">
        <v>53</v>
      </c>
      <c r="H241" s="12">
        <v>23478.260869565202</v>
      </c>
      <c r="I241" s="13">
        <v>0.12173925925925934</v>
      </c>
      <c r="J241" s="12">
        <v>3286.96</v>
      </c>
      <c r="K241" s="12">
        <v>3996.5834782608636</v>
      </c>
      <c r="L241" s="12">
        <v>3521.7391304347798</v>
      </c>
      <c r="M241" t="s">
        <v>10</v>
      </c>
      <c r="N241" t="s">
        <v>54</v>
      </c>
      <c r="O241" t="s">
        <v>55</v>
      </c>
      <c r="P241" s="19">
        <v>46081</v>
      </c>
      <c r="Q241" s="47">
        <f>+H241+L241</f>
        <v>26999.999999999982</v>
      </c>
      <c r="R241" s="47">
        <f>+J241+K241+L241</f>
        <v>10805.282608695643</v>
      </c>
      <c r="S241" s="47">
        <f>+MONTH(B241)</f>
        <v>1</v>
      </c>
      <c r="T241" s="47">
        <f>+YEAR(B241)</f>
        <v>2025</v>
      </c>
      <c r="U241" s="47" t="s">
        <v>364</v>
      </c>
    </row>
    <row r="242" spans="1:21" ht="15" customHeight="1" x14ac:dyDescent="0.3">
      <c r="A242" s="10">
        <v>45658</v>
      </c>
      <c r="B242" s="10">
        <v>45658</v>
      </c>
      <c r="C242" s="10">
        <v>46062</v>
      </c>
      <c r="D242" s="11" t="s">
        <v>437</v>
      </c>
      <c r="E242" s="11" t="s">
        <v>436</v>
      </c>
      <c r="F242" s="11" t="s">
        <v>52</v>
      </c>
      <c r="G242" s="11" t="s">
        <v>53</v>
      </c>
      <c r="H242" s="12">
        <v>14086.956521739099</v>
      </c>
      <c r="I242" s="13">
        <v>0.12173888888888913</v>
      </c>
      <c r="J242" s="12">
        <v>1972.17</v>
      </c>
      <c r="K242" s="12">
        <v>2397.9560869565112</v>
      </c>
      <c r="L242" s="12">
        <v>2113.04347826087</v>
      </c>
      <c r="M242" t="s">
        <v>10</v>
      </c>
      <c r="N242" t="s">
        <v>54</v>
      </c>
      <c r="O242" t="s">
        <v>55</v>
      </c>
      <c r="P242" s="19">
        <v>46081</v>
      </c>
      <c r="Q242" s="47">
        <f>+H242+L242</f>
        <v>16199.999999999969</v>
      </c>
      <c r="R242" s="47">
        <f>+J242+K242+L242</f>
        <v>6483.1695652173812</v>
      </c>
      <c r="S242" s="47">
        <f>+MONTH(B242)</f>
        <v>1</v>
      </c>
      <c r="T242" s="47">
        <f>+YEAR(B242)</f>
        <v>2025</v>
      </c>
      <c r="U242" s="47" t="s">
        <v>364</v>
      </c>
    </row>
    <row r="243" spans="1:21" ht="15" customHeight="1" x14ac:dyDescent="0.3">
      <c r="A243" s="10">
        <v>45658</v>
      </c>
      <c r="B243" s="10">
        <v>45658</v>
      </c>
      <c r="C243" s="10">
        <v>46062</v>
      </c>
      <c r="D243" s="11" t="s">
        <v>438</v>
      </c>
      <c r="E243" s="11" t="s">
        <v>439</v>
      </c>
      <c r="F243" s="11" t="s">
        <v>52</v>
      </c>
      <c r="G243" s="11" t="s">
        <v>53</v>
      </c>
      <c r="H243" s="12">
        <v>4173.9130434782601</v>
      </c>
      <c r="I243" s="13">
        <v>0.12173958333333336</v>
      </c>
      <c r="J243" s="12">
        <v>584.35</v>
      </c>
      <c r="K243" s="12">
        <v>710.50217391304307</v>
      </c>
      <c r="L243" s="12">
        <v>626.08695652173901</v>
      </c>
      <c r="M243" t="s">
        <v>10</v>
      </c>
      <c r="N243" t="s">
        <v>54</v>
      </c>
      <c r="O243" t="s">
        <v>55</v>
      </c>
      <c r="P243" s="19">
        <v>46081</v>
      </c>
      <c r="Q243" s="47">
        <f>+H243+L243</f>
        <v>4799.9999999999991</v>
      </c>
      <c r="R243" s="47">
        <f>+J243+K243+L243</f>
        <v>1920.9391304347821</v>
      </c>
      <c r="S243" s="47">
        <f>+MONTH(B243)</f>
        <v>1</v>
      </c>
      <c r="T243" s="47">
        <f>+YEAR(B243)</f>
        <v>2025</v>
      </c>
      <c r="U243" s="47" t="s">
        <v>364</v>
      </c>
    </row>
    <row r="244" spans="1:21" ht="15" customHeight="1" x14ac:dyDescent="0.3">
      <c r="A244" s="10">
        <v>45658</v>
      </c>
      <c r="B244" s="10">
        <v>45658</v>
      </c>
      <c r="C244" s="10">
        <v>46062</v>
      </c>
      <c r="D244" s="11" t="s">
        <v>440</v>
      </c>
      <c r="E244" s="11" t="s">
        <v>441</v>
      </c>
      <c r="F244" s="11" t="s">
        <v>52</v>
      </c>
      <c r="G244" s="11" t="s">
        <v>53</v>
      </c>
      <c r="H244" s="12">
        <v>23478.260869565202</v>
      </c>
      <c r="I244" s="13">
        <v>0.14018259259259269</v>
      </c>
      <c r="J244" s="12">
        <v>3784.93</v>
      </c>
      <c r="K244" s="12">
        <v>3498.6134782608638</v>
      </c>
      <c r="L244" s="12">
        <v>3521.7391304347798</v>
      </c>
      <c r="M244" t="s">
        <v>10</v>
      </c>
      <c r="N244" t="s">
        <v>54</v>
      </c>
      <c r="O244" t="s">
        <v>55</v>
      </c>
      <c r="P244" s="19">
        <v>46081</v>
      </c>
      <c r="Q244" s="47">
        <f>+H244+L244</f>
        <v>26999.999999999982</v>
      </c>
      <c r="R244" s="47">
        <f>+J244+K244+L244</f>
        <v>10805.282608695643</v>
      </c>
      <c r="S244" s="47">
        <f>+MONTH(B244)</f>
        <v>1</v>
      </c>
      <c r="T244" s="47">
        <f>+YEAR(B244)</f>
        <v>2025</v>
      </c>
      <c r="U244" s="47" t="s">
        <v>364</v>
      </c>
    </row>
    <row r="245" spans="1:21" ht="15" customHeight="1" x14ac:dyDescent="0.3">
      <c r="A245" s="10">
        <v>45658</v>
      </c>
      <c r="B245" s="10">
        <v>45658</v>
      </c>
      <c r="C245" s="10">
        <v>46062</v>
      </c>
      <c r="D245" s="11" t="s">
        <v>442</v>
      </c>
      <c r="E245" s="11" t="s">
        <v>441</v>
      </c>
      <c r="F245" s="11" t="s">
        <v>52</v>
      </c>
      <c r="G245" s="11" t="s">
        <v>53</v>
      </c>
      <c r="H245" s="12">
        <v>14086.956521739099</v>
      </c>
      <c r="I245" s="13">
        <v>0.14018271604938298</v>
      </c>
      <c r="J245" s="12">
        <v>2270.96</v>
      </c>
      <c r="K245" s="12">
        <v>2099.1660869565112</v>
      </c>
      <c r="L245" s="12">
        <v>2113.04347826087</v>
      </c>
      <c r="M245" t="s">
        <v>10</v>
      </c>
      <c r="N245" t="s">
        <v>54</v>
      </c>
      <c r="O245" t="s">
        <v>55</v>
      </c>
      <c r="P245" s="19">
        <v>46081</v>
      </c>
      <c r="Q245" s="47">
        <f>+H245+L245</f>
        <v>16199.999999999969</v>
      </c>
      <c r="R245" s="47">
        <f>+J245+K245+L245</f>
        <v>6483.1695652173812</v>
      </c>
      <c r="S245" s="47">
        <f>+MONTH(B245)</f>
        <v>1</v>
      </c>
      <c r="T245" s="47">
        <f>+YEAR(B245)</f>
        <v>2025</v>
      </c>
      <c r="U245" s="47" t="s">
        <v>364</v>
      </c>
    </row>
    <row r="246" spans="1:21" ht="15" customHeight="1" x14ac:dyDescent="0.3">
      <c r="A246" s="10">
        <v>45658</v>
      </c>
      <c r="B246" s="10">
        <v>45658</v>
      </c>
      <c r="C246" s="10">
        <v>46062</v>
      </c>
      <c r="D246" s="11" t="s">
        <v>443</v>
      </c>
      <c r="E246" s="11" t="s">
        <v>444</v>
      </c>
      <c r="F246" s="11" t="s">
        <v>52</v>
      </c>
      <c r="G246" s="11" t="s">
        <v>53</v>
      </c>
      <c r="H246" s="12">
        <v>23478.260869565202</v>
      </c>
      <c r="I246" s="13">
        <v>0.14018259259259269</v>
      </c>
      <c r="J246" s="12">
        <v>3784.93</v>
      </c>
      <c r="K246" s="12">
        <v>3498.6134782608638</v>
      </c>
      <c r="L246" s="12">
        <v>3521.7391304347798</v>
      </c>
      <c r="M246" t="s">
        <v>10</v>
      </c>
      <c r="N246" t="s">
        <v>54</v>
      </c>
      <c r="O246" t="s">
        <v>55</v>
      </c>
      <c r="P246" s="19">
        <v>46081</v>
      </c>
      <c r="Q246" s="47">
        <f>+H246+L246</f>
        <v>26999.999999999982</v>
      </c>
      <c r="R246" s="47">
        <f>+J246+K246+L246</f>
        <v>10805.282608695643</v>
      </c>
      <c r="S246" s="47">
        <f>+MONTH(B246)</f>
        <v>1</v>
      </c>
      <c r="T246" s="47">
        <f>+YEAR(B246)</f>
        <v>2025</v>
      </c>
      <c r="U246" s="47" t="s">
        <v>364</v>
      </c>
    </row>
    <row r="247" spans="1:21" ht="15" customHeight="1" x14ac:dyDescent="0.3">
      <c r="A247" s="10">
        <v>45658</v>
      </c>
      <c r="B247" s="10">
        <v>45658</v>
      </c>
      <c r="C247" s="10">
        <v>46062</v>
      </c>
      <c r="D247" s="11" t="s">
        <v>445</v>
      </c>
      <c r="E247" s="11" t="s">
        <v>444</v>
      </c>
      <c r="F247" s="11" t="s">
        <v>52</v>
      </c>
      <c r="G247" s="11" t="s">
        <v>53</v>
      </c>
      <c r="H247" s="12">
        <v>14086.956521739099</v>
      </c>
      <c r="I247" s="13">
        <v>0.14018271604938298</v>
      </c>
      <c r="J247" s="12">
        <v>2270.96</v>
      </c>
      <c r="K247" s="12">
        <v>2099.1660869565112</v>
      </c>
      <c r="L247" s="12">
        <v>2113.04347826087</v>
      </c>
      <c r="M247" t="s">
        <v>10</v>
      </c>
      <c r="N247" t="s">
        <v>54</v>
      </c>
      <c r="O247" t="s">
        <v>55</v>
      </c>
      <c r="P247" s="19">
        <v>46081</v>
      </c>
      <c r="Q247" s="47">
        <f>+H247+L247</f>
        <v>16199.999999999969</v>
      </c>
      <c r="R247" s="47">
        <f>+J247+K247+L247</f>
        <v>6483.1695652173812</v>
      </c>
      <c r="S247" s="47">
        <f>+MONTH(B247)</f>
        <v>1</v>
      </c>
      <c r="T247" s="47">
        <f>+YEAR(B247)</f>
        <v>2025</v>
      </c>
      <c r="U247" s="47" t="s">
        <v>364</v>
      </c>
    </row>
    <row r="248" spans="1:21" ht="15" customHeight="1" x14ac:dyDescent="0.3">
      <c r="A248" s="10">
        <v>45658</v>
      </c>
      <c r="B248" s="10">
        <v>45658</v>
      </c>
      <c r="C248" s="10">
        <v>46062</v>
      </c>
      <c r="D248" s="11" t="s">
        <v>446</v>
      </c>
      <c r="E248" s="11" t="s">
        <v>447</v>
      </c>
      <c r="F248" s="11" t="s">
        <v>52</v>
      </c>
      <c r="G248" s="11" t="s">
        <v>53</v>
      </c>
      <c r="H248" s="12">
        <v>23478.260869565202</v>
      </c>
      <c r="I248" s="13">
        <v>0.12173925925925934</v>
      </c>
      <c r="J248" s="12">
        <v>3286.96</v>
      </c>
      <c r="K248" s="12">
        <v>3996.5834782608636</v>
      </c>
      <c r="L248" s="12">
        <v>3521.7391304347798</v>
      </c>
      <c r="M248" t="s">
        <v>10</v>
      </c>
      <c r="N248" t="s">
        <v>54</v>
      </c>
      <c r="O248" t="s">
        <v>55</v>
      </c>
      <c r="P248" s="19">
        <v>46081</v>
      </c>
      <c r="Q248" s="47">
        <f>+H248+L248</f>
        <v>26999.999999999982</v>
      </c>
      <c r="R248" s="47">
        <f>+J248+K248+L248</f>
        <v>10805.282608695643</v>
      </c>
      <c r="S248" s="47">
        <f>+MONTH(B248)</f>
        <v>1</v>
      </c>
      <c r="T248" s="47">
        <f>+YEAR(B248)</f>
        <v>2025</v>
      </c>
      <c r="U248" s="47" t="s">
        <v>364</v>
      </c>
    </row>
    <row r="249" spans="1:21" ht="15" customHeight="1" x14ac:dyDescent="0.3">
      <c r="A249" s="10">
        <v>45658</v>
      </c>
      <c r="B249" s="10">
        <v>45658</v>
      </c>
      <c r="C249" s="10">
        <v>46062</v>
      </c>
      <c r="D249" s="11" t="s">
        <v>448</v>
      </c>
      <c r="E249" s="11" t="s">
        <v>447</v>
      </c>
      <c r="F249" s="11" t="s">
        <v>52</v>
      </c>
      <c r="G249" s="11" t="s">
        <v>53</v>
      </c>
      <c r="H249" s="12">
        <v>14086.956521739099</v>
      </c>
      <c r="I249" s="13">
        <v>0.12173888888888913</v>
      </c>
      <c r="J249" s="12">
        <v>1972.17</v>
      </c>
      <c r="K249" s="12">
        <v>2397.9560869565112</v>
      </c>
      <c r="L249" s="12">
        <v>2113.04347826087</v>
      </c>
      <c r="M249" t="s">
        <v>10</v>
      </c>
      <c r="N249" t="s">
        <v>54</v>
      </c>
      <c r="O249" t="s">
        <v>55</v>
      </c>
      <c r="P249" s="19">
        <v>46081</v>
      </c>
      <c r="Q249" s="47">
        <f>+H249+L249</f>
        <v>16199.999999999969</v>
      </c>
      <c r="R249" s="47">
        <f>+J249+K249+L249</f>
        <v>6483.1695652173812</v>
      </c>
      <c r="S249" s="47">
        <f>+MONTH(B249)</f>
        <v>1</v>
      </c>
      <c r="T249" s="47">
        <f>+YEAR(B249)</f>
        <v>2025</v>
      </c>
      <c r="U249" s="47" t="s">
        <v>364</v>
      </c>
    </row>
    <row r="250" spans="1:21" ht="15" customHeight="1" x14ac:dyDescent="0.3">
      <c r="A250" s="10">
        <v>45658</v>
      </c>
      <c r="B250" s="10">
        <v>45658</v>
      </c>
      <c r="C250" s="10">
        <v>46062</v>
      </c>
      <c r="D250" s="11" t="s">
        <v>449</v>
      </c>
      <c r="E250" s="11" t="s">
        <v>450</v>
      </c>
      <c r="F250" s="11" t="s">
        <v>52</v>
      </c>
      <c r="G250" s="11" t="s">
        <v>53</v>
      </c>
      <c r="H250" s="12">
        <v>23478.260869565202</v>
      </c>
      <c r="I250" s="13">
        <v>0.14018259259259269</v>
      </c>
      <c r="J250" s="12">
        <v>3784.93</v>
      </c>
      <c r="K250" s="12">
        <v>3498.6134782608638</v>
      </c>
      <c r="L250" s="12">
        <v>3521.7391304347798</v>
      </c>
      <c r="M250" t="s">
        <v>10</v>
      </c>
      <c r="N250" t="s">
        <v>54</v>
      </c>
      <c r="O250" t="s">
        <v>55</v>
      </c>
      <c r="P250" s="19">
        <v>46081</v>
      </c>
      <c r="Q250" s="47">
        <f>+H250+L250</f>
        <v>26999.999999999982</v>
      </c>
      <c r="R250" s="47">
        <f>+J250+K250+L250</f>
        <v>10805.282608695643</v>
      </c>
      <c r="S250" s="47">
        <f>+MONTH(B250)</f>
        <v>1</v>
      </c>
      <c r="T250" s="47">
        <f>+YEAR(B250)</f>
        <v>2025</v>
      </c>
      <c r="U250" s="47" t="s">
        <v>364</v>
      </c>
    </row>
    <row r="251" spans="1:21" ht="15" customHeight="1" x14ac:dyDescent="0.3">
      <c r="A251" s="10">
        <v>45658</v>
      </c>
      <c r="B251" s="10">
        <v>45658</v>
      </c>
      <c r="C251" s="10">
        <v>46062</v>
      </c>
      <c r="D251" s="11" t="s">
        <v>451</v>
      </c>
      <c r="E251" s="11" t="s">
        <v>450</v>
      </c>
      <c r="F251" s="11" t="s">
        <v>52</v>
      </c>
      <c r="G251" s="11" t="s">
        <v>53</v>
      </c>
      <c r="H251" s="12">
        <v>14086.956521739099</v>
      </c>
      <c r="I251" s="13">
        <v>0.14018271604938298</v>
      </c>
      <c r="J251" s="12">
        <v>2270.96</v>
      </c>
      <c r="K251" s="12">
        <v>2099.1660869565112</v>
      </c>
      <c r="L251" s="12">
        <v>2113.04347826087</v>
      </c>
      <c r="M251" t="s">
        <v>10</v>
      </c>
      <c r="N251" t="s">
        <v>54</v>
      </c>
      <c r="O251" t="s">
        <v>55</v>
      </c>
      <c r="P251" s="19">
        <v>46081</v>
      </c>
      <c r="Q251" s="47">
        <f>+H251+L251</f>
        <v>16199.999999999969</v>
      </c>
      <c r="R251" s="47">
        <f>+J251+K251+L251</f>
        <v>6483.1695652173812</v>
      </c>
      <c r="S251" s="47">
        <f>+MONTH(B251)</f>
        <v>1</v>
      </c>
      <c r="T251" s="47">
        <f>+YEAR(B251)</f>
        <v>2025</v>
      </c>
      <c r="U251" s="47" t="s">
        <v>364</v>
      </c>
    </row>
    <row r="252" spans="1:21" ht="15" customHeight="1" x14ac:dyDescent="0.3">
      <c r="A252" s="10">
        <v>45658</v>
      </c>
      <c r="B252" s="10">
        <v>45658</v>
      </c>
      <c r="C252" s="10">
        <v>46062</v>
      </c>
      <c r="D252" s="11" t="s">
        <v>452</v>
      </c>
      <c r="E252" s="11" t="s">
        <v>453</v>
      </c>
      <c r="F252" s="11" t="s">
        <v>52</v>
      </c>
      <c r="G252" s="11" t="s">
        <v>53</v>
      </c>
      <c r="H252" s="12">
        <v>26086.956521739099</v>
      </c>
      <c r="I252" s="13">
        <v>0.12173933333333345</v>
      </c>
      <c r="J252" s="12">
        <v>3652.18</v>
      </c>
      <c r="K252" s="12">
        <v>4440.6460869565108</v>
      </c>
      <c r="L252" s="12">
        <v>3913.04347826087</v>
      </c>
      <c r="M252" t="s">
        <v>10</v>
      </c>
      <c r="N252" t="s">
        <v>54</v>
      </c>
      <c r="O252" t="s">
        <v>55</v>
      </c>
      <c r="P252" s="19">
        <v>46081</v>
      </c>
      <c r="Q252" s="47">
        <f>+H252+L252</f>
        <v>29999.999999999971</v>
      </c>
      <c r="R252" s="47">
        <f>+J252+K252+L252</f>
        <v>12005.869565217381</v>
      </c>
      <c r="S252" s="47">
        <f>+MONTH(B252)</f>
        <v>1</v>
      </c>
      <c r="T252" s="47">
        <f>+YEAR(B252)</f>
        <v>2025</v>
      </c>
      <c r="U252" s="47" t="s">
        <v>364</v>
      </c>
    </row>
    <row r="253" spans="1:21" ht="15" customHeight="1" x14ac:dyDescent="0.3">
      <c r="A253" s="10">
        <v>45658</v>
      </c>
      <c r="B253" s="10">
        <v>45658</v>
      </c>
      <c r="C253" s="10">
        <v>46062</v>
      </c>
      <c r="D253" s="11" t="s">
        <v>454</v>
      </c>
      <c r="E253" s="11" t="s">
        <v>453</v>
      </c>
      <c r="F253" s="11" t="s">
        <v>52</v>
      </c>
      <c r="G253" s="11" t="s">
        <v>53</v>
      </c>
      <c r="H253" s="12">
        <v>15652.173913043502</v>
      </c>
      <c r="I253" s="13">
        <v>0.12173944444444429</v>
      </c>
      <c r="J253" s="12">
        <v>2191.31</v>
      </c>
      <c r="K253" s="12">
        <v>2664.3856521739203</v>
      </c>
      <c r="L253" s="12">
        <v>2347.8260869565202</v>
      </c>
      <c r="M253" t="s">
        <v>10</v>
      </c>
      <c r="N253" t="s">
        <v>54</v>
      </c>
      <c r="O253" t="s">
        <v>55</v>
      </c>
      <c r="P253" s="19">
        <v>46081</v>
      </c>
      <c r="Q253" s="47">
        <f>+H253+L253</f>
        <v>18000.000000000022</v>
      </c>
      <c r="R253" s="47">
        <f>+J253+K253+L253</f>
        <v>7203.5217391304404</v>
      </c>
      <c r="S253" s="47">
        <f>+MONTH(B253)</f>
        <v>1</v>
      </c>
      <c r="T253" s="47">
        <f>+YEAR(B253)</f>
        <v>2025</v>
      </c>
      <c r="U253" s="47" t="s">
        <v>364</v>
      </c>
    </row>
    <row r="254" spans="1:21" ht="15" customHeight="1" x14ac:dyDescent="0.3">
      <c r="A254" s="10">
        <v>45738</v>
      </c>
      <c r="B254" s="10">
        <v>45738</v>
      </c>
      <c r="C254" s="10">
        <v>46062</v>
      </c>
      <c r="D254" s="11" t="s">
        <v>455</v>
      </c>
      <c r="E254" s="11" t="s">
        <v>456</v>
      </c>
      <c r="F254" s="11" t="s">
        <v>52</v>
      </c>
      <c r="G254" s="11" t="s">
        <v>53</v>
      </c>
      <c r="H254" s="12">
        <v>13208.71</v>
      </c>
      <c r="I254" s="13">
        <v>0.1217393021724819</v>
      </c>
      <c r="J254" s="12">
        <v>1849.22</v>
      </c>
      <c r="K254" s="12">
        <v>2248.4520597499995</v>
      </c>
      <c r="L254" s="12">
        <v>1981.29</v>
      </c>
      <c r="M254" t="s">
        <v>10</v>
      </c>
      <c r="N254" t="s">
        <v>54</v>
      </c>
      <c r="O254" t="s">
        <v>55</v>
      </c>
      <c r="P254" s="19">
        <v>46081</v>
      </c>
      <c r="Q254" s="47">
        <f>+H254+L254</f>
        <v>15190</v>
      </c>
      <c r="R254" s="47">
        <f>+J254+K254+L254</f>
        <v>6078.9620597499998</v>
      </c>
      <c r="S254" s="47">
        <f>+MONTH(B254)</f>
        <v>3</v>
      </c>
      <c r="T254" s="47">
        <f>+YEAR(B254)</f>
        <v>2025</v>
      </c>
      <c r="U254" s="47" t="s">
        <v>364</v>
      </c>
    </row>
    <row r="255" spans="1:21" ht="15" customHeight="1" x14ac:dyDescent="0.3">
      <c r="A255" s="10">
        <v>45738</v>
      </c>
      <c r="B255" s="10">
        <v>45738</v>
      </c>
      <c r="C255" s="10">
        <v>46062</v>
      </c>
      <c r="D255" s="11" t="s">
        <v>457</v>
      </c>
      <c r="E255" s="11" t="s">
        <v>456</v>
      </c>
      <c r="F255" s="11" t="s">
        <v>52</v>
      </c>
      <c r="G255" s="11" t="s">
        <v>53</v>
      </c>
      <c r="H255" s="12">
        <v>13208.71</v>
      </c>
      <c r="I255" s="13">
        <v>0.1217393021724819</v>
      </c>
      <c r="J255" s="12">
        <v>1849.22</v>
      </c>
      <c r="K255" s="12">
        <v>2248.4520597499995</v>
      </c>
      <c r="L255" s="12">
        <v>1981.29</v>
      </c>
      <c r="M255" t="s">
        <v>10</v>
      </c>
      <c r="N255" t="s">
        <v>54</v>
      </c>
      <c r="O255" t="s">
        <v>55</v>
      </c>
      <c r="P255" s="19">
        <v>46081</v>
      </c>
      <c r="Q255" s="47">
        <f>+H255+L255</f>
        <v>15190</v>
      </c>
      <c r="R255" s="47">
        <f>+J255+K255+L255</f>
        <v>6078.9620597499998</v>
      </c>
      <c r="S255" s="47">
        <f>+MONTH(B255)</f>
        <v>3</v>
      </c>
      <c r="T255" s="47">
        <f>+YEAR(B255)</f>
        <v>2025</v>
      </c>
      <c r="U255" s="47" t="s">
        <v>364</v>
      </c>
    </row>
    <row r="256" spans="1:21" ht="15" customHeight="1" x14ac:dyDescent="0.3">
      <c r="A256" s="10">
        <v>45990</v>
      </c>
      <c r="B256" s="10">
        <v>45990</v>
      </c>
      <c r="C256" s="10">
        <v>46069</v>
      </c>
      <c r="D256" s="11" t="s">
        <v>458</v>
      </c>
      <c r="E256" s="11" t="s">
        <v>459</v>
      </c>
      <c r="F256" s="11" t="s">
        <v>460</v>
      </c>
      <c r="G256" s="11" t="s">
        <v>53</v>
      </c>
      <c r="H256" s="12">
        <v>339.13043478260897</v>
      </c>
      <c r="I256" s="13">
        <v>0.17499999999999991</v>
      </c>
      <c r="J256" s="12">
        <v>68.250000000000014</v>
      </c>
      <c r="K256" s="12">
        <v>36.95673913043484</v>
      </c>
      <c r="L256" s="12">
        <v>50.869565217391298</v>
      </c>
      <c r="M256" t="s">
        <v>10</v>
      </c>
      <c r="N256" t="s">
        <v>54</v>
      </c>
      <c r="O256" t="s">
        <v>55</v>
      </c>
      <c r="P256" s="19">
        <v>46081</v>
      </c>
      <c r="Q256" s="47">
        <f>+H256+L256</f>
        <v>390.00000000000028</v>
      </c>
      <c r="R256" s="47">
        <f>+J256+K256+L256</f>
        <v>156.07630434782615</v>
      </c>
      <c r="S256" s="47">
        <f>+MONTH(B256)</f>
        <v>11</v>
      </c>
      <c r="T256" s="47">
        <f>+YEAR(B256)</f>
        <v>2025</v>
      </c>
      <c r="U256" s="47" t="s">
        <v>364</v>
      </c>
    </row>
    <row r="257" spans="1:21" ht="15" customHeight="1" x14ac:dyDescent="0.3">
      <c r="A257" s="10">
        <v>45977</v>
      </c>
      <c r="B257" s="10">
        <v>45977</v>
      </c>
      <c r="C257" s="10">
        <v>46055</v>
      </c>
      <c r="D257" s="11" t="s">
        <v>461</v>
      </c>
      <c r="E257" s="11" t="s">
        <v>462</v>
      </c>
      <c r="F257" s="11" t="s">
        <v>323</v>
      </c>
      <c r="G257" s="11" t="s">
        <v>53</v>
      </c>
      <c r="H257" s="12">
        <v>1808.6956521739103</v>
      </c>
      <c r="I257" s="13">
        <v>0.15000000000000011</v>
      </c>
      <c r="J257" s="12">
        <v>311.99999999999983</v>
      </c>
      <c r="K257" s="12">
        <v>249.10260869565144</v>
      </c>
      <c r="L257" s="12">
        <v>271.304347826087</v>
      </c>
      <c r="M257" t="s">
        <v>10</v>
      </c>
      <c r="N257" t="s">
        <v>54</v>
      </c>
      <c r="O257" t="s">
        <v>55</v>
      </c>
      <c r="P257" s="19">
        <v>46081</v>
      </c>
      <c r="Q257" s="47">
        <f>+H257+L257</f>
        <v>2079.9999999999973</v>
      </c>
      <c r="R257" s="47">
        <f>+J257+K257+L257</f>
        <v>832.40695652173827</v>
      </c>
      <c r="S257" s="47">
        <f>+MONTH(B257)</f>
        <v>11</v>
      </c>
      <c r="T257" s="47">
        <f>+YEAR(B257)</f>
        <v>2025</v>
      </c>
      <c r="U257" s="47" t="s">
        <v>364</v>
      </c>
    </row>
    <row r="258" spans="1:21" ht="15" customHeight="1" x14ac:dyDescent="0.3">
      <c r="A258" s="10">
        <v>46055</v>
      </c>
      <c r="B258" s="10">
        <v>46056</v>
      </c>
      <c r="C258" s="10">
        <v>46056</v>
      </c>
      <c r="D258" s="11" t="s">
        <v>463</v>
      </c>
      <c r="E258" s="11" t="s">
        <v>464</v>
      </c>
      <c r="F258" s="11" t="s">
        <v>84</v>
      </c>
      <c r="G258" s="11" t="s">
        <v>53</v>
      </c>
      <c r="H258" s="12">
        <v>1304.3499999999999</v>
      </c>
      <c r="I258" s="13">
        <v>0.17499999999999999</v>
      </c>
      <c r="J258" s="12">
        <v>262.5</v>
      </c>
      <c r="K258" s="12">
        <v>144.75067875000002</v>
      </c>
      <c r="L258" s="12">
        <v>195.65</v>
      </c>
      <c r="M258" t="s">
        <v>10</v>
      </c>
      <c r="N258" t="s">
        <v>54</v>
      </c>
      <c r="O258" t="s">
        <v>41</v>
      </c>
      <c r="P258" s="19">
        <v>46081</v>
      </c>
      <c r="Q258" s="47">
        <f>+H258+L258</f>
        <v>1500</v>
      </c>
      <c r="R258" s="47">
        <f>+J258+K258+L258</f>
        <v>602.90067875</v>
      </c>
      <c r="S258" s="47">
        <f>+MONTH(B258)</f>
        <v>2</v>
      </c>
      <c r="T258" s="47">
        <f>+YEAR(B258)</f>
        <v>2026</v>
      </c>
      <c r="U258" s="47" t="s">
        <v>364</v>
      </c>
    </row>
    <row r="259" spans="1:21" ht="15" customHeight="1" x14ac:dyDescent="0.3">
      <c r="A259" s="10">
        <v>46013</v>
      </c>
      <c r="B259" s="10">
        <v>46013</v>
      </c>
      <c r="C259" s="10">
        <v>46072</v>
      </c>
      <c r="D259" s="11" t="s">
        <v>465</v>
      </c>
      <c r="E259" s="11" t="s">
        <v>87</v>
      </c>
      <c r="F259" s="11" t="s">
        <v>84</v>
      </c>
      <c r="G259" s="11" t="s">
        <v>53</v>
      </c>
      <c r="H259" s="12">
        <v>173.91</v>
      </c>
      <c r="I259" s="13">
        <v>0.17499999999999999</v>
      </c>
      <c r="J259" s="12">
        <v>35</v>
      </c>
      <c r="K259" s="12">
        <v>18.951229749999996</v>
      </c>
      <c r="L259" s="12">
        <v>26.09</v>
      </c>
      <c r="M259" t="s">
        <v>10</v>
      </c>
      <c r="N259" t="s">
        <v>54</v>
      </c>
      <c r="O259" t="s">
        <v>55</v>
      </c>
      <c r="P259" s="19">
        <v>46081</v>
      </c>
      <c r="Q259" s="47">
        <f>+H259+L259</f>
        <v>200</v>
      </c>
      <c r="R259" s="47">
        <f>+J259+K259+L259</f>
        <v>80.041229749999999</v>
      </c>
      <c r="S259" s="47">
        <f>+MONTH(B259)</f>
        <v>12</v>
      </c>
      <c r="T259" s="47">
        <f>+YEAR(B259)</f>
        <v>2025</v>
      </c>
      <c r="U259" s="47" t="s">
        <v>364</v>
      </c>
    </row>
    <row r="260" spans="1:21" ht="15" customHeight="1" x14ac:dyDescent="0.3">
      <c r="A260" s="10">
        <v>45994</v>
      </c>
      <c r="B260" s="10">
        <v>45994</v>
      </c>
      <c r="C260" s="10">
        <v>46072</v>
      </c>
      <c r="D260" s="11" t="s">
        <v>466</v>
      </c>
      <c r="E260" s="11" t="s">
        <v>467</v>
      </c>
      <c r="F260" s="11" t="s">
        <v>323</v>
      </c>
      <c r="G260" s="11" t="s">
        <v>53</v>
      </c>
      <c r="H260" s="12">
        <v>9391.3043478260897</v>
      </c>
      <c r="I260" s="13">
        <v>0.14999999999999944</v>
      </c>
      <c r="J260" s="12">
        <v>1619.9999999999939</v>
      </c>
      <c r="K260" s="12">
        <v>1293.4173913043544</v>
      </c>
      <c r="L260" s="12">
        <v>1408.69565217391</v>
      </c>
      <c r="M260" t="s">
        <v>10</v>
      </c>
      <c r="N260" t="s">
        <v>54</v>
      </c>
      <c r="O260" t="s">
        <v>55</v>
      </c>
      <c r="P260" s="19">
        <v>46081</v>
      </c>
      <c r="Q260" s="47">
        <f>+H260+L260</f>
        <v>10800</v>
      </c>
      <c r="R260" s="47">
        <f>+J260+K260+L260</f>
        <v>4322.1130434782581</v>
      </c>
      <c r="S260" s="47">
        <f>+MONTH(B260)</f>
        <v>12</v>
      </c>
      <c r="T260" s="47">
        <f>+YEAR(B260)</f>
        <v>2025</v>
      </c>
      <c r="U260" s="47" t="s">
        <v>364</v>
      </c>
    </row>
    <row r="261" spans="1:21" ht="15" customHeight="1" x14ac:dyDescent="0.3">
      <c r="A261" s="10">
        <v>45993</v>
      </c>
      <c r="B261" s="10">
        <v>45993</v>
      </c>
      <c r="C261" s="10">
        <v>46072</v>
      </c>
      <c r="D261" s="11" t="s">
        <v>468</v>
      </c>
      <c r="E261" s="11" t="s">
        <v>467</v>
      </c>
      <c r="F261" s="11" t="s">
        <v>323</v>
      </c>
      <c r="G261" s="11" t="s">
        <v>53</v>
      </c>
      <c r="H261" s="12">
        <v>20869.565217391304</v>
      </c>
      <c r="I261" s="13">
        <v>0.15000000000000011</v>
      </c>
      <c r="J261" s="12">
        <v>3600.0000000000014</v>
      </c>
      <c r="K261" s="12">
        <v>2874.2608695652157</v>
      </c>
      <c r="L261" s="12">
        <v>3130.4347826086905</v>
      </c>
      <c r="M261" t="s">
        <v>10</v>
      </c>
      <c r="N261" t="s">
        <v>54</v>
      </c>
      <c r="O261" t="s">
        <v>55</v>
      </c>
      <c r="P261" s="19">
        <v>46081</v>
      </c>
      <c r="Q261" s="47">
        <f>+H261+L261</f>
        <v>23999.999999999993</v>
      </c>
      <c r="R261" s="47">
        <f>+J261+K261+L261</f>
        <v>9604.6956521739085</v>
      </c>
      <c r="S261" s="47">
        <f>+MONTH(B261)</f>
        <v>12</v>
      </c>
      <c r="T261" s="47">
        <f>+YEAR(B261)</f>
        <v>2025</v>
      </c>
      <c r="U261" s="47" t="s">
        <v>364</v>
      </c>
    </row>
    <row r="262" spans="1:21" ht="15" customHeight="1" x14ac:dyDescent="0.3">
      <c r="A262" s="10">
        <v>45993</v>
      </c>
      <c r="B262" s="10">
        <v>45993</v>
      </c>
      <c r="C262" s="10">
        <v>46072</v>
      </c>
      <c r="D262" s="11" t="s">
        <v>469</v>
      </c>
      <c r="E262" s="11" t="s">
        <v>470</v>
      </c>
      <c r="F262" s="11" t="s">
        <v>323</v>
      </c>
      <c r="G262" s="11" t="s">
        <v>53</v>
      </c>
      <c r="H262" s="12">
        <v>9391.3043478260897</v>
      </c>
      <c r="I262" s="13">
        <v>0.14999999999999944</v>
      </c>
      <c r="J262" s="12">
        <v>1619.9999999999939</v>
      </c>
      <c r="K262" s="12">
        <v>1293.4173913043544</v>
      </c>
      <c r="L262" s="12">
        <v>1408.69565217391</v>
      </c>
      <c r="M262" t="s">
        <v>10</v>
      </c>
      <c r="N262" t="s">
        <v>54</v>
      </c>
      <c r="O262" t="s">
        <v>55</v>
      </c>
      <c r="P262" s="19">
        <v>46081</v>
      </c>
      <c r="Q262" s="47">
        <f>+H262+L262</f>
        <v>10800</v>
      </c>
      <c r="R262" s="47">
        <f>+J262+K262+L262</f>
        <v>4322.1130434782581</v>
      </c>
      <c r="S262" s="47">
        <f>+MONTH(B262)</f>
        <v>12</v>
      </c>
      <c r="T262" s="47">
        <f>+YEAR(B262)</f>
        <v>2025</v>
      </c>
      <c r="U262" s="47" t="s">
        <v>364</v>
      </c>
    </row>
    <row r="263" spans="1:21" ht="15" customHeight="1" x14ac:dyDescent="0.3">
      <c r="A263" s="10">
        <v>45993</v>
      </c>
      <c r="B263" s="10">
        <v>45993</v>
      </c>
      <c r="C263" s="10">
        <v>46072</v>
      </c>
      <c r="D263" s="11" t="s">
        <v>471</v>
      </c>
      <c r="E263" s="11" t="s">
        <v>472</v>
      </c>
      <c r="F263" s="11" t="s">
        <v>323</v>
      </c>
      <c r="G263" s="11" t="s">
        <v>53</v>
      </c>
      <c r="H263" s="12">
        <v>9391.3043478260897</v>
      </c>
      <c r="I263" s="13">
        <v>0.14999999999999944</v>
      </c>
      <c r="J263" s="12">
        <v>1619.9999999999939</v>
      </c>
      <c r="K263" s="12">
        <v>1293.4173913043544</v>
      </c>
      <c r="L263" s="12">
        <v>1408.69565217391</v>
      </c>
      <c r="M263" t="s">
        <v>10</v>
      </c>
      <c r="N263" t="s">
        <v>54</v>
      </c>
      <c r="O263" t="s">
        <v>55</v>
      </c>
      <c r="P263" s="19">
        <v>46081</v>
      </c>
      <c r="Q263" s="47">
        <f>+H263+L263</f>
        <v>10800</v>
      </c>
      <c r="R263" s="47">
        <f>+J263+K263+L263</f>
        <v>4322.1130434782581</v>
      </c>
      <c r="S263" s="47">
        <f>+MONTH(B263)</f>
        <v>12</v>
      </c>
      <c r="T263" s="47">
        <f>+YEAR(B263)</f>
        <v>2025</v>
      </c>
      <c r="U263" s="47" t="s">
        <v>364</v>
      </c>
    </row>
    <row r="264" spans="1:21" ht="15" customHeight="1" x14ac:dyDescent="0.3">
      <c r="A264" s="10">
        <v>45993</v>
      </c>
      <c r="B264" s="10">
        <v>45993</v>
      </c>
      <c r="C264" s="10">
        <v>46072</v>
      </c>
      <c r="D264" s="11" t="s">
        <v>473</v>
      </c>
      <c r="E264" s="11" t="s">
        <v>470</v>
      </c>
      <c r="F264" s="11" t="s">
        <v>323</v>
      </c>
      <c r="G264" s="11" t="s">
        <v>53</v>
      </c>
      <c r="H264" s="12">
        <v>20869.565217391304</v>
      </c>
      <c r="I264" s="13">
        <v>0.15000000000000011</v>
      </c>
      <c r="J264" s="12">
        <v>3600.0000000000014</v>
      </c>
      <c r="K264" s="12">
        <v>2874.2608695652157</v>
      </c>
      <c r="L264" s="12">
        <v>3130.4347826086905</v>
      </c>
      <c r="M264" t="s">
        <v>10</v>
      </c>
      <c r="N264" t="s">
        <v>54</v>
      </c>
      <c r="O264" t="s">
        <v>55</v>
      </c>
      <c r="P264" s="19">
        <v>46081</v>
      </c>
      <c r="Q264" s="47">
        <f>+H264+L264</f>
        <v>23999.999999999993</v>
      </c>
      <c r="R264" s="47">
        <f>+J264+K264+L264</f>
        <v>9604.6956521739085</v>
      </c>
      <c r="S264" s="47">
        <f>+MONTH(B264)</f>
        <v>12</v>
      </c>
      <c r="T264" s="47">
        <f>+YEAR(B264)</f>
        <v>2025</v>
      </c>
      <c r="U264" s="47" t="s">
        <v>364</v>
      </c>
    </row>
    <row r="265" spans="1:21" ht="15" customHeight="1" x14ac:dyDescent="0.3">
      <c r="A265" s="10">
        <v>45993</v>
      </c>
      <c r="B265" s="10">
        <v>45993</v>
      </c>
      <c r="C265" s="10">
        <v>46072</v>
      </c>
      <c r="D265" s="11" t="s">
        <v>474</v>
      </c>
      <c r="E265" s="11" t="s">
        <v>472</v>
      </c>
      <c r="F265" s="11" t="s">
        <v>323</v>
      </c>
      <c r="G265" s="11" t="s">
        <v>53</v>
      </c>
      <c r="H265" s="12">
        <v>20869.565217391304</v>
      </c>
      <c r="I265" s="13">
        <v>0.15000000000000011</v>
      </c>
      <c r="J265" s="12">
        <v>3600.0000000000014</v>
      </c>
      <c r="K265" s="12">
        <v>2874.2608695652157</v>
      </c>
      <c r="L265" s="12">
        <v>3130.4347826086905</v>
      </c>
      <c r="M265" t="s">
        <v>10</v>
      </c>
      <c r="N265" t="s">
        <v>54</v>
      </c>
      <c r="O265" t="s">
        <v>55</v>
      </c>
      <c r="P265" s="19">
        <v>46081</v>
      </c>
      <c r="Q265" s="47">
        <f>+H265+L265</f>
        <v>23999.999999999993</v>
      </c>
      <c r="R265" s="47">
        <f>+J265+K265+L265</f>
        <v>9604.6956521739085</v>
      </c>
      <c r="S265" s="47">
        <f>+MONTH(B265)</f>
        <v>12</v>
      </c>
      <c r="T265" s="47">
        <f>+YEAR(B265)</f>
        <v>2025</v>
      </c>
      <c r="U265" s="47" t="s">
        <v>364</v>
      </c>
    </row>
    <row r="266" spans="1:21" ht="15" customHeight="1" x14ac:dyDescent="0.3">
      <c r="A266" s="10">
        <v>46003</v>
      </c>
      <c r="B266" s="10">
        <v>46003</v>
      </c>
      <c r="C266" s="10">
        <v>46069</v>
      </c>
      <c r="D266" s="11" t="s">
        <v>475</v>
      </c>
      <c r="E266" s="11" t="s">
        <v>476</v>
      </c>
      <c r="F266" s="11" t="s">
        <v>90</v>
      </c>
      <c r="G266" s="11" t="s">
        <v>53</v>
      </c>
      <c r="H266" s="12">
        <v>2211.1304347826099</v>
      </c>
      <c r="I266" s="13">
        <v>0.17499999999999963</v>
      </c>
      <c r="J266" s="12">
        <v>444.98999999999927</v>
      </c>
      <c r="K266" s="12">
        <v>240.95793913043582</v>
      </c>
      <c r="L266" s="12">
        <v>331.66956521739098</v>
      </c>
      <c r="M266" t="s">
        <v>10</v>
      </c>
      <c r="N266" t="s">
        <v>54</v>
      </c>
      <c r="O266" t="s">
        <v>55</v>
      </c>
      <c r="P266" s="19">
        <v>46081</v>
      </c>
      <c r="Q266" s="47">
        <f>+H266+L266</f>
        <v>2542.8000000000011</v>
      </c>
      <c r="R266" s="47">
        <f>+J266+K266+L266</f>
        <v>1017.6175043478261</v>
      </c>
      <c r="S266" s="47">
        <f>+MONTH(B266)</f>
        <v>12</v>
      </c>
      <c r="T266" s="47">
        <f>+YEAR(B266)</f>
        <v>2025</v>
      </c>
      <c r="U266" s="47" t="s">
        <v>364</v>
      </c>
    </row>
    <row r="267" spans="1:21" ht="15" customHeight="1" x14ac:dyDescent="0.3">
      <c r="A267" s="10">
        <v>44959</v>
      </c>
      <c r="B267" s="10">
        <v>46023</v>
      </c>
      <c r="C267" s="10">
        <v>46049</v>
      </c>
      <c r="D267" s="11" t="s">
        <v>284</v>
      </c>
      <c r="E267" s="11" t="s">
        <v>246</v>
      </c>
      <c r="F267" s="11" t="s">
        <v>84</v>
      </c>
      <c r="G267" s="11" t="s">
        <v>53</v>
      </c>
      <c r="H267" s="12">
        <v>830.96999999999991</v>
      </c>
      <c r="I267" s="13">
        <v>0.17500000000000002</v>
      </c>
      <c r="J267" s="12">
        <v>167.23175000000001</v>
      </c>
      <c r="K267" s="12">
        <v>81.643764999999973</v>
      </c>
      <c r="L267" s="12">
        <v>124.64</v>
      </c>
      <c r="M267" t="s">
        <v>10</v>
      </c>
      <c r="N267" t="s">
        <v>85</v>
      </c>
      <c r="O267" t="s">
        <v>55</v>
      </c>
      <c r="P267" s="19">
        <v>46053</v>
      </c>
      <c r="Q267">
        <f>+H267+L267</f>
        <v>955.6099999999999</v>
      </c>
      <c r="R267">
        <f>+J267+K267+L267</f>
        <v>373.51551499999999</v>
      </c>
      <c r="S267">
        <f>+MONTH(B267)</f>
        <v>1</v>
      </c>
      <c r="T267">
        <f>+YEAR(B267)</f>
        <v>2026</v>
      </c>
      <c r="U267" t="s">
        <v>42</v>
      </c>
    </row>
    <row r="268" spans="1:21" ht="15" customHeight="1" x14ac:dyDescent="0.3">
      <c r="A268" s="10">
        <v>45427</v>
      </c>
      <c r="B268" s="10">
        <v>46023</v>
      </c>
      <c r="C268" s="10">
        <v>46034</v>
      </c>
      <c r="D268" s="11" t="s">
        <v>149</v>
      </c>
      <c r="E268" s="11" t="s">
        <v>140</v>
      </c>
      <c r="F268" s="11" t="s">
        <v>84</v>
      </c>
      <c r="G268" s="11" t="s">
        <v>53</v>
      </c>
      <c r="H268" s="12">
        <v>821.2199999999998</v>
      </c>
      <c r="I268" s="13">
        <v>0.17500000000000002</v>
      </c>
      <c r="J268" s="12">
        <v>165.26999999999998</v>
      </c>
      <c r="K268" s="12">
        <v>88.179022499999945</v>
      </c>
      <c r="L268" s="12">
        <v>123.18</v>
      </c>
      <c r="M268" t="s">
        <v>10</v>
      </c>
      <c r="N268" t="s">
        <v>85</v>
      </c>
      <c r="O268" t="s">
        <v>55</v>
      </c>
      <c r="P268" s="19">
        <v>46053</v>
      </c>
      <c r="Q268">
        <f>+H268+L268</f>
        <v>944.39999999999986</v>
      </c>
      <c r="R268">
        <f>+J268+K268+L268</f>
        <v>376.62902249999991</v>
      </c>
      <c r="S268">
        <f>+MONTH(B268)</f>
        <v>1</v>
      </c>
      <c r="T268">
        <f>+YEAR(B268)</f>
        <v>2026</v>
      </c>
      <c r="U268" t="s">
        <v>42</v>
      </c>
    </row>
    <row r="269" spans="1:21" ht="15" customHeight="1" x14ac:dyDescent="0.3">
      <c r="A269" s="10">
        <v>45299</v>
      </c>
      <c r="B269" s="10">
        <v>46023</v>
      </c>
      <c r="C269" s="10">
        <v>46034</v>
      </c>
      <c r="D269" s="11" t="s">
        <v>160</v>
      </c>
      <c r="E269" s="11" t="s">
        <v>140</v>
      </c>
      <c r="F269" s="11" t="s">
        <v>84</v>
      </c>
      <c r="G269" s="11" t="s">
        <v>53</v>
      </c>
      <c r="H269" s="12">
        <v>815.5</v>
      </c>
      <c r="I269" s="13">
        <v>0.17499999999999996</v>
      </c>
      <c r="J269" s="12">
        <v>164.12024999999997</v>
      </c>
      <c r="K269" s="12">
        <v>87.56343750000002</v>
      </c>
      <c r="L269" s="12">
        <v>122.33</v>
      </c>
      <c r="M269" t="s">
        <v>10</v>
      </c>
      <c r="N269" t="s">
        <v>85</v>
      </c>
      <c r="O269" t="s">
        <v>55</v>
      </c>
      <c r="P269" s="19">
        <v>46053</v>
      </c>
      <c r="Q269">
        <f>+H269+L269</f>
        <v>937.83</v>
      </c>
      <c r="R269">
        <f>+J269+K269+L269</f>
        <v>374.0136875</v>
      </c>
      <c r="S269">
        <f>+MONTH(B269)</f>
        <v>1</v>
      </c>
      <c r="T269">
        <f>+YEAR(B269)</f>
        <v>2026</v>
      </c>
      <c r="U269" t="s">
        <v>42</v>
      </c>
    </row>
    <row r="270" spans="1:21" ht="15" customHeight="1" x14ac:dyDescent="0.3">
      <c r="A270" s="10">
        <v>45299</v>
      </c>
      <c r="B270" s="10">
        <v>46023</v>
      </c>
      <c r="C270" s="10">
        <v>46034</v>
      </c>
      <c r="D270" s="11" t="s">
        <v>156</v>
      </c>
      <c r="E270" s="11" t="s">
        <v>140</v>
      </c>
      <c r="F270" s="11" t="s">
        <v>84</v>
      </c>
      <c r="G270" s="11" t="s">
        <v>53</v>
      </c>
      <c r="H270" s="12">
        <v>812.60000000000014</v>
      </c>
      <c r="I270" s="13">
        <v>0.17499999999999996</v>
      </c>
      <c r="J270" s="12">
        <v>163.53574999999998</v>
      </c>
      <c r="K270" s="12">
        <v>87.252925000000062</v>
      </c>
      <c r="L270" s="12">
        <v>121.89</v>
      </c>
      <c r="M270" t="s">
        <v>10</v>
      </c>
      <c r="N270" t="s">
        <v>85</v>
      </c>
      <c r="O270" t="s">
        <v>55</v>
      </c>
      <c r="P270" s="19">
        <v>46053</v>
      </c>
      <c r="Q270">
        <f>+H270+L270</f>
        <v>934.49000000000012</v>
      </c>
      <c r="R270">
        <f>+J270+K270+L270</f>
        <v>372.67867500000006</v>
      </c>
      <c r="S270">
        <f>+MONTH(B270)</f>
        <v>1</v>
      </c>
      <c r="T270">
        <f>+YEAR(B270)</f>
        <v>2026</v>
      </c>
      <c r="U270" t="s">
        <v>42</v>
      </c>
    </row>
    <row r="271" spans="1:21" ht="15" customHeight="1" x14ac:dyDescent="0.3">
      <c r="A271" s="10">
        <v>45299</v>
      </c>
      <c r="B271" s="10">
        <v>46023</v>
      </c>
      <c r="C271" s="10">
        <v>46034</v>
      </c>
      <c r="D271" s="11" t="s">
        <v>157</v>
      </c>
      <c r="E271" s="11" t="s">
        <v>140</v>
      </c>
      <c r="F271" s="11" t="s">
        <v>84</v>
      </c>
      <c r="G271" s="11" t="s">
        <v>53</v>
      </c>
      <c r="H271" s="12">
        <v>812.60000000000014</v>
      </c>
      <c r="I271" s="13">
        <v>0.17499999999999996</v>
      </c>
      <c r="J271" s="12">
        <v>163.53574999999998</v>
      </c>
      <c r="K271" s="12">
        <v>87.252925000000062</v>
      </c>
      <c r="L271" s="12">
        <v>121.89</v>
      </c>
      <c r="M271" t="s">
        <v>10</v>
      </c>
      <c r="N271" t="s">
        <v>85</v>
      </c>
      <c r="O271" t="s">
        <v>55</v>
      </c>
      <c r="P271" s="19">
        <v>46053</v>
      </c>
      <c r="Q271">
        <f>+H271+L271</f>
        <v>934.49000000000012</v>
      </c>
      <c r="R271">
        <f>+J271+K271+L271</f>
        <v>372.67867500000006</v>
      </c>
      <c r="S271">
        <f>+MONTH(B271)</f>
        <v>1</v>
      </c>
      <c r="T271">
        <f>+YEAR(B271)</f>
        <v>2026</v>
      </c>
      <c r="U271" t="s">
        <v>42</v>
      </c>
    </row>
    <row r="272" spans="1:21" ht="15" customHeight="1" x14ac:dyDescent="0.3">
      <c r="A272" s="10">
        <v>45299</v>
      </c>
      <c r="B272" s="10">
        <v>46023</v>
      </c>
      <c r="C272" s="10">
        <v>46034</v>
      </c>
      <c r="D272" s="11" t="s">
        <v>196</v>
      </c>
      <c r="E272" s="11" t="s">
        <v>140</v>
      </c>
      <c r="F272" s="11" t="s">
        <v>84</v>
      </c>
      <c r="G272" s="11" t="s">
        <v>53</v>
      </c>
      <c r="H272" s="12">
        <v>805.62</v>
      </c>
      <c r="I272" s="13">
        <v>0.17499999999999999</v>
      </c>
      <c r="J272" s="12">
        <v>162.13049999999998</v>
      </c>
      <c r="K272" s="12">
        <v>86.503972500000003</v>
      </c>
      <c r="L272" s="12">
        <v>120.84</v>
      </c>
      <c r="M272" t="s">
        <v>10</v>
      </c>
      <c r="N272" t="s">
        <v>85</v>
      </c>
      <c r="O272" t="s">
        <v>55</v>
      </c>
      <c r="P272" s="19">
        <v>46053</v>
      </c>
      <c r="Q272">
        <f>+H272+L272</f>
        <v>926.46</v>
      </c>
      <c r="R272">
        <f>+J272+K272+L272</f>
        <v>369.47447249999999</v>
      </c>
      <c r="S272">
        <f>+MONTH(B272)</f>
        <v>1</v>
      </c>
      <c r="T272">
        <f>+YEAR(B272)</f>
        <v>2026</v>
      </c>
      <c r="U272" t="s">
        <v>42</v>
      </c>
    </row>
    <row r="273" spans="1:21" ht="15" customHeight="1" x14ac:dyDescent="0.3">
      <c r="A273" s="10">
        <v>45299</v>
      </c>
      <c r="B273" s="10">
        <v>46023</v>
      </c>
      <c r="C273" s="10">
        <v>46034</v>
      </c>
      <c r="D273" s="11" t="s">
        <v>182</v>
      </c>
      <c r="E273" s="11" t="s">
        <v>140</v>
      </c>
      <c r="F273" s="11" t="s">
        <v>84</v>
      </c>
      <c r="G273" s="11" t="s">
        <v>53</v>
      </c>
      <c r="H273" s="12">
        <v>805.48</v>
      </c>
      <c r="I273" s="13">
        <v>0.17499999999999999</v>
      </c>
      <c r="J273" s="12">
        <v>162.10249999999999</v>
      </c>
      <c r="K273" s="12">
        <v>86.488765000000001</v>
      </c>
      <c r="L273" s="12">
        <v>120.82</v>
      </c>
      <c r="M273" t="s">
        <v>10</v>
      </c>
      <c r="N273" t="s">
        <v>85</v>
      </c>
      <c r="O273" t="s">
        <v>55</v>
      </c>
      <c r="P273" s="19">
        <v>46053</v>
      </c>
      <c r="Q273">
        <f>+H273+L273</f>
        <v>926.3</v>
      </c>
      <c r="R273">
        <f>+J273+K273+L273</f>
        <v>369.41126499999996</v>
      </c>
      <c r="S273">
        <f>+MONTH(B273)</f>
        <v>1</v>
      </c>
      <c r="T273">
        <f>+YEAR(B273)</f>
        <v>2026</v>
      </c>
      <c r="U273" t="s">
        <v>42</v>
      </c>
    </row>
    <row r="274" spans="1:21" ht="15" customHeight="1" x14ac:dyDescent="0.3">
      <c r="A274" s="10">
        <v>45427</v>
      </c>
      <c r="B274" s="10">
        <v>46023</v>
      </c>
      <c r="C274" s="10">
        <v>46034</v>
      </c>
      <c r="D274" s="11" t="s">
        <v>203</v>
      </c>
      <c r="E274" s="11" t="s">
        <v>140</v>
      </c>
      <c r="F274" s="11" t="s">
        <v>84</v>
      </c>
      <c r="G274" s="11" t="s">
        <v>53</v>
      </c>
      <c r="H274" s="12">
        <v>803.05</v>
      </c>
      <c r="I274" s="13">
        <v>0.17499999999999999</v>
      </c>
      <c r="J274" s="12">
        <v>161.61425</v>
      </c>
      <c r="K274" s="12">
        <v>86.227056249999976</v>
      </c>
      <c r="L274" s="12">
        <v>120.45999999999998</v>
      </c>
      <c r="M274" t="s">
        <v>10</v>
      </c>
      <c r="N274" t="s">
        <v>85</v>
      </c>
      <c r="O274" t="s">
        <v>55</v>
      </c>
      <c r="P274" s="19">
        <v>46053</v>
      </c>
      <c r="Q274">
        <f>+H274+L274</f>
        <v>923.51</v>
      </c>
      <c r="R274">
        <f>+J274+K274+L274</f>
        <v>368.30130624999993</v>
      </c>
      <c r="S274">
        <f>+MONTH(B274)</f>
        <v>1</v>
      </c>
      <c r="T274">
        <f>+YEAR(B274)</f>
        <v>2026</v>
      </c>
      <c r="U274" t="s">
        <v>42</v>
      </c>
    </row>
    <row r="275" spans="1:21" ht="15" customHeight="1" x14ac:dyDescent="0.3">
      <c r="A275" s="10">
        <v>45299</v>
      </c>
      <c r="B275" s="10">
        <v>46023</v>
      </c>
      <c r="C275" s="10">
        <v>46034</v>
      </c>
      <c r="D275" s="11" t="s">
        <v>198</v>
      </c>
      <c r="E275" s="11" t="s">
        <v>140</v>
      </c>
      <c r="F275" s="11" t="s">
        <v>84</v>
      </c>
      <c r="G275" s="11" t="s">
        <v>53</v>
      </c>
      <c r="H275" s="12">
        <v>796.27</v>
      </c>
      <c r="I275" s="13">
        <v>0.17499999999999999</v>
      </c>
      <c r="J275" s="12">
        <v>160.24924999999999</v>
      </c>
      <c r="K275" s="12">
        <v>85.499578749999984</v>
      </c>
      <c r="L275" s="12">
        <v>119.44</v>
      </c>
      <c r="M275" t="s">
        <v>10</v>
      </c>
      <c r="N275" t="s">
        <v>85</v>
      </c>
      <c r="O275" t="s">
        <v>55</v>
      </c>
      <c r="P275" s="19">
        <v>46053</v>
      </c>
      <c r="Q275">
        <f>+H275+L275</f>
        <v>915.71</v>
      </c>
      <c r="R275">
        <f>+J275+K275+L275</f>
        <v>365.18882874999997</v>
      </c>
      <c r="S275">
        <f>+MONTH(B275)</f>
        <v>1</v>
      </c>
      <c r="T275">
        <f>+YEAR(B275)</f>
        <v>2026</v>
      </c>
      <c r="U275" t="s">
        <v>42</v>
      </c>
    </row>
    <row r="276" spans="1:21" ht="15" customHeight="1" x14ac:dyDescent="0.3">
      <c r="A276" s="10">
        <v>45299</v>
      </c>
      <c r="B276" s="10">
        <v>46023</v>
      </c>
      <c r="C276" s="10">
        <v>46034</v>
      </c>
      <c r="D276" s="11" t="s">
        <v>184</v>
      </c>
      <c r="E276" s="11" t="s">
        <v>140</v>
      </c>
      <c r="F276" s="11" t="s">
        <v>84</v>
      </c>
      <c r="G276" s="11" t="s">
        <v>53</v>
      </c>
      <c r="H276" s="12">
        <v>796.19</v>
      </c>
      <c r="I276" s="13">
        <v>0.17499999999999996</v>
      </c>
      <c r="J276" s="12">
        <v>160.23349999999999</v>
      </c>
      <c r="K276" s="12">
        <v>85.490638750000016</v>
      </c>
      <c r="L276" s="12">
        <v>119.43</v>
      </c>
      <c r="M276" t="s">
        <v>10</v>
      </c>
      <c r="N276" t="s">
        <v>85</v>
      </c>
      <c r="O276" t="s">
        <v>55</v>
      </c>
      <c r="P276" s="19">
        <v>46053</v>
      </c>
      <c r="Q276">
        <f>+H276+L276</f>
        <v>915.62000000000012</v>
      </c>
      <c r="R276">
        <f>+J276+K276+L276</f>
        <v>365.15413875000002</v>
      </c>
      <c r="S276">
        <f>+MONTH(B276)</f>
        <v>1</v>
      </c>
      <c r="T276">
        <f>+YEAR(B276)</f>
        <v>2026</v>
      </c>
      <c r="U276" t="s">
        <v>42</v>
      </c>
    </row>
    <row r="277" spans="1:21" ht="15" customHeight="1" x14ac:dyDescent="0.3">
      <c r="A277" s="10">
        <v>45299</v>
      </c>
      <c r="B277" s="10">
        <v>46023</v>
      </c>
      <c r="C277" s="10">
        <v>46034</v>
      </c>
      <c r="D277" s="11" t="s">
        <v>171</v>
      </c>
      <c r="E277" s="11" t="s">
        <v>140</v>
      </c>
      <c r="F277" s="11" t="s">
        <v>84</v>
      </c>
      <c r="G277" s="11" t="s">
        <v>53</v>
      </c>
      <c r="H277" s="12">
        <v>795.98</v>
      </c>
      <c r="I277" s="13">
        <v>0.17499999999999999</v>
      </c>
      <c r="J277" s="12">
        <v>160.19149999999999</v>
      </c>
      <c r="K277" s="12">
        <v>85.467827499999999</v>
      </c>
      <c r="L277" s="12">
        <v>119.4</v>
      </c>
      <c r="M277" t="s">
        <v>10</v>
      </c>
      <c r="N277" t="s">
        <v>85</v>
      </c>
      <c r="O277" t="s">
        <v>55</v>
      </c>
      <c r="P277" s="19">
        <v>46053</v>
      </c>
      <c r="Q277">
        <f>+H277+L277</f>
        <v>915.38</v>
      </c>
      <c r="R277">
        <f>+J277+K277+L277</f>
        <v>365.05932749999999</v>
      </c>
      <c r="S277">
        <f>+MONTH(B277)</f>
        <v>1</v>
      </c>
      <c r="T277">
        <f>+YEAR(B277)</f>
        <v>2026</v>
      </c>
      <c r="U277" t="s">
        <v>42</v>
      </c>
    </row>
    <row r="278" spans="1:21" ht="15" customHeight="1" x14ac:dyDescent="0.3">
      <c r="A278" s="10">
        <v>45299</v>
      </c>
      <c r="B278" s="10">
        <v>46023</v>
      </c>
      <c r="C278" s="10">
        <v>46034</v>
      </c>
      <c r="D278" s="11" t="s">
        <v>158</v>
      </c>
      <c r="E278" s="11" t="s">
        <v>140</v>
      </c>
      <c r="F278" s="11" t="s">
        <v>84</v>
      </c>
      <c r="G278" s="11" t="s">
        <v>53</v>
      </c>
      <c r="H278" s="12">
        <v>795.92</v>
      </c>
      <c r="I278" s="13">
        <v>0.17499999999999999</v>
      </c>
      <c r="J278" s="12">
        <v>160.17924999999997</v>
      </c>
      <c r="K278" s="12">
        <v>85.46156000000002</v>
      </c>
      <c r="L278" s="12">
        <v>119.39</v>
      </c>
      <c r="M278" t="s">
        <v>10</v>
      </c>
      <c r="N278" t="s">
        <v>85</v>
      </c>
      <c r="O278" t="s">
        <v>55</v>
      </c>
      <c r="P278" s="19">
        <v>46053</v>
      </c>
      <c r="Q278">
        <f>+H278+L278</f>
        <v>915.31</v>
      </c>
      <c r="R278">
        <f>+J278+K278+L278</f>
        <v>365.03080999999997</v>
      </c>
      <c r="S278">
        <f>+MONTH(B278)</f>
        <v>1</v>
      </c>
      <c r="T278">
        <f>+YEAR(B278)</f>
        <v>2026</v>
      </c>
      <c r="U278" t="s">
        <v>42</v>
      </c>
    </row>
    <row r="279" spans="1:21" ht="15" customHeight="1" x14ac:dyDescent="0.3">
      <c r="A279" s="10">
        <v>44810</v>
      </c>
      <c r="B279" s="10">
        <v>46023</v>
      </c>
      <c r="C279" s="10">
        <v>46049</v>
      </c>
      <c r="D279" s="11" t="s">
        <v>279</v>
      </c>
      <c r="E279" s="11" t="s">
        <v>246</v>
      </c>
      <c r="F279" s="11" t="s">
        <v>84</v>
      </c>
      <c r="G279" s="11" t="s">
        <v>53</v>
      </c>
      <c r="H279" s="12">
        <v>788.21</v>
      </c>
      <c r="I279" s="13">
        <v>0.17499999999999999</v>
      </c>
      <c r="J279" s="12">
        <v>158.62875</v>
      </c>
      <c r="K279" s="12">
        <v>77.440145000000001</v>
      </c>
      <c r="L279" s="12">
        <v>118.24</v>
      </c>
      <c r="M279" t="s">
        <v>10</v>
      </c>
      <c r="N279" t="s">
        <v>85</v>
      </c>
      <c r="O279" t="s">
        <v>55</v>
      </c>
      <c r="P279" s="19">
        <v>46053</v>
      </c>
      <c r="Q279">
        <f>+H279+L279</f>
        <v>906.45</v>
      </c>
      <c r="R279">
        <f>+J279+K279+L279</f>
        <v>354.30889500000001</v>
      </c>
      <c r="S279">
        <f>+MONTH(B279)</f>
        <v>1</v>
      </c>
      <c r="T279">
        <f>+YEAR(B279)</f>
        <v>2026</v>
      </c>
      <c r="U279" t="s">
        <v>42</v>
      </c>
    </row>
    <row r="280" spans="1:21" ht="15" customHeight="1" x14ac:dyDescent="0.3">
      <c r="A280" s="10">
        <v>44701</v>
      </c>
      <c r="B280" s="10">
        <v>46023</v>
      </c>
      <c r="C280" s="10">
        <v>46049</v>
      </c>
      <c r="D280" s="11" t="s">
        <v>249</v>
      </c>
      <c r="E280" s="11" t="s">
        <v>246</v>
      </c>
      <c r="F280" s="11" t="s">
        <v>84</v>
      </c>
      <c r="G280" s="11" t="s">
        <v>53</v>
      </c>
      <c r="H280" s="12">
        <v>782.3</v>
      </c>
      <c r="I280" s="13">
        <v>0.17499999999999999</v>
      </c>
      <c r="J280" s="12">
        <v>157.43699999999998</v>
      </c>
      <c r="K280" s="12">
        <v>76.861850000000004</v>
      </c>
      <c r="L280" s="12">
        <v>117.33999999999999</v>
      </c>
      <c r="M280" t="s">
        <v>10</v>
      </c>
      <c r="N280" t="s">
        <v>85</v>
      </c>
      <c r="O280" t="s">
        <v>55</v>
      </c>
      <c r="P280" s="19">
        <v>46053</v>
      </c>
      <c r="Q280">
        <f>+H280+L280</f>
        <v>899.64</v>
      </c>
      <c r="R280">
        <f>+J280+K280+L280</f>
        <v>351.63884999999999</v>
      </c>
      <c r="S280">
        <f>+MONTH(B280)</f>
        <v>1</v>
      </c>
      <c r="T280">
        <f>+YEAR(B280)</f>
        <v>2026</v>
      </c>
      <c r="U280" t="s">
        <v>42</v>
      </c>
    </row>
    <row r="281" spans="1:21" ht="15" customHeight="1" x14ac:dyDescent="0.3">
      <c r="A281" s="10">
        <v>45299</v>
      </c>
      <c r="B281" s="10">
        <v>46023</v>
      </c>
      <c r="C281" s="10">
        <v>46034</v>
      </c>
      <c r="D281" s="11" t="s">
        <v>163</v>
      </c>
      <c r="E281" s="11" t="s">
        <v>140</v>
      </c>
      <c r="F281" s="11" t="s">
        <v>84</v>
      </c>
      <c r="G281" s="11" t="s">
        <v>53</v>
      </c>
      <c r="H281" s="12">
        <v>767.06</v>
      </c>
      <c r="I281" s="13">
        <v>0.17499999999999999</v>
      </c>
      <c r="J281" s="12">
        <v>154.37099999999998</v>
      </c>
      <c r="K281" s="12">
        <v>82.362892499999987</v>
      </c>
      <c r="L281" s="12">
        <v>115.06</v>
      </c>
      <c r="M281" t="s">
        <v>10</v>
      </c>
      <c r="N281" t="s">
        <v>85</v>
      </c>
      <c r="O281" t="s">
        <v>55</v>
      </c>
      <c r="P281" s="19">
        <v>46053</v>
      </c>
      <c r="Q281">
        <f>+H281+L281</f>
        <v>882.11999999999989</v>
      </c>
      <c r="R281">
        <f>+J281+K281+L281</f>
        <v>351.79389249999997</v>
      </c>
      <c r="S281">
        <f>+MONTH(B281)</f>
        <v>1</v>
      </c>
      <c r="T281">
        <f>+YEAR(B281)</f>
        <v>2026</v>
      </c>
      <c r="U281" t="s">
        <v>42</v>
      </c>
    </row>
    <row r="282" spans="1:21" ht="15" customHeight="1" x14ac:dyDescent="0.3">
      <c r="A282" s="10">
        <v>45299</v>
      </c>
      <c r="B282" s="10">
        <v>46023</v>
      </c>
      <c r="C282" s="10">
        <v>46034</v>
      </c>
      <c r="D282" s="11" t="s">
        <v>164</v>
      </c>
      <c r="E282" s="11" t="s">
        <v>140</v>
      </c>
      <c r="F282" s="11" t="s">
        <v>84</v>
      </c>
      <c r="G282" s="11" t="s">
        <v>53</v>
      </c>
      <c r="H282" s="12">
        <v>767.06</v>
      </c>
      <c r="I282" s="13">
        <v>0.17499999999999999</v>
      </c>
      <c r="J282" s="12">
        <v>154.37099999999998</v>
      </c>
      <c r="K282" s="12">
        <v>82.362892499999987</v>
      </c>
      <c r="L282" s="12">
        <v>115.06</v>
      </c>
      <c r="M282" t="s">
        <v>10</v>
      </c>
      <c r="N282" t="s">
        <v>85</v>
      </c>
      <c r="O282" t="s">
        <v>55</v>
      </c>
      <c r="P282" s="19">
        <v>46053</v>
      </c>
      <c r="Q282">
        <f>+H282+L282</f>
        <v>882.11999999999989</v>
      </c>
      <c r="R282">
        <f>+J282+K282+L282</f>
        <v>351.79389249999997</v>
      </c>
      <c r="S282">
        <f>+MONTH(B282)</f>
        <v>1</v>
      </c>
      <c r="T282">
        <f>+YEAR(B282)</f>
        <v>2026</v>
      </c>
      <c r="U282" t="s">
        <v>42</v>
      </c>
    </row>
    <row r="283" spans="1:21" ht="15" customHeight="1" x14ac:dyDescent="0.3">
      <c r="A283" s="10">
        <v>45299</v>
      </c>
      <c r="B283" s="10">
        <v>46023</v>
      </c>
      <c r="C283" s="10">
        <v>46034</v>
      </c>
      <c r="D283" s="11" t="s">
        <v>199</v>
      </c>
      <c r="E283" s="11" t="s">
        <v>140</v>
      </c>
      <c r="F283" s="11" t="s">
        <v>84</v>
      </c>
      <c r="G283" s="11" t="s">
        <v>53</v>
      </c>
      <c r="H283" s="12">
        <v>758.38</v>
      </c>
      <c r="I283" s="13">
        <v>0.17499999999999999</v>
      </c>
      <c r="J283" s="12">
        <v>152.62275</v>
      </c>
      <c r="K283" s="12">
        <v>81.432277499999998</v>
      </c>
      <c r="L283" s="12">
        <v>113.75</v>
      </c>
      <c r="M283" t="s">
        <v>10</v>
      </c>
      <c r="N283" t="s">
        <v>85</v>
      </c>
      <c r="O283" t="s">
        <v>55</v>
      </c>
      <c r="P283" s="19">
        <v>46053</v>
      </c>
      <c r="Q283">
        <f>+H283+L283</f>
        <v>872.13</v>
      </c>
      <c r="R283">
        <f>+J283+K283+L283</f>
        <v>347.80502749999999</v>
      </c>
      <c r="S283">
        <f>+MONTH(B283)</f>
        <v>1</v>
      </c>
      <c r="T283">
        <f>+YEAR(B283)</f>
        <v>2026</v>
      </c>
      <c r="U283" t="s">
        <v>42</v>
      </c>
    </row>
    <row r="284" spans="1:21" ht="15" customHeight="1" x14ac:dyDescent="0.3">
      <c r="A284" s="10">
        <v>45299</v>
      </c>
      <c r="B284" s="10">
        <v>46023</v>
      </c>
      <c r="C284" s="10">
        <v>46034</v>
      </c>
      <c r="D284" s="11" t="s">
        <v>192</v>
      </c>
      <c r="E284" s="11" t="s">
        <v>140</v>
      </c>
      <c r="F284" s="11" t="s">
        <v>84</v>
      </c>
      <c r="G284" s="11" t="s">
        <v>53</v>
      </c>
      <c r="H284" s="12">
        <v>758.3</v>
      </c>
      <c r="I284" s="13">
        <v>0.17499999999999996</v>
      </c>
      <c r="J284" s="12">
        <v>152.60699999999997</v>
      </c>
      <c r="K284" s="12">
        <v>81.423337500000002</v>
      </c>
      <c r="L284" s="12">
        <v>113.74</v>
      </c>
      <c r="M284" t="s">
        <v>10</v>
      </c>
      <c r="N284" t="s">
        <v>85</v>
      </c>
      <c r="O284" t="s">
        <v>55</v>
      </c>
      <c r="P284" s="19">
        <v>46053</v>
      </c>
      <c r="Q284">
        <f>+H284+L284</f>
        <v>872.04</v>
      </c>
      <c r="R284">
        <f>+J284+K284+L284</f>
        <v>347.77033749999998</v>
      </c>
      <c r="S284">
        <f>+MONTH(B284)</f>
        <v>1</v>
      </c>
      <c r="T284">
        <f>+YEAR(B284)</f>
        <v>2026</v>
      </c>
      <c r="U284" t="s">
        <v>42</v>
      </c>
    </row>
    <row r="285" spans="1:21" ht="15" customHeight="1" x14ac:dyDescent="0.3">
      <c r="A285" s="10">
        <v>45299</v>
      </c>
      <c r="B285" s="10">
        <v>46023</v>
      </c>
      <c r="C285" s="10">
        <v>46034</v>
      </c>
      <c r="D285" s="11" t="s">
        <v>193</v>
      </c>
      <c r="E285" s="11" t="s">
        <v>140</v>
      </c>
      <c r="F285" s="11" t="s">
        <v>84</v>
      </c>
      <c r="G285" s="11" t="s">
        <v>53</v>
      </c>
      <c r="H285" s="12">
        <v>758.27</v>
      </c>
      <c r="I285" s="13">
        <v>0.17499999999999999</v>
      </c>
      <c r="J285" s="12">
        <v>152.6</v>
      </c>
      <c r="K285" s="12">
        <v>81.421078749999992</v>
      </c>
      <c r="L285" s="12">
        <v>113.73</v>
      </c>
      <c r="M285" t="s">
        <v>10</v>
      </c>
      <c r="N285" t="s">
        <v>85</v>
      </c>
      <c r="O285" t="s">
        <v>55</v>
      </c>
      <c r="P285" s="19">
        <v>46053</v>
      </c>
      <c r="Q285">
        <f>+H285+L285</f>
        <v>872</v>
      </c>
      <c r="R285">
        <f>+J285+K285+L285</f>
        <v>347.75107874999998</v>
      </c>
      <c r="S285">
        <f>+MONTH(B285)</f>
        <v>1</v>
      </c>
      <c r="T285">
        <f>+YEAR(B285)</f>
        <v>2026</v>
      </c>
      <c r="U285" t="s">
        <v>42</v>
      </c>
    </row>
    <row r="286" spans="1:21" ht="15" customHeight="1" x14ac:dyDescent="0.3">
      <c r="A286" s="10">
        <v>45299</v>
      </c>
      <c r="B286" s="10">
        <v>46023</v>
      </c>
      <c r="C286" s="10">
        <v>46034</v>
      </c>
      <c r="D286" s="11" t="s">
        <v>178</v>
      </c>
      <c r="E286" s="11" t="s">
        <v>140</v>
      </c>
      <c r="F286" s="11" t="s">
        <v>84</v>
      </c>
      <c r="G286" s="11" t="s">
        <v>53</v>
      </c>
      <c r="H286" s="12">
        <v>757.66</v>
      </c>
      <c r="I286" s="13">
        <v>0.17500000000000002</v>
      </c>
      <c r="J286" s="12">
        <v>152.47925000000001</v>
      </c>
      <c r="K286" s="12">
        <v>81.353567499999969</v>
      </c>
      <c r="L286" s="12">
        <v>113.65</v>
      </c>
      <c r="M286" t="s">
        <v>10</v>
      </c>
      <c r="N286" t="s">
        <v>85</v>
      </c>
      <c r="O286" t="s">
        <v>55</v>
      </c>
      <c r="P286" s="19">
        <v>46053</v>
      </c>
      <c r="Q286">
        <f>+H286+L286</f>
        <v>871.31</v>
      </c>
      <c r="R286">
        <f>+J286+K286+L286</f>
        <v>347.48281750000001</v>
      </c>
      <c r="S286">
        <f>+MONTH(B286)</f>
        <v>1</v>
      </c>
      <c r="T286">
        <f>+YEAR(B286)</f>
        <v>2026</v>
      </c>
      <c r="U286" t="s">
        <v>42</v>
      </c>
    </row>
    <row r="287" spans="1:21" ht="15" customHeight="1" x14ac:dyDescent="0.3">
      <c r="A287" s="10">
        <v>45299</v>
      </c>
      <c r="B287" s="10">
        <v>46023</v>
      </c>
      <c r="C287" s="10">
        <v>46034</v>
      </c>
      <c r="D287" s="11" t="s">
        <v>179</v>
      </c>
      <c r="E287" s="11" t="s">
        <v>140</v>
      </c>
      <c r="F287" s="11" t="s">
        <v>84</v>
      </c>
      <c r="G287" s="11" t="s">
        <v>53</v>
      </c>
      <c r="H287" s="12">
        <v>757.66</v>
      </c>
      <c r="I287" s="13">
        <v>0.17500000000000002</v>
      </c>
      <c r="J287" s="12">
        <v>152.47925000000001</v>
      </c>
      <c r="K287" s="12">
        <v>81.353567499999969</v>
      </c>
      <c r="L287" s="12">
        <v>113.65</v>
      </c>
      <c r="M287" t="s">
        <v>10</v>
      </c>
      <c r="N287" t="s">
        <v>85</v>
      </c>
      <c r="O287" t="s">
        <v>55</v>
      </c>
      <c r="P287" s="19">
        <v>46053</v>
      </c>
      <c r="Q287">
        <f>+H287+L287</f>
        <v>871.31</v>
      </c>
      <c r="R287">
        <f>+J287+K287+L287</f>
        <v>347.48281750000001</v>
      </c>
      <c r="S287">
        <f>+MONTH(B287)</f>
        <v>1</v>
      </c>
      <c r="T287">
        <f>+YEAR(B287)</f>
        <v>2026</v>
      </c>
      <c r="U287" t="s">
        <v>42</v>
      </c>
    </row>
    <row r="288" spans="1:21" ht="15" customHeight="1" x14ac:dyDescent="0.3">
      <c r="A288" s="10">
        <v>44747</v>
      </c>
      <c r="B288" s="10">
        <v>46023</v>
      </c>
      <c r="C288" s="10">
        <v>46049</v>
      </c>
      <c r="D288" s="11" t="s">
        <v>272</v>
      </c>
      <c r="E288" s="11" t="s">
        <v>246</v>
      </c>
      <c r="F288" s="11" t="s">
        <v>84</v>
      </c>
      <c r="G288" s="11" t="s">
        <v>53</v>
      </c>
      <c r="H288" s="12">
        <v>754.19</v>
      </c>
      <c r="I288" s="13">
        <v>0.17499999999999999</v>
      </c>
      <c r="J288" s="12">
        <v>151.78100000000001</v>
      </c>
      <c r="K288" s="12">
        <v>74.098905000000002</v>
      </c>
      <c r="L288" s="12">
        <v>113.13</v>
      </c>
      <c r="M288" t="s">
        <v>10</v>
      </c>
      <c r="N288" t="s">
        <v>85</v>
      </c>
      <c r="O288" t="s">
        <v>55</v>
      </c>
      <c r="P288" s="19">
        <v>46053</v>
      </c>
      <c r="Q288">
        <f>+H288+L288</f>
        <v>867.32</v>
      </c>
      <c r="R288">
        <f>+J288+K288+L288</f>
        <v>339.009905</v>
      </c>
      <c r="S288">
        <f>+MONTH(B288)</f>
        <v>1</v>
      </c>
      <c r="T288">
        <f>+YEAR(B288)</f>
        <v>2026</v>
      </c>
      <c r="U288" t="s">
        <v>42</v>
      </c>
    </row>
    <row r="289" spans="1:21" ht="15" customHeight="1" x14ac:dyDescent="0.3">
      <c r="A289" s="10">
        <v>45342</v>
      </c>
      <c r="B289" s="10">
        <v>46023</v>
      </c>
      <c r="C289" s="10">
        <v>46034</v>
      </c>
      <c r="D289" s="11" t="s">
        <v>168</v>
      </c>
      <c r="E289" s="11" t="s">
        <v>140</v>
      </c>
      <c r="F289" s="11" t="s">
        <v>84</v>
      </c>
      <c r="G289" s="11" t="s">
        <v>53</v>
      </c>
      <c r="H289" s="12">
        <v>732.22</v>
      </c>
      <c r="I289" s="13">
        <v>0.17499999999999996</v>
      </c>
      <c r="J289" s="12">
        <v>147.35874999999999</v>
      </c>
      <c r="K289" s="12">
        <v>78.622647499999999</v>
      </c>
      <c r="L289" s="12">
        <v>109.83</v>
      </c>
      <c r="M289" t="s">
        <v>10</v>
      </c>
      <c r="N289" t="s">
        <v>85</v>
      </c>
      <c r="O289" t="s">
        <v>55</v>
      </c>
      <c r="P289" s="19">
        <v>46053</v>
      </c>
      <c r="Q289">
        <f>+H289+L289</f>
        <v>842.05000000000007</v>
      </c>
      <c r="R289">
        <f>+J289+K289+L289</f>
        <v>335.8113975</v>
      </c>
      <c r="S289">
        <f>+MONTH(B289)</f>
        <v>1</v>
      </c>
      <c r="T289">
        <f>+YEAR(B289)</f>
        <v>2026</v>
      </c>
      <c r="U289" t="s">
        <v>42</v>
      </c>
    </row>
    <row r="290" spans="1:21" ht="15" customHeight="1" x14ac:dyDescent="0.3">
      <c r="A290" s="10">
        <v>44701</v>
      </c>
      <c r="B290" s="10">
        <v>46023</v>
      </c>
      <c r="C290" s="10">
        <v>46049</v>
      </c>
      <c r="D290" s="11" t="s">
        <v>251</v>
      </c>
      <c r="E290" s="11" t="s">
        <v>246</v>
      </c>
      <c r="F290" s="11" t="s">
        <v>84</v>
      </c>
      <c r="G290" s="11" t="s">
        <v>53</v>
      </c>
      <c r="H290" s="12">
        <v>728.7800000000002</v>
      </c>
      <c r="I290" s="13">
        <v>0.17499999999999996</v>
      </c>
      <c r="J290" s="12">
        <v>146.66749999999999</v>
      </c>
      <c r="K290" s="12">
        <v>71.602110000000067</v>
      </c>
      <c r="L290" s="12">
        <v>109.32</v>
      </c>
      <c r="M290" t="s">
        <v>10</v>
      </c>
      <c r="N290" t="s">
        <v>85</v>
      </c>
      <c r="O290" t="s">
        <v>55</v>
      </c>
      <c r="P290" s="19">
        <v>46053</v>
      </c>
      <c r="Q290">
        <f>+H290+L290</f>
        <v>838.10000000000014</v>
      </c>
      <c r="R290">
        <f>+J290+K290+L290</f>
        <v>327.58961000000005</v>
      </c>
      <c r="S290">
        <f>+MONTH(B290)</f>
        <v>1</v>
      </c>
      <c r="T290">
        <f>+YEAR(B290)</f>
        <v>2026</v>
      </c>
      <c r="U290" t="s">
        <v>42</v>
      </c>
    </row>
    <row r="291" spans="1:21" ht="15" customHeight="1" x14ac:dyDescent="0.3">
      <c r="A291" s="10">
        <v>45299</v>
      </c>
      <c r="B291" s="10">
        <v>46023</v>
      </c>
      <c r="C291" s="10">
        <v>46034</v>
      </c>
      <c r="D291" s="11" t="s">
        <v>194</v>
      </c>
      <c r="E291" s="11" t="s">
        <v>140</v>
      </c>
      <c r="F291" s="11" t="s">
        <v>84</v>
      </c>
      <c r="G291" s="11" t="s">
        <v>53</v>
      </c>
      <c r="H291" s="12">
        <v>724.06999999999994</v>
      </c>
      <c r="I291" s="13">
        <v>0.17500000000000002</v>
      </c>
      <c r="J291" s="12">
        <v>145.71899999999999</v>
      </c>
      <c r="K291" s="12">
        <v>77.74710374999998</v>
      </c>
      <c r="L291" s="12">
        <v>108.61</v>
      </c>
      <c r="M291" t="s">
        <v>10</v>
      </c>
      <c r="N291" t="s">
        <v>85</v>
      </c>
      <c r="O291" t="s">
        <v>55</v>
      </c>
      <c r="P291" s="19">
        <v>46053</v>
      </c>
      <c r="Q291">
        <f>+H291+L291</f>
        <v>832.68</v>
      </c>
      <c r="R291">
        <f>+J291+K291+L291</f>
        <v>332.07610374999996</v>
      </c>
      <c r="S291">
        <f>+MONTH(B291)</f>
        <v>1</v>
      </c>
      <c r="T291">
        <f>+YEAR(B291)</f>
        <v>2026</v>
      </c>
      <c r="U291" t="s">
        <v>42</v>
      </c>
    </row>
    <row r="292" spans="1:21" ht="15" customHeight="1" x14ac:dyDescent="0.3">
      <c r="A292" s="10">
        <v>44959</v>
      </c>
      <c r="B292" s="10">
        <v>46023</v>
      </c>
      <c r="C292" s="10">
        <v>46049</v>
      </c>
      <c r="D292" s="11" t="s">
        <v>285</v>
      </c>
      <c r="E292" s="11" t="s">
        <v>246</v>
      </c>
      <c r="F292" s="11" t="s">
        <v>84</v>
      </c>
      <c r="G292" s="11" t="s">
        <v>53</v>
      </c>
      <c r="H292" s="12">
        <v>724.03000000000009</v>
      </c>
      <c r="I292" s="13">
        <v>0.17499999999999999</v>
      </c>
      <c r="J292" s="12">
        <v>145.71025</v>
      </c>
      <c r="K292" s="12">
        <v>71.136735000000016</v>
      </c>
      <c r="L292" s="12">
        <v>108.6</v>
      </c>
      <c r="M292" t="s">
        <v>10</v>
      </c>
      <c r="N292" t="s">
        <v>85</v>
      </c>
      <c r="O292" t="s">
        <v>55</v>
      </c>
      <c r="P292" s="19">
        <v>46053</v>
      </c>
      <c r="Q292">
        <f>+H292+L292</f>
        <v>832.63000000000011</v>
      </c>
      <c r="R292">
        <f>+J292+K292+L292</f>
        <v>325.44698500000004</v>
      </c>
      <c r="S292">
        <f>+MONTH(B292)</f>
        <v>1</v>
      </c>
      <c r="T292">
        <f>+YEAR(B292)</f>
        <v>2026</v>
      </c>
      <c r="U292" t="s">
        <v>42</v>
      </c>
    </row>
    <row r="293" spans="1:21" ht="15" customHeight="1" x14ac:dyDescent="0.3">
      <c r="A293" s="10">
        <v>46064</v>
      </c>
      <c r="B293" s="10">
        <v>46064</v>
      </c>
      <c r="C293" s="10">
        <v>46064</v>
      </c>
      <c r="D293" s="11" t="s">
        <v>504</v>
      </c>
      <c r="E293" s="11" t="s">
        <v>505</v>
      </c>
      <c r="F293" s="11" t="s">
        <v>84</v>
      </c>
      <c r="G293" s="11" t="s">
        <v>53</v>
      </c>
      <c r="H293" s="12">
        <v>4550.1099999999997</v>
      </c>
      <c r="I293" s="13">
        <v>0.17499999999999999</v>
      </c>
      <c r="J293" s="12">
        <v>915.70849999999996</v>
      </c>
      <c r="K293" s="12">
        <v>504.94959475000019</v>
      </c>
      <c r="L293" s="12">
        <v>682.51</v>
      </c>
      <c r="M293" t="s">
        <v>10</v>
      </c>
      <c r="N293" t="s">
        <v>85</v>
      </c>
      <c r="O293" t="s">
        <v>41</v>
      </c>
      <c r="P293" s="19">
        <v>46081</v>
      </c>
      <c r="Q293" s="47">
        <f>+H293+L293</f>
        <v>5232.62</v>
      </c>
      <c r="R293" s="47">
        <f>+J293+K293+L293</f>
        <v>2103.1680947499999</v>
      </c>
      <c r="S293" s="47">
        <f>+MONTH(B293)</f>
        <v>2</v>
      </c>
      <c r="T293" s="47">
        <f>+YEAR(B293)</f>
        <v>2026</v>
      </c>
      <c r="U293" s="47" t="s">
        <v>364</v>
      </c>
    </row>
    <row r="294" spans="1:21" ht="15" customHeight="1" x14ac:dyDescent="0.3">
      <c r="A294" s="10">
        <v>45044</v>
      </c>
      <c r="B294" s="10">
        <v>45992</v>
      </c>
      <c r="C294" s="10">
        <v>46055</v>
      </c>
      <c r="D294" s="11" t="s">
        <v>506</v>
      </c>
      <c r="E294" s="11" t="s">
        <v>507</v>
      </c>
      <c r="F294" s="11" t="s">
        <v>460</v>
      </c>
      <c r="G294" s="11" t="s">
        <v>53</v>
      </c>
      <c r="H294" s="12">
        <v>32786.97</v>
      </c>
      <c r="I294" s="13">
        <v>0.17499999999999996</v>
      </c>
      <c r="J294" s="12">
        <v>6598.3714999999993</v>
      </c>
      <c r="K294" s="12">
        <v>3221.3260150000006</v>
      </c>
      <c r="L294" s="12">
        <v>4918.01</v>
      </c>
      <c r="M294" t="s">
        <v>10</v>
      </c>
      <c r="N294" t="s">
        <v>85</v>
      </c>
      <c r="O294" t="s">
        <v>55</v>
      </c>
      <c r="P294" s="19">
        <v>46081</v>
      </c>
      <c r="Q294" s="47">
        <f>+H294+L294</f>
        <v>37704.980000000003</v>
      </c>
      <c r="R294" s="47">
        <f>+J294+K294+L294</f>
        <v>14737.707515</v>
      </c>
      <c r="S294" s="47">
        <f>+MONTH(B294)</f>
        <v>12</v>
      </c>
      <c r="T294" s="47">
        <f>+YEAR(B294)</f>
        <v>2025</v>
      </c>
      <c r="U294" s="47" t="s">
        <v>364</v>
      </c>
    </row>
    <row r="295" spans="1:21" ht="15" customHeight="1" x14ac:dyDescent="0.3">
      <c r="A295" s="10">
        <v>44963</v>
      </c>
      <c r="B295" s="10">
        <v>46023</v>
      </c>
      <c r="C295" s="10">
        <v>46049</v>
      </c>
      <c r="D295" s="11" t="s">
        <v>286</v>
      </c>
      <c r="E295" s="11" t="s">
        <v>246</v>
      </c>
      <c r="F295" s="11" t="s">
        <v>84</v>
      </c>
      <c r="G295" s="11" t="s">
        <v>53</v>
      </c>
      <c r="H295" s="12">
        <v>716.73</v>
      </c>
      <c r="I295" s="13">
        <v>0.17499999999999999</v>
      </c>
      <c r="J295" s="12">
        <v>144.24199999999999</v>
      </c>
      <c r="K295" s="12">
        <v>70.418634999999995</v>
      </c>
      <c r="L295" s="12">
        <v>107.51</v>
      </c>
      <c r="M295" t="s">
        <v>10</v>
      </c>
      <c r="N295" t="s">
        <v>85</v>
      </c>
      <c r="O295" t="s">
        <v>55</v>
      </c>
      <c r="P295" s="19">
        <v>46053</v>
      </c>
      <c r="Q295">
        <f>+H295+L295</f>
        <v>824.24</v>
      </c>
      <c r="R295">
        <f>+J295+K295+L295</f>
        <v>322.170635</v>
      </c>
      <c r="S295">
        <f>+MONTH(B295)</f>
        <v>1</v>
      </c>
      <c r="T295">
        <f>+YEAR(B295)</f>
        <v>2026</v>
      </c>
      <c r="U295" t="s">
        <v>42</v>
      </c>
    </row>
    <row r="296" spans="1:21" ht="15" customHeight="1" x14ac:dyDescent="0.3">
      <c r="A296" s="10">
        <v>44854</v>
      </c>
      <c r="B296" s="10">
        <v>46023</v>
      </c>
      <c r="C296" s="10">
        <v>46049</v>
      </c>
      <c r="D296" s="11" t="s">
        <v>281</v>
      </c>
      <c r="E296" s="11" t="s">
        <v>246</v>
      </c>
      <c r="F296" s="11" t="s">
        <v>84</v>
      </c>
      <c r="G296" s="11" t="s">
        <v>53</v>
      </c>
      <c r="H296" s="12">
        <v>707.19</v>
      </c>
      <c r="I296" s="13">
        <v>0.17499999999999999</v>
      </c>
      <c r="J296" s="12">
        <v>142.32049999999998</v>
      </c>
      <c r="K296" s="12">
        <v>69.482905000000017</v>
      </c>
      <c r="L296" s="12">
        <v>106.07</v>
      </c>
      <c r="M296" t="s">
        <v>10</v>
      </c>
      <c r="N296" t="s">
        <v>85</v>
      </c>
      <c r="O296" t="s">
        <v>55</v>
      </c>
      <c r="P296" s="19">
        <v>46053</v>
      </c>
      <c r="Q296">
        <f>+H296+L296</f>
        <v>813.26</v>
      </c>
      <c r="R296">
        <f>+J296+K296+L296</f>
        <v>317.87340499999999</v>
      </c>
      <c r="S296">
        <f>+MONTH(B296)</f>
        <v>1</v>
      </c>
      <c r="T296">
        <f>+YEAR(B296)</f>
        <v>2026</v>
      </c>
      <c r="U296" t="s">
        <v>42</v>
      </c>
    </row>
    <row r="297" spans="1:21" ht="15" customHeight="1" x14ac:dyDescent="0.3">
      <c r="A297" s="10">
        <v>46026</v>
      </c>
      <c r="B297" s="10">
        <v>46026</v>
      </c>
      <c r="C297" s="10">
        <v>46049</v>
      </c>
      <c r="D297" s="11" t="s">
        <v>331</v>
      </c>
      <c r="E297" s="11" t="s">
        <v>332</v>
      </c>
      <c r="F297" s="11" t="s">
        <v>219</v>
      </c>
      <c r="G297" s="11" t="s">
        <v>53</v>
      </c>
      <c r="H297" s="12">
        <v>704.3478260869565</v>
      </c>
      <c r="I297" s="13">
        <v>0.14000000000000001</v>
      </c>
      <c r="J297" s="12">
        <v>113.4</v>
      </c>
      <c r="K297" s="12">
        <v>106.51500000000001</v>
      </c>
      <c r="L297" s="12">
        <v>105.6521739130435</v>
      </c>
      <c r="M297" t="s">
        <v>10</v>
      </c>
      <c r="N297" t="s">
        <v>54</v>
      </c>
      <c r="O297" t="s">
        <v>55</v>
      </c>
      <c r="P297" s="19">
        <v>46053</v>
      </c>
      <c r="Q297">
        <f>+H297+L297</f>
        <v>810</v>
      </c>
      <c r="R297">
        <f>+J297+K297+L297</f>
        <v>325.56717391304352</v>
      </c>
      <c r="S297">
        <f>+MONTH(B297)</f>
        <v>1</v>
      </c>
      <c r="T297">
        <f>+YEAR(B297)</f>
        <v>2026</v>
      </c>
      <c r="U297" t="s">
        <v>42</v>
      </c>
    </row>
    <row r="298" spans="1:21" ht="15" customHeight="1" x14ac:dyDescent="0.3">
      <c r="A298" s="10">
        <v>45436</v>
      </c>
      <c r="B298" s="10">
        <v>46043</v>
      </c>
      <c r="C298" s="10">
        <v>46064</v>
      </c>
      <c r="D298" s="11" t="s">
        <v>498</v>
      </c>
      <c r="E298" s="11" t="s">
        <v>140</v>
      </c>
      <c r="F298" s="11" t="s">
        <v>84</v>
      </c>
      <c r="G298" s="11" t="s">
        <v>53</v>
      </c>
      <c r="H298" s="12">
        <v>702.89999999999986</v>
      </c>
      <c r="I298" s="13">
        <v>0.17500000000000002</v>
      </c>
      <c r="J298" s="12">
        <v>141.45775</v>
      </c>
      <c r="K298" s="12">
        <v>75.47476249999994</v>
      </c>
      <c r="L298" s="12">
        <v>105.43</v>
      </c>
      <c r="M298" t="s">
        <v>10</v>
      </c>
      <c r="N298" t="s">
        <v>85</v>
      </c>
      <c r="O298" t="s">
        <v>55</v>
      </c>
      <c r="P298" s="19">
        <v>46081</v>
      </c>
      <c r="Q298" s="47">
        <f>+H298+L298</f>
        <v>808.32999999999993</v>
      </c>
      <c r="R298" s="47">
        <f>+J298+K298+L298</f>
        <v>322.36251249999998</v>
      </c>
      <c r="S298" s="47">
        <f>+MONTH(B298)</f>
        <v>1</v>
      </c>
      <c r="T298" s="47">
        <f>+YEAR(B298)</f>
        <v>2026</v>
      </c>
      <c r="U298" s="47" t="s">
        <v>364</v>
      </c>
    </row>
    <row r="299" spans="1:21" ht="15" customHeight="1" x14ac:dyDescent="0.3">
      <c r="A299" s="10">
        <v>46057</v>
      </c>
      <c r="B299" s="10">
        <v>46057</v>
      </c>
      <c r="C299" s="10">
        <v>46057</v>
      </c>
      <c r="D299" s="11" t="s">
        <v>513</v>
      </c>
      <c r="E299" s="11" t="s">
        <v>514</v>
      </c>
      <c r="F299" s="11" t="s">
        <v>84</v>
      </c>
      <c r="G299" s="11" t="s">
        <v>53</v>
      </c>
      <c r="H299" s="12">
        <v>93.88</v>
      </c>
      <c r="I299" s="13">
        <v>0.17499999999999999</v>
      </c>
      <c r="J299" s="12">
        <v>18.892999999999997</v>
      </c>
      <c r="K299" s="12">
        <v>10.418683000000005</v>
      </c>
      <c r="L299" s="12">
        <v>14.08</v>
      </c>
      <c r="M299" t="s">
        <v>10</v>
      </c>
      <c r="N299" t="s">
        <v>54</v>
      </c>
      <c r="O299" t="s">
        <v>41</v>
      </c>
      <c r="P299" s="19">
        <v>46081</v>
      </c>
      <c r="Q299" s="47">
        <f>+H299+L299</f>
        <v>107.96</v>
      </c>
      <c r="R299" s="47">
        <f>+J299+K299+L299</f>
        <v>43.391683</v>
      </c>
      <c r="S299" s="47">
        <f>+MONTH(B299)</f>
        <v>2</v>
      </c>
      <c r="T299" s="47">
        <f>+YEAR(B299)</f>
        <v>2026</v>
      </c>
      <c r="U299" s="47" t="s">
        <v>364</v>
      </c>
    </row>
    <row r="300" spans="1:21" ht="15" customHeight="1" x14ac:dyDescent="0.3">
      <c r="A300" s="10">
        <v>46057</v>
      </c>
      <c r="B300" s="10">
        <v>46057</v>
      </c>
      <c r="C300" s="10">
        <v>46057</v>
      </c>
      <c r="D300" s="11" t="s">
        <v>515</v>
      </c>
      <c r="E300" s="11" t="s">
        <v>514</v>
      </c>
      <c r="F300" s="11" t="s">
        <v>84</v>
      </c>
      <c r="G300" s="11" t="s">
        <v>53</v>
      </c>
      <c r="H300" s="12">
        <v>469.41000000000008</v>
      </c>
      <c r="I300" s="13">
        <v>0.17499999999999993</v>
      </c>
      <c r="J300" s="12">
        <v>94.468499999999977</v>
      </c>
      <c r="K300" s="12">
        <v>52.093037250000066</v>
      </c>
      <c r="L300" s="12">
        <v>70.41</v>
      </c>
      <c r="M300" t="s">
        <v>10</v>
      </c>
      <c r="N300" t="s">
        <v>54</v>
      </c>
      <c r="O300" t="s">
        <v>41</v>
      </c>
      <c r="P300" s="19">
        <v>46081</v>
      </c>
      <c r="Q300" s="47">
        <f>+H300+L300</f>
        <v>539.82000000000005</v>
      </c>
      <c r="R300" s="47">
        <f>+J300+K300+L300</f>
        <v>216.97153725000004</v>
      </c>
      <c r="S300" s="47">
        <f>+MONTH(B300)</f>
        <v>2</v>
      </c>
      <c r="T300" s="47">
        <f>+YEAR(B300)</f>
        <v>2026</v>
      </c>
      <c r="U300" s="47" t="s">
        <v>364</v>
      </c>
    </row>
    <row r="301" spans="1:21" ht="15" customHeight="1" x14ac:dyDescent="0.3">
      <c r="A301" s="10">
        <v>45551</v>
      </c>
      <c r="B301" s="10">
        <v>46043</v>
      </c>
      <c r="C301" s="10">
        <v>46064</v>
      </c>
      <c r="D301" s="11" t="s">
        <v>502</v>
      </c>
      <c r="E301" s="11" t="s">
        <v>140</v>
      </c>
      <c r="F301" s="11" t="s">
        <v>84</v>
      </c>
      <c r="G301" s="11" t="s">
        <v>53</v>
      </c>
      <c r="H301" s="12">
        <v>697.58</v>
      </c>
      <c r="I301" s="13">
        <v>0.17499999999999999</v>
      </c>
      <c r="J301" s="12">
        <v>140.38849999999999</v>
      </c>
      <c r="K301" s="12">
        <v>74.902127500000006</v>
      </c>
      <c r="L301" s="12">
        <v>104.64</v>
      </c>
      <c r="M301" t="s">
        <v>10</v>
      </c>
      <c r="N301" t="s">
        <v>85</v>
      </c>
      <c r="O301" t="s">
        <v>55</v>
      </c>
      <c r="P301" s="19">
        <v>46081</v>
      </c>
      <c r="Q301" s="47">
        <f>+H301+L301</f>
        <v>802.22</v>
      </c>
      <c r="R301" s="47">
        <f>+J301+K301+L301</f>
        <v>319.93062750000001</v>
      </c>
      <c r="S301" s="47">
        <f>+MONTH(B301)</f>
        <v>1</v>
      </c>
      <c r="T301" s="47">
        <f>+YEAR(B301)</f>
        <v>2026</v>
      </c>
      <c r="U301" s="47" t="s">
        <v>364</v>
      </c>
    </row>
    <row r="302" spans="1:21" ht="15" customHeight="1" x14ac:dyDescent="0.3">
      <c r="A302" s="10">
        <v>46059</v>
      </c>
      <c r="B302" s="10">
        <v>46059</v>
      </c>
      <c r="C302" s="10">
        <v>46059</v>
      </c>
      <c r="D302" s="11" t="s">
        <v>518</v>
      </c>
      <c r="E302" s="11" t="s">
        <v>519</v>
      </c>
      <c r="F302" s="11" t="s">
        <v>84</v>
      </c>
      <c r="G302" s="11" t="s">
        <v>53</v>
      </c>
      <c r="H302" s="12">
        <v>2608.6999999999998</v>
      </c>
      <c r="I302" s="13">
        <v>0.17499999999999999</v>
      </c>
      <c r="J302" s="12">
        <v>525</v>
      </c>
      <c r="K302" s="12">
        <v>289.50135750000004</v>
      </c>
      <c r="L302" s="12">
        <v>391.3</v>
      </c>
      <c r="M302" t="s">
        <v>10</v>
      </c>
      <c r="N302" t="s">
        <v>54</v>
      </c>
      <c r="O302" t="s">
        <v>41</v>
      </c>
      <c r="P302" s="19">
        <v>46081</v>
      </c>
      <c r="Q302" s="47">
        <f>+H302+L302</f>
        <v>3000</v>
      </c>
      <c r="R302" s="47">
        <f>+J302+K302+L302</f>
        <v>1205.8013575</v>
      </c>
      <c r="S302" s="47">
        <f>+MONTH(B302)</f>
        <v>2</v>
      </c>
      <c r="T302" s="47">
        <f>+YEAR(B302)</f>
        <v>2026</v>
      </c>
      <c r="U302" s="47" t="s">
        <v>364</v>
      </c>
    </row>
    <row r="303" spans="1:21" ht="15" customHeight="1" x14ac:dyDescent="0.3">
      <c r="A303" s="10">
        <v>46063</v>
      </c>
      <c r="B303" s="10">
        <v>46063</v>
      </c>
      <c r="C303" s="10">
        <v>46063</v>
      </c>
      <c r="D303" s="11" t="s">
        <v>520</v>
      </c>
      <c r="E303" s="11" t="s">
        <v>521</v>
      </c>
      <c r="F303" s="11" t="s">
        <v>84</v>
      </c>
      <c r="G303" s="11" t="s">
        <v>53</v>
      </c>
      <c r="H303" s="12">
        <v>453.52</v>
      </c>
      <c r="I303" s="13">
        <v>0.17500000000000004</v>
      </c>
      <c r="J303" s="12">
        <v>91.271250000000009</v>
      </c>
      <c r="K303" s="12">
        <v>50.329032000000012</v>
      </c>
      <c r="L303" s="12">
        <v>68.03</v>
      </c>
      <c r="M303" t="s">
        <v>10</v>
      </c>
      <c r="N303" t="s">
        <v>54</v>
      </c>
      <c r="O303" t="s">
        <v>41</v>
      </c>
      <c r="P303" s="19">
        <v>46081</v>
      </c>
      <c r="Q303" s="47">
        <f>+H303+L303</f>
        <v>521.54999999999995</v>
      </c>
      <c r="R303" s="47">
        <f>+J303+K303+L303</f>
        <v>209.63028200000002</v>
      </c>
      <c r="S303" s="47">
        <f>+MONTH(B303)</f>
        <v>2</v>
      </c>
      <c r="T303" s="47">
        <f>+YEAR(B303)</f>
        <v>2026</v>
      </c>
      <c r="U303" s="47" t="s">
        <v>364</v>
      </c>
    </row>
    <row r="304" spans="1:21" ht="15" customHeight="1" x14ac:dyDescent="0.3">
      <c r="A304" s="10">
        <v>46051</v>
      </c>
      <c r="B304" s="10">
        <v>46051</v>
      </c>
      <c r="C304" s="10">
        <v>46049</v>
      </c>
      <c r="D304" s="11" t="s">
        <v>344</v>
      </c>
      <c r="E304" s="11" t="s">
        <v>345</v>
      </c>
      <c r="F304" s="11" t="s">
        <v>90</v>
      </c>
      <c r="G304" s="11" t="s">
        <v>53</v>
      </c>
      <c r="H304" s="12">
        <v>697.46086956521754</v>
      </c>
      <c r="I304" s="13">
        <v>0.17499999999999996</v>
      </c>
      <c r="J304" s="12">
        <v>140.364</v>
      </c>
      <c r="K304" s="12">
        <v>77.400720000000064</v>
      </c>
      <c r="L304" s="12">
        <v>104.6191304347826</v>
      </c>
      <c r="M304" t="s">
        <v>10</v>
      </c>
      <c r="N304" t="s">
        <v>54</v>
      </c>
      <c r="O304" t="s">
        <v>55</v>
      </c>
      <c r="P304" s="19">
        <v>46053</v>
      </c>
      <c r="Q304">
        <f>+H304+L304</f>
        <v>802.08000000000015</v>
      </c>
      <c r="R304">
        <f>+J304+K304+L304</f>
        <v>322.38385043478269</v>
      </c>
      <c r="S304">
        <f>+MONTH(B304)</f>
        <v>1</v>
      </c>
      <c r="T304">
        <f>+YEAR(B304)</f>
        <v>2026</v>
      </c>
      <c r="U304" t="s">
        <v>42</v>
      </c>
    </row>
    <row r="305" spans="1:21" ht="15" customHeight="1" x14ac:dyDescent="0.3">
      <c r="A305" s="10">
        <v>44963</v>
      </c>
      <c r="B305" s="10">
        <v>46023</v>
      </c>
      <c r="C305" s="10">
        <v>46049</v>
      </c>
      <c r="D305" s="11" t="s">
        <v>288</v>
      </c>
      <c r="E305" s="11" t="s">
        <v>246</v>
      </c>
      <c r="F305" s="11" t="s">
        <v>84</v>
      </c>
      <c r="G305" s="11" t="s">
        <v>53</v>
      </c>
      <c r="H305" s="12">
        <v>696.77</v>
      </c>
      <c r="I305" s="13">
        <v>0.17500000000000002</v>
      </c>
      <c r="J305" s="12">
        <v>140.22225</v>
      </c>
      <c r="K305" s="12">
        <v>68.460364999999996</v>
      </c>
      <c r="L305" s="12">
        <v>104.5</v>
      </c>
      <c r="M305" t="s">
        <v>10</v>
      </c>
      <c r="N305" t="s">
        <v>85</v>
      </c>
      <c r="O305" t="s">
        <v>55</v>
      </c>
      <c r="P305" s="19">
        <v>46053</v>
      </c>
      <c r="Q305">
        <f>+H305+L305</f>
        <v>801.27</v>
      </c>
      <c r="R305">
        <f>+J305+K305+L305</f>
        <v>313.182615</v>
      </c>
      <c r="S305">
        <f>+MONTH(B305)</f>
        <v>1</v>
      </c>
      <c r="T305">
        <f>+YEAR(B305)</f>
        <v>2026</v>
      </c>
      <c r="U305" t="s">
        <v>42</v>
      </c>
    </row>
    <row r="306" spans="1:21" ht="15" customHeight="1" x14ac:dyDescent="0.3">
      <c r="A306" s="10">
        <v>46065</v>
      </c>
      <c r="B306" s="10">
        <v>46065</v>
      </c>
      <c r="C306" s="10">
        <v>46064</v>
      </c>
      <c r="D306" s="11" t="s">
        <v>526</v>
      </c>
      <c r="E306" s="11" t="s">
        <v>527</v>
      </c>
      <c r="F306" s="11" t="s">
        <v>528</v>
      </c>
      <c r="G306" s="11" t="s">
        <v>53</v>
      </c>
      <c r="H306" s="12">
        <v>6086.96</v>
      </c>
      <c r="I306" s="13">
        <v>0.13500000000000001</v>
      </c>
      <c r="J306" s="12">
        <v>945.00000000000011</v>
      </c>
      <c r="K306" s="12">
        <v>955.5010860000001</v>
      </c>
      <c r="L306" s="12">
        <v>913.04</v>
      </c>
      <c r="M306" t="s">
        <v>10</v>
      </c>
      <c r="N306" t="s">
        <v>54</v>
      </c>
      <c r="O306" t="s">
        <v>41</v>
      </c>
      <c r="P306" s="19">
        <v>46081</v>
      </c>
      <c r="Q306" s="47">
        <f>+H306+L306</f>
        <v>7000</v>
      </c>
      <c r="R306" s="47">
        <f>+J306+K306+L306</f>
        <v>2813.5410860000002</v>
      </c>
      <c r="S306" s="47">
        <f>+MONTH(B306)</f>
        <v>2</v>
      </c>
      <c r="T306" s="47">
        <f>+YEAR(B306)</f>
        <v>2026</v>
      </c>
      <c r="U306" s="47" t="s">
        <v>364</v>
      </c>
    </row>
    <row r="307" spans="1:21" ht="15" customHeight="1" x14ac:dyDescent="0.3">
      <c r="A307" s="10">
        <v>46063</v>
      </c>
      <c r="B307" s="10">
        <v>46064</v>
      </c>
      <c r="C307" s="10">
        <v>46064</v>
      </c>
      <c r="D307" s="11" t="s">
        <v>529</v>
      </c>
      <c r="E307" s="11" t="s">
        <v>464</v>
      </c>
      <c r="F307" s="11" t="s">
        <v>84</v>
      </c>
      <c r="G307" s="11" t="s">
        <v>53</v>
      </c>
      <c r="H307" s="12">
        <v>544.45000000000005</v>
      </c>
      <c r="I307" s="13">
        <v>0.17499999999999999</v>
      </c>
      <c r="J307" s="12">
        <v>109.571</v>
      </c>
      <c r="K307" s="12">
        <v>60.419901250000038</v>
      </c>
      <c r="L307" s="12">
        <v>81.67</v>
      </c>
      <c r="M307" t="s">
        <v>10</v>
      </c>
      <c r="N307" t="s">
        <v>54</v>
      </c>
      <c r="O307" t="s">
        <v>41</v>
      </c>
      <c r="P307" s="19">
        <v>46081</v>
      </c>
      <c r="Q307" s="47">
        <f>+H307+L307</f>
        <v>626.12</v>
      </c>
      <c r="R307" s="47">
        <f>+J307+K307+L307</f>
        <v>251.66090125000005</v>
      </c>
      <c r="S307" s="47">
        <f>+MONTH(B307)</f>
        <v>2</v>
      </c>
      <c r="T307" s="47">
        <f>+YEAR(B307)</f>
        <v>2026</v>
      </c>
      <c r="U307" s="47" t="s">
        <v>364</v>
      </c>
    </row>
    <row r="308" spans="1:21" ht="15" customHeight="1" x14ac:dyDescent="0.3">
      <c r="A308" s="10">
        <v>45531</v>
      </c>
      <c r="B308" s="10">
        <v>45897</v>
      </c>
      <c r="C308" s="10">
        <v>46080</v>
      </c>
      <c r="D308" s="11" t="s">
        <v>530</v>
      </c>
      <c r="E308" s="11" t="s">
        <v>531</v>
      </c>
      <c r="F308" s="11" t="s">
        <v>90</v>
      </c>
      <c r="G308" s="11" t="s">
        <v>53</v>
      </c>
      <c r="H308" s="12">
        <v>-65.489999999999995</v>
      </c>
      <c r="I308" s="13">
        <v>0.17500000000000002</v>
      </c>
      <c r="J308" s="12">
        <v>-11.460750000000001</v>
      </c>
      <c r="K308" s="12">
        <v>-8.7511012499999978</v>
      </c>
      <c r="L308" s="12">
        <v>0</v>
      </c>
      <c r="M308" t="s">
        <v>10</v>
      </c>
      <c r="N308" t="s">
        <v>85</v>
      </c>
      <c r="O308" t="s">
        <v>55</v>
      </c>
      <c r="P308" s="19">
        <v>46081</v>
      </c>
      <c r="Q308" s="47">
        <f>+H308+L308</f>
        <v>-65.489999999999995</v>
      </c>
      <c r="R308" s="47">
        <f>+J308+K308+L308</f>
        <v>-20.211851249999999</v>
      </c>
      <c r="S308" s="47">
        <f>+MONTH(B308)</f>
        <v>8</v>
      </c>
      <c r="T308" s="47">
        <f>+YEAR(B308)</f>
        <v>2025</v>
      </c>
      <c r="U308" s="47" t="s">
        <v>364</v>
      </c>
    </row>
    <row r="309" spans="1:21" ht="15" customHeight="1" x14ac:dyDescent="0.3">
      <c r="A309" s="10">
        <v>45499</v>
      </c>
      <c r="B309" s="10">
        <v>45909</v>
      </c>
      <c r="C309" s="10">
        <v>46080</v>
      </c>
      <c r="D309" s="11" t="s">
        <v>532</v>
      </c>
      <c r="E309" s="11" t="s">
        <v>531</v>
      </c>
      <c r="F309" s="11" t="s">
        <v>90</v>
      </c>
      <c r="G309" s="11" t="s">
        <v>53</v>
      </c>
      <c r="H309" s="12">
        <v>-47.509999999999991</v>
      </c>
      <c r="I309" s="13">
        <v>0.17500000000000002</v>
      </c>
      <c r="J309" s="12">
        <v>-8.3142499999999995</v>
      </c>
      <c r="K309" s="12">
        <v>-6.3485237499999965</v>
      </c>
      <c r="L309" s="12">
        <v>0</v>
      </c>
      <c r="M309" t="s">
        <v>10</v>
      </c>
      <c r="N309" t="s">
        <v>85</v>
      </c>
      <c r="O309" t="s">
        <v>55</v>
      </c>
      <c r="P309" s="19">
        <v>46081</v>
      </c>
      <c r="Q309" s="47">
        <f>+H309+L309</f>
        <v>-47.509999999999991</v>
      </c>
      <c r="R309" s="47">
        <f>+J309+K309+L309</f>
        <v>-14.662773749999996</v>
      </c>
      <c r="S309" s="47">
        <f>+MONTH(B309)</f>
        <v>9</v>
      </c>
      <c r="T309" s="47">
        <f>+YEAR(B309)</f>
        <v>2025</v>
      </c>
      <c r="U309" s="47" t="s">
        <v>364</v>
      </c>
    </row>
    <row r="310" spans="1:21" ht="15" customHeight="1" x14ac:dyDescent="0.3">
      <c r="A310" s="10">
        <v>45499</v>
      </c>
      <c r="B310" s="10">
        <v>45923</v>
      </c>
      <c r="C310" s="10">
        <v>46080</v>
      </c>
      <c r="D310" s="11" t="s">
        <v>533</v>
      </c>
      <c r="E310" s="11" t="s">
        <v>531</v>
      </c>
      <c r="F310" s="11" t="s">
        <v>90</v>
      </c>
      <c r="G310" s="11" t="s">
        <v>53</v>
      </c>
      <c r="H310" s="12">
        <v>-13.689999999999998</v>
      </c>
      <c r="I310" s="13">
        <v>0.17500000000000004</v>
      </c>
      <c r="J310" s="12">
        <v>-2.39575</v>
      </c>
      <c r="K310" s="12">
        <v>-1.8293262499999989</v>
      </c>
      <c r="L310" s="12">
        <v>0</v>
      </c>
      <c r="M310" t="s">
        <v>10</v>
      </c>
      <c r="N310" t="s">
        <v>85</v>
      </c>
      <c r="O310" t="s">
        <v>55</v>
      </c>
      <c r="P310" s="19">
        <v>46081</v>
      </c>
      <c r="Q310" s="47">
        <f>+H310+L310</f>
        <v>-13.689999999999998</v>
      </c>
      <c r="R310" s="47">
        <f>+J310+K310+L310</f>
        <v>-4.225076249999999</v>
      </c>
      <c r="S310" s="47">
        <f>+MONTH(B310)</f>
        <v>9</v>
      </c>
      <c r="T310" s="47">
        <f>+YEAR(B310)</f>
        <v>2025</v>
      </c>
      <c r="U310" s="47" t="s">
        <v>364</v>
      </c>
    </row>
    <row r="311" spans="1:21" ht="15" customHeight="1" x14ac:dyDescent="0.3">
      <c r="A311" s="10">
        <v>45499</v>
      </c>
      <c r="B311" s="10">
        <v>45869</v>
      </c>
      <c r="C311" s="10">
        <v>46080</v>
      </c>
      <c r="D311" s="11" t="s">
        <v>534</v>
      </c>
      <c r="E311" s="11" t="s">
        <v>531</v>
      </c>
      <c r="F311" s="11" t="s">
        <v>90</v>
      </c>
      <c r="G311" s="11" t="s">
        <v>53</v>
      </c>
      <c r="H311" s="12">
        <v>-103.74</v>
      </c>
      <c r="I311" s="13">
        <v>0.17499999999999999</v>
      </c>
      <c r="J311" s="12">
        <v>-18.154499999999999</v>
      </c>
      <c r="K311" s="12">
        <v>-13.862257499999998</v>
      </c>
      <c r="L311" s="12">
        <v>0</v>
      </c>
      <c r="M311" t="s">
        <v>10</v>
      </c>
      <c r="N311" t="s">
        <v>85</v>
      </c>
      <c r="O311" t="s">
        <v>55</v>
      </c>
      <c r="P311" s="19">
        <v>46081</v>
      </c>
      <c r="Q311" s="47">
        <f>+H311+L311</f>
        <v>-103.74</v>
      </c>
      <c r="R311" s="47">
        <f>+J311+K311+L311</f>
        <v>-32.016757499999997</v>
      </c>
      <c r="S311" s="47">
        <f>+MONTH(B311)</f>
        <v>7</v>
      </c>
      <c r="T311" s="47">
        <f>+YEAR(B311)</f>
        <v>2025</v>
      </c>
      <c r="U311" s="47" t="s">
        <v>364</v>
      </c>
    </row>
    <row r="312" spans="1:21" ht="15" customHeight="1" x14ac:dyDescent="0.3">
      <c r="A312" s="10">
        <v>45499</v>
      </c>
      <c r="B312" s="10">
        <v>45884</v>
      </c>
      <c r="C312" s="10">
        <v>46080</v>
      </c>
      <c r="D312" s="11" t="s">
        <v>535</v>
      </c>
      <c r="E312" s="11" t="s">
        <v>531</v>
      </c>
      <c r="F312" s="11" t="s">
        <v>90</v>
      </c>
      <c r="G312" s="11" t="s">
        <v>53</v>
      </c>
      <c r="H312" s="12">
        <v>-81.61</v>
      </c>
      <c r="I312" s="13">
        <v>0.17499999999999999</v>
      </c>
      <c r="J312" s="12">
        <v>-14.281749999999999</v>
      </c>
      <c r="K312" s="12">
        <v>-10.905136249999998</v>
      </c>
      <c r="L312" s="12">
        <v>0</v>
      </c>
      <c r="M312" t="s">
        <v>10</v>
      </c>
      <c r="N312" t="s">
        <v>85</v>
      </c>
      <c r="O312" t="s">
        <v>55</v>
      </c>
      <c r="P312" s="19">
        <v>46081</v>
      </c>
      <c r="Q312" s="47">
        <f>+H312+L312</f>
        <v>-81.61</v>
      </c>
      <c r="R312" s="47">
        <f>+J312+K312+L312</f>
        <v>-25.186886249999997</v>
      </c>
      <c r="S312" s="47">
        <f>+MONTH(B312)</f>
        <v>8</v>
      </c>
      <c r="T312" s="47">
        <f>+YEAR(B312)</f>
        <v>2025</v>
      </c>
      <c r="U312" s="47" t="s">
        <v>364</v>
      </c>
    </row>
    <row r="313" spans="1:21" ht="15" customHeight="1" x14ac:dyDescent="0.3">
      <c r="A313" s="10">
        <v>45499</v>
      </c>
      <c r="B313" s="10">
        <v>45882</v>
      </c>
      <c r="C313" s="10">
        <v>46080</v>
      </c>
      <c r="D313" s="11" t="s">
        <v>536</v>
      </c>
      <c r="E313" s="11" t="s">
        <v>531</v>
      </c>
      <c r="F313" s="11" t="s">
        <v>90</v>
      </c>
      <c r="G313" s="11" t="s">
        <v>53</v>
      </c>
      <c r="H313" s="12">
        <v>-82.75</v>
      </c>
      <c r="I313" s="13">
        <v>0.17499999999999999</v>
      </c>
      <c r="J313" s="12">
        <v>-14.481249999999999</v>
      </c>
      <c r="K313" s="12">
        <v>-11.057468749999998</v>
      </c>
      <c r="L313" s="12">
        <v>0</v>
      </c>
      <c r="M313" t="s">
        <v>10</v>
      </c>
      <c r="N313" t="s">
        <v>85</v>
      </c>
      <c r="O313" t="s">
        <v>55</v>
      </c>
      <c r="P313" s="19">
        <v>46081</v>
      </c>
      <c r="Q313" s="47">
        <f>+H313+L313</f>
        <v>-82.75</v>
      </c>
      <c r="R313" s="47">
        <f>+J313+K313+L313</f>
        <v>-25.538718749999997</v>
      </c>
      <c r="S313" s="47">
        <f>+MONTH(B313)</f>
        <v>8</v>
      </c>
      <c r="T313" s="47">
        <f>+YEAR(B313)</f>
        <v>2025</v>
      </c>
      <c r="U313" s="47" t="s">
        <v>364</v>
      </c>
    </row>
    <row r="314" spans="1:21" ht="15" customHeight="1" x14ac:dyDescent="0.3">
      <c r="A314" s="10">
        <v>45499</v>
      </c>
      <c r="B314" s="10">
        <v>45867</v>
      </c>
      <c r="C314" s="10">
        <v>46108</v>
      </c>
      <c r="D314" s="11" t="s">
        <v>537</v>
      </c>
      <c r="E314" s="11" t="s">
        <v>531</v>
      </c>
      <c r="F314" s="11" t="s">
        <v>90</v>
      </c>
      <c r="G314" s="11" t="s">
        <v>53</v>
      </c>
      <c r="H314" s="12">
        <v>-135.5</v>
      </c>
      <c r="I314" s="13">
        <v>0.17499999999999999</v>
      </c>
      <c r="J314" s="12">
        <v>-23.712499999999999</v>
      </c>
      <c r="K314" s="12">
        <v>-18.106187499999997</v>
      </c>
      <c r="L314" s="12">
        <v>0</v>
      </c>
      <c r="M314" t="s">
        <v>10</v>
      </c>
      <c r="N314" t="s">
        <v>85</v>
      </c>
      <c r="O314" t="s">
        <v>55</v>
      </c>
      <c r="P314" s="19">
        <v>46081</v>
      </c>
      <c r="Q314" s="47">
        <f>+H314+L314</f>
        <v>-135.5</v>
      </c>
      <c r="R314" s="47">
        <f>+J314+K314+L314</f>
        <v>-41.818687499999996</v>
      </c>
      <c r="S314" s="47">
        <f>+MONTH(B314)</f>
        <v>7</v>
      </c>
      <c r="T314" s="47">
        <f>+YEAR(B314)</f>
        <v>2025</v>
      </c>
      <c r="U314" s="47" t="s">
        <v>364</v>
      </c>
    </row>
    <row r="315" spans="1:21" ht="15" customHeight="1" x14ac:dyDescent="0.3">
      <c r="A315" s="10">
        <v>45499</v>
      </c>
      <c r="B315" s="10">
        <v>45862</v>
      </c>
      <c r="C315" s="10">
        <v>46080</v>
      </c>
      <c r="D315" s="11" t="s">
        <v>538</v>
      </c>
      <c r="E315" s="11" t="s">
        <v>531</v>
      </c>
      <c r="F315" s="11" t="s">
        <v>90</v>
      </c>
      <c r="G315" s="11" t="s">
        <v>53</v>
      </c>
      <c r="H315" s="12">
        <v>-174.37</v>
      </c>
      <c r="I315" s="13">
        <v>0.17499999999999999</v>
      </c>
      <c r="J315" s="12">
        <v>-30.514749999999999</v>
      </c>
      <c r="K315" s="12">
        <v>-23.300191249999997</v>
      </c>
      <c r="L315" s="12">
        <v>0</v>
      </c>
      <c r="M315" t="s">
        <v>10</v>
      </c>
      <c r="N315" t="s">
        <v>85</v>
      </c>
      <c r="O315" t="s">
        <v>55</v>
      </c>
      <c r="P315" s="19">
        <v>46081</v>
      </c>
      <c r="Q315" s="47">
        <f>+H315+L315</f>
        <v>-174.37</v>
      </c>
      <c r="R315" s="47">
        <f>+J315+K315+L315</f>
        <v>-53.814941249999997</v>
      </c>
      <c r="S315" s="47">
        <f>+MONTH(B315)</f>
        <v>7</v>
      </c>
      <c r="T315" s="47">
        <f>+YEAR(B315)</f>
        <v>2025</v>
      </c>
      <c r="U315" s="47" t="s">
        <v>364</v>
      </c>
    </row>
    <row r="316" spans="1:21" ht="15" customHeight="1" x14ac:dyDescent="0.3">
      <c r="A316" s="10">
        <v>45499</v>
      </c>
      <c r="B316" s="10">
        <v>45901</v>
      </c>
      <c r="C316" s="10">
        <v>46080</v>
      </c>
      <c r="D316" s="11" t="s">
        <v>539</v>
      </c>
      <c r="E316" s="11" t="s">
        <v>531</v>
      </c>
      <c r="F316" s="11" t="s">
        <v>90</v>
      </c>
      <c r="G316" s="11" t="s">
        <v>53</v>
      </c>
      <c r="H316" s="12">
        <v>-47.47</v>
      </c>
      <c r="I316" s="13">
        <v>0.17499999999999999</v>
      </c>
      <c r="J316" s="12">
        <v>-8.3072499999999998</v>
      </c>
      <c r="K316" s="12">
        <v>-6.3431787499999999</v>
      </c>
      <c r="L316" s="12">
        <v>0</v>
      </c>
      <c r="M316" t="s">
        <v>10</v>
      </c>
      <c r="N316" t="s">
        <v>85</v>
      </c>
      <c r="O316" t="s">
        <v>55</v>
      </c>
      <c r="P316" s="19">
        <v>46081</v>
      </c>
      <c r="Q316" s="47">
        <f>+H316+L316</f>
        <v>-47.47</v>
      </c>
      <c r="R316" s="47">
        <f>+J316+K316+L316</f>
        <v>-14.65042875</v>
      </c>
      <c r="S316" s="47">
        <f>+MONTH(B316)</f>
        <v>9</v>
      </c>
      <c r="T316" s="47">
        <f>+YEAR(B316)</f>
        <v>2025</v>
      </c>
      <c r="U316" s="47" t="s">
        <v>364</v>
      </c>
    </row>
    <row r="317" spans="1:21" ht="15" customHeight="1" x14ac:dyDescent="0.3">
      <c r="A317" s="10">
        <v>45499</v>
      </c>
      <c r="B317" s="10">
        <v>45499</v>
      </c>
      <c r="C317" s="10">
        <v>46077</v>
      </c>
      <c r="D317" s="11" t="s">
        <v>540</v>
      </c>
      <c r="E317" s="11" t="s">
        <v>531</v>
      </c>
      <c r="F317" s="11" t="s">
        <v>90</v>
      </c>
      <c r="G317" s="11" t="s">
        <v>53</v>
      </c>
      <c r="H317" s="12">
        <v>172.16</v>
      </c>
      <c r="I317" s="13">
        <v>0.17500000000000002</v>
      </c>
      <c r="J317" s="12">
        <v>34.646500000000003</v>
      </c>
      <c r="K317" s="12">
        <v>18.48637999999999</v>
      </c>
      <c r="L317" s="12">
        <v>25.819999999999997</v>
      </c>
      <c r="M317" t="s">
        <v>10</v>
      </c>
      <c r="N317" t="s">
        <v>85</v>
      </c>
      <c r="O317" t="s">
        <v>41</v>
      </c>
      <c r="P317" s="19">
        <v>46081</v>
      </c>
      <c r="Q317" s="47">
        <f>+H317+L317</f>
        <v>197.98</v>
      </c>
      <c r="R317" s="47">
        <f>+J317+K317+L317</f>
        <v>78.952879999999993</v>
      </c>
      <c r="S317" s="47">
        <f>+MONTH(B317)</f>
        <v>7</v>
      </c>
      <c r="T317" s="47">
        <f>+YEAR(B317)</f>
        <v>2024</v>
      </c>
      <c r="U317" s="47" t="s">
        <v>364</v>
      </c>
    </row>
    <row r="318" spans="1:21" ht="15" customHeight="1" x14ac:dyDescent="0.3">
      <c r="A318" s="10">
        <v>45499</v>
      </c>
      <c r="B318" s="10">
        <v>45499</v>
      </c>
      <c r="C318" s="10">
        <v>46077</v>
      </c>
      <c r="D318" s="11" t="s">
        <v>541</v>
      </c>
      <c r="E318" s="11" t="s">
        <v>531</v>
      </c>
      <c r="F318" s="11" t="s">
        <v>90</v>
      </c>
      <c r="G318" s="11" t="s">
        <v>53</v>
      </c>
      <c r="H318" s="12">
        <v>57.34</v>
      </c>
      <c r="I318" s="13">
        <v>0.17499999999999999</v>
      </c>
      <c r="J318" s="12">
        <v>11.54125</v>
      </c>
      <c r="K318" s="12">
        <v>6.155307500000001</v>
      </c>
      <c r="L318" s="12">
        <v>8.61</v>
      </c>
      <c r="M318" t="s">
        <v>10</v>
      </c>
      <c r="N318" t="s">
        <v>85</v>
      </c>
      <c r="O318" t="s">
        <v>41</v>
      </c>
      <c r="P318" s="19">
        <v>46081</v>
      </c>
      <c r="Q318" s="47">
        <f>+H318+L318</f>
        <v>65.95</v>
      </c>
      <c r="R318" s="47">
        <f>+J318+K318+L318</f>
        <v>26.3065575</v>
      </c>
      <c r="S318" s="47">
        <f>+MONTH(B318)</f>
        <v>7</v>
      </c>
      <c r="T318" s="47">
        <f>+YEAR(B318)</f>
        <v>2024</v>
      </c>
      <c r="U318" s="47" t="s">
        <v>364</v>
      </c>
    </row>
    <row r="319" spans="1:21" ht="15" customHeight="1" x14ac:dyDescent="0.3">
      <c r="A319" s="10">
        <v>45644</v>
      </c>
      <c r="B319" s="10">
        <v>45644</v>
      </c>
      <c r="C319" s="10">
        <v>46077</v>
      </c>
      <c r="D319" s="11" t="s">
        <v>542</v>
      </c>
      <c r="E319" s="11" t="s">
        <v>531</v>
      </c>
      <c r="F319" s="11" t="s">
        <v>90</v>
      </c>
      <c r="G319" s="11" t="s">
        <v>53</v>
      </c>
      <c r="H319" s="12">
        <v>50.990000000000009</v>
      </c>
      <c r="I319" s="13">
        <v>0.17499999999999996</v>
      </c>
      <c r="J319" s="12">
        <v>10.261999999999999</v>
      </c>
      <c r="K319" s="12">
        <v>5.4747887500000036</v>
      </c>
      <c r="L319" s="12">
        <v>7.65</v>
      </c>
      <c r="M319" t="s">
        <v>10</v>
      </c>
      <c r="N319" t="s">
        <v>85</v>
      </c>
      <c r="O319" t="s">
        <v>41</v>
      </c>
      <c r="P319" s="19">
        <v>46081</v>
      </c>
      <c r="Q319" s="47">
        <f>+H319+L319</f>
        <v>58.640000000000008</v>
      </c>
      <c r="R319" s="47">
        <f>+J319+K319+L319</f>
        <v>23.386788750000001</v>
      </c>
      <c r="S319" s="47">
        <f>+MONTH(B319)</f>
        <v>12</v>
      </c>
      <c r="T319" s="47">
        <f>+YEAR(B319)</f>
        <v>2024</v>
      </c>
      <c r="U319" s="47" t="s">
        <v>364</v>
      </c>
    </row>
    <row r="320" spans="1:21" ht="15" customHeight="1" x14ac:dyDescent="0.3">
      <c r="A320" s="10">
        <v>45499</v>
      </c>
      <c r="B320" s="10">
        <v>45869</v>
      </c>
      <c r="C320" s="10">
        <v>46080</v>
      </c>
      <c r="D320" s="11" t="s">
        <v>543</v>
      </c>
      <c r="E320" s="11" t="s">
        <v>531</v>
      </c>
      <c r="F320" s="11" t="s">
        <v>90</v>
      </c>
      <c r="G320" s="11" t="s">
        <v>53</v>
      </c>
      <c r="H320" s="12">
        <v>-107.47000000000001</v>
      </c>
      <c r="I320" s="13">
        <v>0.17499999999999999</v>
      </c>
      <c r="J320" s="12">
        <v>-18.80725</v>
      </c>
      <c r="K320" s="12">
        <v>-14.360678750000002</v>
      </c>
      <c r="L320" s="12">
        <v>0</v>
      </c>
      <c r="M320" t="s">
        <v>10</v>
      </c>
      <c r="N320" t="s">
        <v>85</v>
      </c>
      <c r="O320" t="s">
        <v>55</v>
      </c>
      <c r="P320" s="19">
        <v>46081</v>
      </c>
      <c r="Q320" s="47">
        <f>+H320+L320</f>
        <v>-107.47000000000001</v>
      </c>
      <c r="R320" s="47">
        <f>+J320+K320+L320</f>
        <v>-33.167928750000002</v>
      </c>
      <c r="S320" s="47">
        <f>+MONTH(B320)</f>
        <v>7</v>
      </c>
      <c r="T320" s="47">
        <f>+YEAR(B320)</f>
        <v>2025</v>
      </c>
      <c r="U320" s="47" t="s">
        <v>364</v>
      </c>
    </row>
    <row r="321" spans="1:21" ht="15" customHeight="1" x14ac:dyDescent="0.3">
      <c r="A321" s="10">
        <v>46076</v>
      </c>
      <c r="B321" s="10">
        <v>46076</v>
      </c>
      <c r="C321" s="10">
        <v>46073</v>
      </c>
      <c r="D321" s="11" t="s">
        <v>544</v>
      </c>
      <c r="E321" s="11" t="s">
        <v>234</v>
      </c>
      <c r="F321" s="11" t="s">
        <v>235</v>
      </c>
      <c r="G321" s="11" t="s">
        <v>53</v>
      </c>
      <c r="H321" s="12">
        <v>4525.7605049600006</v>
      </c>
      <c r="I321" s="13">
        <v>1.209393690629764</v>
      </c>
      <c r="J321" s="12">
        <v>6294.4348499999996</v>
      </c>
      <c r="K321" s="12">
        <v>-4897.6720141567193</v>
      </c>
      <c r="L321" s="12">
        <v>678.85970992000023</v>
      </c>
      <c r="M321" t="s">
        <v>10</v>
      </c>
      <c r="N321" t="s">
        <v>85</v>
      </c>
      <c r="O321" t="s">
        <v>41</v>
      </c>
      <c r="P321" s="19">
        <v>46081</v>
      </c>
      <c r="Q321" s="47">
        <f>+H321+L321</f>
        <v>5204.6202148800012</v>
      </c>
      <c r="R321" s="47">
        <f>+J321+K321+L321</f>
        <v>2075.6225457632804</v>
      </c>
      <c r="S321" s="47">
        <f>+MONTH(B321)</f>
        <v>2</v>
      </c>
      <c r="T321" s="47">
        <f>+YEAR(B321)</f>
        <v>2026</v>
      </c>
      <c r="U321" s="47" t="s">
        <v>364</v>
      </c>
    </row>
    <row r="322" spans="1:21" ht="15" customHeight="1" x14ac:dyDescent="0.3">
      <c r="A322" s="10">
        <v>45680</v>
      </c>
      <c r="B322" s="10">
        <v>46204</v>
      </c>
      <c r="C322" s="10">
        <v>46073</v>
      </c>
      <c r="D322" s="11" t="s">
        <v>545</v>
      </c>
      <c r="E322" s="11" t="s">
        <v>234</v>
      </c>
      <c r="F322" s="11" t="s">
        <v>235</v>
      </c>
      <c r="G322" s="11" t="s">
        <v>53</v>
      </c>
      <c r="H322" s="12">
        <v>43389.99</v>
      </c>
      <c r="I322" s="13">
        <v>0.16500000000000004</v>
      </c>
      <c r="J322" s="12">
        <v>8233.2426000000014</v>
      </c>
      <c r="K322" s="12">
        <v>5227.4170477499974</v>
      </c>
      <c r="L322" s="12">
        <v>6508.45</v>
      </c>
      <c r="M322" t="s">
        <v>10</v>
      </c>
      <c r="N322" t="s">
        <v>85</v>
      </c>
      <c r="O322" t="s">
        <v>55</v>
      </c>
      <c r="P322" s="19">
        <v>46081</v>
      </c>
      <c r="Q322" s="47">
        <f>+H322+L322</f>
        <v>49898.439999999995</v>
      </c>
      <c r="R322" s="47">
        <f>+J322+K322+L322</f>
        <v>19969.10964775</v>
      </c>
      <c r="S322" s="47">
        <f>+MONTH(B322)</f>
        <v>7</v>
      </c>
      <c r="T322" s="47">
        <f>+YEAR(B322)</f>
        <v>2026</v>
      </c>
      <c r="U322" s="47" t="s">
        <v>364</v>
      </c>
    </row>
    <row r="323" spans="1:21" ht="15" customHeight="1" x14ac:dyDescent="0.3">
      <c r="A323" s="10">
        <v>46072</v>
      </c>
      <c r="B323" s="10">
        <v>46072</v>
      </c>
      <c r="C323" s="10">
        <v>46072</v>
      </c>
      <c r="D323" s="11" t="s">
        <v>546</v>
      </c>
      <c r="E323" s="11" t="s">
        <v>238</v>
      </c>
      <c r="F323" s="11" t="s">
        <v>52</v>
      </c>
      <c r="G323" s="11" t="s">
        <v>53</v>
      </c>
      <c r="H323" s="12">
        <v>2923.616271069865</v>
      </c>
      <c r="I323" s="13">
        <v>0.31332224035844058</v>
      </c>
      <c r="J323" s="12">
        <v>1053.4384</v>
      </c>
      <c r="K323" s="12">
        <v>-151.13732834106293</v>
      </c>
      <c r="L323" s="12">
        <v>438.54020653883168</v>
      </c>
      <c r="M323" t="s">
        <v>10</v>
      </c>
      <c r="N323" t="s">
        <v>85</v>
      </c>
      <c r="O323" t="s">
        <v>41</v>
      </c>
      <c r="P323" s="19">
        <v>46081</v>
      </c>
      <c r="Q323" s="47">
        <f>+H323+L323</f>
        <v>3362.1564776086966</v>
      </c>
      <c r="R323" s="47">
        <f>+J323+K323+L323</f>
        <v>1340.8412781977688</v>
      </c>
      <c r="S323" s="47">
        <f>+MONTH(B323)</f>
        <v>2</v>
      </c>
      <c r="T323" s="47">
        <f>+YEAR(B323)</f>
        <v>2026</v>
      </c>
      <c r="U323" s="47" t="s">
        <v>364</v>
      </c>
    </row>
    <row r="324" spans="1:21" ht="15" customHeight="1" x14ac:dyDescent="0.3">
      <c r="A324" s="10">
        <v>46072</v>
      </c>
      <c r="B324" s="10">
        <v>46072</v>
      </c>
      <c r="C324" s="10">
        <v>46072</v>
      </c>
      <c r="D324" s="11" t="s">
        <v>547</v>
      </c>
      <c r="E324" s="11" t="s">
        <v>238</v>
      </c>
      <c r="F324" s="11" t="s">
        <v>52</v>
      </c>
      <c r="G324" s="11" t="s">
        <v>53</v>
      </c>
      <c r="H324" s="12">
        <v>3928.7431322838074</v>
      </c>
      <c r="I324" s="13">
        <v>0.31332224035844064</v>
      </c>
      <c r="J324" s="12">
        <v>1415.6058</v>
      </c>
      <c r="K324" s="12">
        <v>-203.09745079891013</v>
      </c>
      <c r="L324" s="12">
        <v>589.3076718357695</v>
      </c>
      <c r="M324" t="s">
        <v>10</v>
      </c>
      <c r="N324" t="s">
        <v>85</v>
      </c>
      <c r="O324" t="s">
        <v>41</v>
      </c>
      <c r="P324" s="19">
        <v>46081</v>
      </c>
      <c r="Q324" s="47">
        <f>+H324+L324</f>
        <v>4518.0508041195772</v>
      </c>
      <c r="R324" s="47">
        <f>+J324+K324+L324</f>
        <v>1801.8160210368594</v>
      </c>
      <c r="S324" s="47">
        <f>+MONTH(B324)</f>
        <v>2</v>
      </c>
      <c r="T324" s="47">
        <f>+YEAR(B324)</f>
        <v>2026</v>
      </c>
      <c r="U324" s="47" t="s">
        <v>364</v>
      </c>
    </row>
    <row r="325" spans="1:21" ht="15" customHeight="1" x14ac:dyDescent="0.3">
      <c r="A325" s="10">
        <v>46070</v>
      </c>
      <c r="B325" s="10">
        <v>46070</v>
      </c>
      <c r="C325" s="10">
        <v>46071</v>
      </c>
      <c r="D325" s="11" t="s">
        <v>548</v>
      </c>
      <c r="E325" s="11" t="s">
        <v>549</v>
      </c>
      <c r="F325" s="11" t="s">
        <v>84</v>
      </c>
      <c r="G325" s="11" t="s">
        <v>53</v>
      </c>
      <c r="H325" s="12">
        <v>954.6099999999999</v>
      </c>
      <c r="I325" s="13">
        <v>0.17499999999999999</v>
      </c>
      <c r="J325" s="12">
        <v>192.11499999999998</v>
      </c>
      <c r="K325" s="12">
        <v>105.93810725</v>
      </c>
      <c r="L325" s="12">
        <v>143.19</v>
      </c>
      <c r="M325" t="s">
        <v>10</v>
      </c>
      <c r="N325" t="s">
        <v>54</v>
      </c>
      <c r="O325" t="s">
        <v>41</v>
      </c>
      <c r="P325" s="19">
        <v>46081</v>
      </c>
      <c r="Q325" s="47">
        <f>+H325+L325</f>
        <v>1097.8</v>
      </c>
      <c r="R325" s="47">
        <f>+J325+K325+L325</f>
        <v>441.24310724999998</v>
      </c>
      <c r="S325" s="47">
        <f>+MONTH(B325)</f>
        <v>2</v>
      </c>
      <c r="T325" s="47">
        <f>+YEAR(B325)</f>
        <v>2026</v>
      </c>
      <c r="U325" s="47" t="s">
        <v>364</v>
      </c>
    </row>
    <row r="326" spans="1:21" ht="15" customHeight="1" x14ac:dyDescent="0.3">
      <c r="A326" s="10">
        <v>45857</v>
      </c>
      <c r="B326" s="10">
        <v>46069</v>
      </c>
      <c r="C326" s="10">
        <v>46080</v>
      </c>
      <c r="D326" s="11" t="s">
        <v>550</v>
      </c>
      <c r="E326" s="11" t="s">
        <v>551</v>
      </c>
      <c r="F326" s="11" t="s">
        <v>52</v>
      </c>
      <c r="G326" s="11" t="s">
        <v>53</v>
      </c>
      <c r="H326" s="12">
        <v>-189.53999999999996</v>
      </c>
      <c r="I326" s="13">
        <v>0.14000000000000004</v>
      </c>
      <c r="J326" s="12">
        <v>-30.515800000000002</v>
      </c>
      <c r="K326" s="12">
        <v>-28.284246499999984</v>
      </c>
      <c r="L326" s="12">
        <v>-28.430000000000003</v>
      </c>
      <c r="M326" t="s">
        <v>10</v>
      </c>
      <c r="N326" t="s">
        <v>54</v>
      </c>
      <c r="O326" t="s">
        <v>55</v>
      </c>
      <c r="P326" s="19">
        <v>46081</v>
      </c>
      <c r="Q326" s="47">
        <f>+H326+L326</f>
        <v>-217.96999999999997</v>
      </c>
      <c r="R326" s="47">
        <f>+J326+K326+L326</f>
        <v>-87.230046499999986</v>
      </c>
      <c r="S326" s="47">
        <f>+MONTH(B326)</f>
        <v>2</v>
      </c>
      <c r="T326" s="47">
        <f>+YEAR(B326)</f>
        <v>2026</v>
      </c>
      <c r="U326" s="47" t="s">
        <v>364</v>
      </c>
    </row>
    <row r="327" spans="1:21" ht="15" customHeight="1" x14ac:dyDescent="0.3">
      <c r="A327" s="10">
        <v>46076</v>
      </c>
      <c r="B327" s="10">
        <v>46076</v>
      </c>
      <c r="C327" s="10">
        <v>46076</v>
      </c>
      <c r="D327" s="11" t="s">
        <v>552</v>
      </c>
      <c r="E327" s="11" t="s">
        <v>238</v>
      </c>
      <c r="F327" s="11" t="s">
        <v>52</v>
      </c>
      <c r="G327" s="11" t="s">
        <v>53</v>
      </c>
      <c r="H327" s="12">
        <v>1288.2034787516377</v>
      </c>
      <c r="I327" s="13">
        <v>0.31332224035844058</v>
      </c>
      <c r="J327" s="12">
        <v>464.16579999999999</v>
      </c>
      <c r="K327" s="12">
        <v>-66.594001370275805</v>
      </c>
      <c r="L327" s="12">
        <v>193.22918133975682</v>
      </c>
      <c r="M327" t="s">
        <v>10</v>
      </c>
      <c r="N327" t="s">
        <v>85</v>
      </c>
      <c r="O327" t="s">
        <v>41</v>
      </c>
      <c r="P327" s="19">
        <v>46081</v>
      </c>
      <c r="Q327" s="47">
        <f>+H327+L327</f>
        <v>1481.4326600913946</v>
      </c>
      <c r="R327" s="47">
        <f>+J327+K327+L327</f>
        <v>590.80097996948098</v>
      </c>
      <c r="S327" s="47">
        <f>+MONTH(B327)</f>
        <v>2</v>
      </c>
      <c r="T327" s="47">
        <f>+YEAR(B327)</f>
        <v>2026</v>
      </c>
      <c r="U327" s="47" t="s">
        <v>364</v>
      </c>
    </row>
    <row r="328" spans="1:21" ht="15" customHeight="1" x14ac:dyDescent="0.3">
      <c r="A328" s="10">
        <v>46076</v>
      </c>
      <c r="B328" s="10">
        <v>46076</v>
      </c>
      <c r="C328" s="10">
        <v>46076</v>
      </c>
      <c r="D328" s="11" t="s">
        <v>553</v>
      </c>
      <c r="E328" s="11" t="s">
        <v>238</v>
      </c>
      <c r="F328" s="11" t="s">
        <v>52</v>
      </c>
      <c r="G328" s="11" t="s">
        <v>53</v>
      </c>
      <c r="H328" s="12">
        <v>3763.7800580351663</v>
      </c>
      <c r="I328" s="13">
        <v>0.3133222403584407</v>
      </c>
      <c r="J328" s="12">
        <v>1356.1660000000004</v>
      </c>
      <c r="K328" s="12">
        <v>-194.56937958889716</v>
      </c>
      <c r="L328" s="12">
        <v>564.56254046197887</v>
      </c>
      <c r="M328" t="s">
        <v>10</v>
      </c>
      <c r="N328" t="s">
        <v>85</v>
      </c>
      <c r="O328" t="s">
        <v>41</v>
      </c>
      <c r="P328" s="19">
        <v>46081</v>
      </c>
      <c r="Q328" s="47">
        <f>+H328+L328</f>
        <v>4328.3425984971454</v>
      </c>
      <c r="R328" s="47">
        <f>+J328+K328+L328</f>
        <v>1726.1591608730821</v>
      </c>
      <c r="S328" s="47">
        <f>+MONTH(B328)</f>
        <v>2</v>
      </c>
      <c r="T328" s="47">
        <f>+YEAR(B328)</f>
        <v>2026</v>
      </c>
      <c r="U328" s="47" t="s">
        <v>364</v>
      </c>
    </row>
    <row r="329" spans="1:21" ht="15" customHeight="1" x14ac:dyDescent="0.3">
      <c r="A329" s="10">
        <v>46077</v>
      </c>
      <c r="B329" s="10">
        <v>46077</v>
      </c>
      <c r="C329" s="10">
        <v>46079</v>
      </c>
      <c r="D329" s="11" t="s">
        <v>554</v>
      </c>
      <c r="E329" s="11" t="s">
        <v>555</v>
      </c>
      <c r="F329" s="11" t="s">
        <v>52</v>
      </c>
      <c r="G329" s="11" t="s">
        <v>53</v>
      </c>
      <c r="H329" s="12">
        <v>478261.3</v>
      </c>
      <c r="I329" s="13">
        <v>0.14000000000000001</v>
      </c>
      <c r="J329" s="12">
        <v>77000.000000000015</v>
      </c>
      <c r="K329" s="12">
        <v>72325.134392499996</v>
      </c>
      <c r="L329" s="12">
        <v>71738.7</v>
      </c>
      <c r="M329" t="s">
        <v>10</v>
      </c>
      <c r="N329" t="s">
        <v>54</v>
      </c>
      <c r="O329" t="s">
        <v>41</v>
      </c>
      <c r="P329" s="19">
        <v>46081</v>
      </c>
      <c r="Q329" s="47">
        <f>+H329+L329</f>
        <v>550000</v>
      </c>
      <c r="R329" s="47">
        <f>+J329+K329+L329</f>
        <v>221063.83439249999</v>
      </c>
      <c r="S329" s="47">
        <f>+MONTH(B329)</f>
        <v>2</v>
      </c>
      <c r="T329" s="47">
        <f>+YEAR(B329)</f>
        <v>2026</v>
      </c>
      <c r="U329" s="47" t="s">
        <v>364</v>
      </c>
    </row>
    <row r="330" spans="1:21" ht="15" customHeight="1" x14ac:dyDescent="0.3">
      <c r="A330" s="10">
        <v>46066</v>
      </c>
      <c r="B330" s="10">
        <v>46066</v>
      </c>
      <c r="C330" s="10">
        <v>46078</v>
      </c>
      <c r="D330" s="11" t="s">
        <v>556</v>
      </c>
      <c r="E330" s="11" t="s">
        <v>557</v>
      </c>
      <c r="F330" s="11" t="s">
        <v>52</v>
      </c>
      <c r="G330" s="11" t="s">
        <v>53</v>
      </c>
      <c r="H330" s="12">
        <v>586.95652173913049</v>
      </c>
      <c r="I330" s="13">
        <v>0.14000000000000001</v>
      </c>
      <c r="J330" s="12">
        <v>94.500000000000014</v>
      </c>
      <c r="K330" s="12">
        <v>88.762500000000031</v>
      </c>
      <c r="L330" s="12">
        <v>88.043478260869506</v>
      </c>
      <c r="M330" t="s">
        <v>10</v>
      </c>
      <c r="N330" t="s">
        <v>54</v>
      </c>
      <c r="O330" t="s">
        <v>55</v>
      </c>
      <c r="P330" s="19">
        <v>46081</v>
      </c>
      <c r="Q330" s="47">
        <f>+H330+L330</f>
        <v>675</v>
      </c>
      <c r="R330" s="47">
        <f>+J330+K330+L330</f>
        <v>271.30597826086955</v>
      </c>
      <c r="S330" s="47">
        <f>+MONTH(B330)</f>
        <v>2</v>
      </c>
      <c r="T330" s="47">
        <f>+YEAR(B330)</f>
        <v>2026</v>
      </c>
      <c r="U330" s="47" t="s">
        <v>364</v>
      </c>
    </row>
    <row r="331" spans="1:21" ht="15" customHeight="1" x14ac:dyDescent="0.3">
      <c r="A331" s="10">
        <v>46066</v>
      </c>
      <c r="B331" s="10">
        <v>46066</v>
      </c>
      <c r="C331" s="10">
        <v>46080</v>
      </c>
      <c r="D331" s="11" t="s">
        <v>558</v>
      </c>
      <c r="E331" s="11" t="s">
        <v>559</v>
      </c>
      <c r="F331" s="11" t="s">
        <v>213</v>
      </c>
      <c r="G331" s="11" t="s">
        <v>53</v>
      </c>
      <c r="H331" s="12">
        <v>4660.434782608696</v>
      </c>
      <c r="I331" s="13">
        <v>0.13500000000000001</v>
      </c>
      <c r="J331" s="12">
        <v>723.53250000000003</v>
      </c>
      <c r="K331" s="12">
        <v>731.57175000000029</v>
      </c>
      <c r="L331" s="12">
        <v>699.06521739130403</v>
      </c>
      <c r="M331" t="s">
        <v>10</v>
      </c>
      <c r="N331" t="s">
        <v>54</v>
      </c>
      <c r="O331" t="s">
        <v>55</v>
      </c>
      <c r="P331" s="19">
        <v>46081</v>
      </c>
      <c r="Q331" s="47">
        <f>+H331+L331</f>
        <v>5359.5</v>
      </c>
      <c r="R331" s="47">
        <f>+J331+K331+L331</f>
        <v>2154.1694673913044</v>
      </c>
      <c r="S331" s="47">
        <f>+MONTH(B331)</f>
        <v>2</v>
      </c>
      <c r="T331" s="47">
        <f>+YEAR(B331)</f>
        <v>2026</v>
      </c>
      <c r="U331" s="47" t="s">
        <v>364</v>
      </c>
    </row>
    <row r="332" spans="1:21" ht="15" customHeight="1" x14ac:dyDescent="0.3">
      <c r="A332" s="10">
        <v>46066</v>
      </c>
      <c r="B332" s="10">
        <v>46066</v>
      </c>
      <c r="C332" s="10">
        <v>46080</v>
      </c>
      <c r="D332" s="11" t="s">
        <v>560</v>
      </c>
      <c r="E332" s="11" t="s">
        <v>559</v>
      </c>
      <c r="F332" s="11" t="s">
        <v>213</v>
      </c>
      <c r="G332" s="11" t="s">
        <v>53</v>
      </c>
      <c r="H332" s="12">
        <v>4143.9130434782619</v>
      </c>
      <c r="I332" s="13">
        <v>0.13500000000000001</v>
      </c>
      <c r="J332" s="12">
        <v>643.3425000000002</v>
      </c>
      <c r="K332" s="12">
        <v>650.49075000000016</v>
      </c>
      <c r="L332" s="12">
        <v>621.58695652173901</v>
      </c>
      <c r="M332" t="s">
        <v>10</v>
      </c>
      <c r="N332" t="s">
        <v>54</v>
      </c>
      <c r="O332" t="s">
        <v>55</v>
      </c>
      <c r="P332" s="19">
        <v>46081</v>
      </c>
      <c r="Q332" s="47">
        <f>+H332+L332</f>
        <v>4765.5000000000009</v>
      </c>
      <c r="R332" s="47">
        <f>+J332+K332+L332</f>
        <v>1915.4202065217394</v>
      </c>
      <c r="S332" s="47">
        <f>+MONTH(B332)</f>
        <v>2</v>
      </c>
      <c r="T332" s="47">
        <f>+YEAR(B332)</f>
        <v>2026</v>
      </c>
      <c r="U332" s="47" t="s">
        <v>364</v>
      </c>
    </row>
    <row r="333" spans="1:21" ht="15" customHeight="1" x14ac:dyDescent="0.3">
      <c r="A333" s="10">
        <v>46057</v>
      </c>
      <c r="B333" s="10">
        <v>46057</v>
      </c>
      <c r="C333" s="10">
        <v>46078</v>
      </c>
      <c r="D333" s="11" t="s">
        <v>561</v>
      </c>
      <c r="E333" s="11" t="s">
        <v>562</v>
      </c>
      <c r="F333" s="11" t="s">
        <v>84</v>
      </c>
      <c r="G333" s="11" t="s">
        <v>53</v>
      </c>
      <c r="H333" s="12">
        <v>4347.826086956522</v>
      </c>
      <c r="I333" s="13">
        <v>0.17499999999999999</v>
      </c>
      <c r="J333" s="12">
        <v>875</v>
      </c>
      <c r="K333" s="12">
        <v>482.50000000000023</v>
      </c>
      <c r="L333" s="12">
        <v>652.17391304347802</v>
      </c>
      <c r="M333" t="s">
        <v>10</v>
      </c>
      <c r="N333" t="s">
        <v>54</v>
      </c>
      <c r="O333" t="s">
        <v>55</v>
      </c>
      <c r="P333" s="19">
        <v>46081</v>
      </c>
      <c r="Q333" s="47">
        <f>+H333+L333</f>
        <v>5000</v>
      </c>
      <c r="R333" s="47">
        <f>+J333+K333+L333</f>
        <v>2009.6739130434783</v>
      </c>
      <c r="S333" s="47">
        <f>+MONTH(B333)</f>
        <v>2</v>
      </c>
      <c r="T333" s="47">
        <f>+YEAR(B333)</f>
        <v>2026</v>
      </c>
      <c r="U333" s="47" t="s">
        <v>364</v>
      </c>
    </row>
    <row r="334" spans="1:21" ht="15" customHeight="1" x14ac:dyDescent="0.3">
      <c r="A334" s="10">
        <v>46057</v>
      </c>
      <c r="B334" s="10">
        <v>46057</v>
      </c>
      <c r="C334" s="10">
        <v>46078</v>
      </c>
      <c r="D334" s="11" t="s">
        <v>563</v>
      </c>
      <c r="E334" s="11" t="s">
        <v>562</v>
      </c>
      <c r="F334" s="11" t="s">
        <v>84</v>
      </c>
      <c r="G334" s="11" t="s">
        <v>53</v>
      </c>
      <c r="H334" s="12">
        <v>4347.826086956522</v>
      </c>
      <c r="I334" s="13">
        <v>0.17499999999999999</v>
      </c>
      <c r="J334" s="12">
        <v>875</v>
      </c>
      <c r="K334" s="12">
        <v>482.50000000000023</v>
      </c>
      <c r="L334" s="12">
        <v>652.17391304347802</v>
      </c>
      <c r="M334" t="s">
        <v>10</v>
      </c>
      <c r="N334" t="s">
        <v>54</v>
      </c>
      <c r="O334" t="s">
        <v>55</v>
      </c>
      <c r="P334" s="19">
        <v>46081</v>
      </c>
      <c r="Q334" s="47">
        <f>+H334+L334</f>
        <v>5000</v>
      </c>
      <c r="R334" s="47">
        <f>+J334+K334+L334</f>
        <v>2009.6739130434783</v>
      </c>
      <c r="S334" s="47">
        <f>+MONTH(B334)</f>
        <v>2</v>
      </c>
      <c r="T334" s="47">
        <f>+YEAR(B334)</f>
        <v>2026</v>
      </c>
      <c r="U334" s="47" t="s">
        <v>364</v>
      </c>
    </row>
    <row r="335" spans="1:21" ht="15" customHeight="1" x14ac:dyDescent="0.3">
      <c r="A335" s="10">
        <v>46058</v>
      </c>
      <c r="B335" s="10">
        <v>46058</v>
      </c>
      <c r="C335" s="10">
        <v>46078</v>
      </c>
      <c r="D335" s="11" t="s">
        <v>564</v>
      </c>
      <c r="E335" s="11" t="s">
        <v>565</v>
      </c>
      <c r="F335" s="11" t="s">
        <v>84</v>
      </c>
      <c r="G335" s="11" t="s">
        <v>53</v>
      </c>
      <c r="H335" s="12">
        <v>86.956521739130437</v>
      </c>
      <c r="I335" s="13">
        <v>0.17499999999999999</v>
      </c>
      <c r="J335" s="12">
        <v>17.5</v>
      </c>
      <c r="K335" s="12">
        <v>9.6500000000000021</v>
      </c>
      <c r="L335" s="12">
        <v>13.043478260869563</v>
      </c>
      <c r="M335" t="s">
        <v>10</v>
      </c>
      <c r="N335" t="s">
        <v>54</v>
      </c>
      <c r="O335" t="s">
        <v>55</v>
      </c>
      <c r="P335" s="19">
        <v>46081</v>
      </c>
      <c r="Q335" s="47">
        <f>+H335+L335</f>
        <v>100</v>
      </c>
      <c r="R335" s="47">
        <f>+J335+K335+L335</f>
        <v>40.193478260869568</v>
      </c>
      <c r="S335" s="47">
        <f>+MONTH(B335)</f>
        <v>2</v>
      </c>
      <c r="T335" s="47">
        <f>+YEAR(B335)</f>
        <v>2026</v>
      </c>
      <c r="U335" s="47" t="s">
        <v>364</v>
      </c>
    </row>
    <row r="336" spans="1:21" ht="15" customHeight="1" x14ac:dyDescent="0.3">
      <c r="A336" s="10">
        <v>46066</v>
      </c>
      <c r="B336" s="10">
        <v>46066</v>
      </c>
      <c r="C336" s="10">
        <v>46078</v>
      </c>
      <c r="D336" s="11" t="s">
        <v>566</v>
      </c>
      <c r="E336" s="11" t="s">
        <v>567</v>
      </c>
      <c r="F336" s="11" t="s">
        <v>90</v>
      </c>
      <c r="G336" s="11" t="s">
        <v>53</v>
      </c>
      <c r="H336" s="12">
        <v>1133.7017391304348</v>
      </c>
      <c r="I336" s="13">
        <v>0.17499999999999999</v>
      </c>
      <c r="J336" s="12">
        <v>228.15747500000001</v>
      </c>
      <c r="K336" s="12">
        <v>125.81255050000001</v>
      </c>
      <c r="L336" s="12">
        <v>170.05526086956525</v>
      </c>
      <c r="M336" t="s">
        <v>10</v>
      </c>
      <c r="N336" t="s">
        <v>54</v>
      </c>
      <c r="O336" t="s">
        <v>55</v>
      </c>
      <c r="P336" s="19">
        <v>46081</v>
      </c>
      <c r="Q336" s="47">
        <f>+H336+L336</f>
        <v>1303.7570000000001</v>
      </c>
      <c r="R336" s="47">
        <f>+J336+K336+L336</f>
        <v>524.02528636956526</v>
      </c>
      <c r="S336" s="47">
        <f>+MONTH(B336)</f>
        <v>2</v>
      </c>
      <c r="T336" s="47">
        <f>+YEAR(B336)</f>
        <v>2026</v>
      </c>
      <c r="U336" s="47" t="s">
        <v>364</v>
      </c>
    </row>
    <row r="337" spans="1:21" ht="15" customHeight="1" x14ac:dyDescent="0.3">
      <c r="A337" s="10">
        <v>46066</v>
      </c>
      <c r="B337" s="10">
        <v>46066</v>
      </c>
      <c r="C337" s="10">
        <v>46078</v>
      </c>
      <c r="D337" s="11" t="s">
        <v>568</v>
      </c>
      <c r="E337" s="11" t="s">
        <v>569</v>
      </c>
      <c r="F337" s="11" t="s">
        <v>570</v>
      </c>
      <c r="G337" s="11" t="s">
        <v>53</v>
      </c>
      <c r="H337" s="12">
        <v>816.63916521739145</v>
      </c>
      <c r="I337" s="13">
        <v>0.15</v>
      </c>
      <c r="J337" s="12">
        <v>140.87025600000001</v>
      </c>
      <c r="K337" s="12">
        <v>114.10490736000006</v>
      </c>
      <c r="L337" s="12">
        <v>122.49587478260867</v>
      </c>
      <c r="M337" t="s">
        <v>10</v>
      </c>
      <c r="N337" t="s">
        <v>54</v>
      </c>
      <c r="O337" t="s">
        <v>55</v>
      </c>
      <c r="P337" s="19">
        <v>46081</v>
      </c>
      <c r="Q337" s="47">
        <f>+H337+L337</f>
        <v>939.13504000000012</v>
      </c>
      <c r="R337" s="47">
        <f>+J337+K337+L337</f>
        <v>377.47103814260873</v>
      </c>
      <c r="S337" s="47">
        <f>+MONTH(B337)</f>
        <v>2</v>
      </c>
      <c r="T337" s="47">
        <f>+YEAR(B337)</f>
        <v>2026</v>
      </c>
      <c r="U337" s="47" t="s">
        <v>364</v>
      </c>
    </row>
    <row r="338" spans="1:21" ht="15" customHeight="1" x14ac:dyDescent="0.3">
      <c r="A338" s="10">
        <v>46066</v>
      </c>
      <c r="B338" s="10">
        <v>46066</v>
      </c>
      <c r="C338" s="10">
        <v>46078</v>
      </c>
      <c r="D338" s="11" t="s">
        <v>571</v>
      </c>
      <c r="E338" s="11" t="s">
        <v>572</v>
      </c>
      <c r="F338" s="11" t="s">
        <v>84</v>
      </c>
      <c r="G338" s="11" t="s">
        <v>53</v>
      </c>
      <c r="H338" s="12">
        <v>741.30434782608688</v>
      </c>
      <c r="I338" s="13">
        <v>0.17500000000000002</v>
      </c>
      <c r="J338" s="12">
        <v>149.1875</v>
      </c>
      <c r="K338" s="12">
        <v>82.266249999999985</v>
      </c>
      <c r="L338" s="12">
        <v>111.19565217391302</v>
      </c>
      <c r="M338" t="s">
        <v>10</v>
      </c>
      <c r="N338" t="s">
        <v>54</v>
      </c>
      <c r="O338" t="s">
        <v>55</v>
      </c>
      <c r="P338" s="19">
        <v>46081</v>
      </c>
      <c r="Q338" s="47">
        <f>+H338+L338</f>
        <v>852.49999999999989</v>
      </c>
      <c r="R338" s="47">
        <f>+J338+K338+L338</f>
        <v>342.64940217391302</v>
      </c>
      <c r="S338" s="47">
        <f>+MONTH(B338)</f>
        <v>2</v>
      </c>
      <c r="T338" s="47">
        <f>+YEAR(B338)</f>
        <v>2026</v>
      </c>
      <c r="U338" s="47" t="s">
        <v>364</v>
      </c>
    </row>
    <row r="339" spans="1:21" ht="15" customHeight="1" x14ac:dyDescent="0.3">
      <c r="A339" s="10">
        <v>46080</v>
      </c>
      <c r="B339" s="10">
        <v>46080</v>
      </c>
      <c r="C339" s="10">
        <v>46078</v>
      </c>
      <c r="D339" s="11" t="s">
        <v>573</v>
      </c>
      <c r="E339" s="11" t="s">
        <v>574</v>
      </c>
      <c r="F339" s="11" t="s">
        <v>84</v>
      </c>
      <c r="G339" s="11" t="s">
        <v>53</v>
      </c>
      <c r="H339" s="12">
        <v>86.956521739130437</v>
      </c>
      <c r="I339" s="13">
        <v>0.17499999999999999</v>
      </c>
      <c r="J339" s="12">
        <v>17.5</v>
      </c>
      <c r="K339" s="12">
        <v>9.6500000000000021</v>
      </c>
      <c r="L339" s="12">
        <v>13.043478260869563</v>
      </c>
      <c r="M339" t="s">
        <v>10</v>
      </c>
      <c r="N339" t="s">
        <v>54</v>
      </c>
      <c r="O339" t="s">
        <v>55</v>
      </c>
      <c r="P339" s="19">
        <v>46081</v>
      </c>
      <c r="Q339" s="47">
        <f>+H339+L339</f>
        <v>100</v>
      </c>
      <c r="R339" s="47">
        <f>+J339+K339+L339</f>
        <v>40.193478260869568</v>
      </c>
      <c r="S339" s="47">
        <f>+MONTH(B339)</f>
        <v>2</v>
      </c>
      <c r="T339" s="47">
        <f>+YEAR(B339)</f>
        <v>2026</v>
      </c>
      <c r="U339" s="47" t="s">
        <v>364</v>
      </c>
    </row>
    <row r="340" spans="1:21" ht="15" customHeight="1" x14ac:dyDescent="0.3">
      <c r="A340" s="10">
        <v>46058</v>
      </c>
      <c r="B340" s="10">
        <v>46058</v>
      </c>
      <c r="C340" s="10">
        <v>46078</v>
      </c>
      <c r="D340" s="11" t="s">
        <v>575</v>
      </c>
      <c r="E340" s="11" t="s">
        <v>576</v>
      </c>
      <c r="F340" s="11" t="s">
        <v>323</v>
      </c>
      <c r="G340" s="11" t="s">
        <v>53</v>
      </c>
      <c r="H340" s="12">
        <v>25217.391304347828</v>
      </c>
      <c r="I340" s="13">
        <v>0.15</v>
      </c>
      <c r="J340" s="12">
        <v>4350</v>
      </c>
      <c r="K340" s="12">
        <v>3523.5000000000009</v>
      </c>
      <c r="L340" s="12">
        <v>3782.6086956521717</v>
      </c>
      <c r="M340" t="s">
        <v>10</v>
      </c>
      <c r="N340" t="s">
        <v>54</v>
      </c>
      <c r="O340" t="s">
        <v>55</v>
      </c>
      <c r="P340" s="19">
        <v>46081</v>
      </c>
      <c r="Q340" s="47">
        <f>+H340+L340</f>
        <v>29000</v>
      </c>
      <c r="R340" s="47">
        <f>+J340+K340+L340</f>
        <v>11656.108695652172</v>
      </c>
      <c r="S340" s="47">
        <f>+MONTH(B340)</f>
        <v>2</v>
      </c>
      <c r="T340" s="47">
        <f>+YEAR(B340)</f>
        <v>2026</v>
      </c>
      <c r="U340" s="47" t="s">
        <v>364</v>
      </c>
    </row>
    <row r="341" spans="1:21" ht="15" customHeight="1" x14ac:dyDescent="0.3">
      <c r="A341" s="10">
        <v>46064</v>
      </c>
      <c r="B341" s="10">
        <v>46064</v>
      </c>
      <c r="C341" s="10">
        <v>46078</v>
      </c>
      <c r="D341" s="11" t="s">
        <v>577</v>
      </c>
      <c r="E341" s="11" t="s">
        <v>574</v>
      </c>
      <c r="F341" s="11" t="s">
        <v>84</v>
      </c>
      <c r="G341" s="11" t="s">
        <v>53</v>
      </c>
      <c r="H341" s="12">
        <v>1413.5439130434784</v>
      </c>
      <c r="I341" s="13">
        <v>0.17499999999999999</v>
      </c>
      <c r="J341" s="12">
        <v>284.47571249999999</v>
      </c>
      <c r="K341" s="12">
        <v>156.8680357500001</v>
      </c>
      <c r="L341" s="12">
        <v>212.03158695652178</v>
      </c>
      <c r="M341" t="s">
        <v>10</v>
      </c>
      <c r="N341" t="s">
        <v>54</v>
      </c>
      <c r="O341" t="s">
        <v>55</v>
      </c>
      <c r="P341" s="19">
        <v>46081</v>
      </c>
      <c r="Q341" s="47">
        <f>+H341+L341</f>
        <v>1625.5755000000001</v>
      </c>
      <c r="R341" s="47">
        <f>+J341+K341+L341</f>
        <v>653.37533520652187</v>
      </c>
      <c r="S341" s="47">
        <f>+MONTH(B341)</f>
        <v>2</v>
      </c>
      <c r="T341" s="47">
        <f>+YEAR(B341)</f>
        <v>2026</v>
      </c>
      <c r="U341" s="47" t="s">
        <v>364</v>
      </c>
    </row>
    <row r="342" spans="1:21" ht="15" customHeight="1" x14ac:dyDescent="0.3">
      <c r="A342" s="10">
        <v>46066</v>
      </c>
      <c r="B342" s="10">
        <v>46066</v>
      </c>
      <c r="C342" s="10">
        <v>46078</v>
      </c>
      <c r="D342" s="11" t="s">
        <v>578</v>
      </c>
      <c r="E342" s="11" t="s">
        <v>579</v>
      </c>
      <c r="F342" s="11" t="s">
        <v>580</v>
      </c>
      <c r="G342" s="11" t="s">
        <v>53</v>
      </c>
      <c r="H342" s="12">
        <v>7391.3043478260879</v>
      </c>
      <c r="I342" s="13">
        <v>0.125</v>
      </c>
      <c r="J342" s="12">
        <v>1062.5</v>
      </c>
      <c r="K342" s="12">
        <v>1245.2500000000005</v>
      </c>
      <c r="L342" s="12">
        <v>1108.6956521739121</v>
      </c>
      <c r="M342" t="s">
        <v>10</v>
      </c>
      <c r="N342" t="s">
        <v>54</v>
      </c>
      <c r="O342" t="s">
        <v>55</v>
      </c>
      <c r="P342" s="19">
        <v>46081</v>
      </c>
      <c r="Q342" s="47">
        <f>+H342+L342</f>
        <v>8500</v>
      </c>
      <c r="R342" s="47">
        <f>+J342+K342+L342</f>
        <v>3416.4456521739125</v>
      </c>
      <c r="S342" s="47">
        <f>+MONTH(B342)</f>
        <v>2</v>
      </c>
      <c r="T342" s="47">
        <f>+YEAR(B342)</f>
        <v>2026</v>
      </c>
      <c r="U342" s="47" t="s">
        <v>364</v>
      </c>
    </row>
    <row r="343" spans="1:21" ht="15" customHeight="1" x14ac:dyDescent="0.3">
      <c r="A343" s="10">
        <v>46072</v>
      </c>
      <c r="B343" s="10">
        <v>46072</v>
      </c>
      <c r="C343" s="10">
        <v>46078</v>
      </c>
      <c r="D343" s="11" t="s">
        <v>581</v>
      </c>
      <c r="E343" s="11" t="s">
        <v>582</v>
      </c>
      <c r="F343" s="11" t="s">
        <v>84</v>
      </c>
      <c r="G343" s="11" t="s">
        <v>53</v>
      </c>
      <c r="H343" s="12">
        <v>86.956521739130437</v>
      </c>
      <c r="I343" s="13">
        <v>0.17499999999999999</v>
      </c>
      <c r="J343" s="12">
        <v>17.5</v>
      </c>
      <c r="K343" s="12">
        <v>9.6500000000000021</v>
      </c>
      <c r="L343" s="12">
        <v>13.043478260869563</v>
      </c>
      <c r="M343" t="s">
        <v>10</v>
      </c>
      <c r="N343" t="s">
        <v>54</v>
      </c>
      <c r="O343" t="s">
        <v>55</v>
      </c>
      <c r="P343" s="19">
        <v>46081</v>
      </c>
      <c r="Q343" s="47">
        <f>+H343+L343</f>
        <v>100</v>
      </c>
      <c r="R343" s="47">
        <f>+J343+K343+L343</f>
        <v>40.193478260869568</v>
      </c>
      <c r="S343" s="47">
        <f>+MONTH(B343)</f>
        <v>2</v>
      </c>
      <c r="T343" s="47">
        <f>+YEAR(B343)</f>
        <v>2026</v>
      </c>
      <c r="U343" s="47" t="s">
        <v>364</v>
      </c>
    </row>
    <row r="344" spans="1:21" ht="15" customHeight="1" x14ac:dyDescent="0.3">
      <c r="A344" s="10">
        <v>46078</v>
      </c>
      <c r="B344" s="10">
        <v>46078</v>
      </c>
      <c r="C344" s="10">
        <v>46078</v>
      </c>
      <c r="D344" s="11" t="s">
        <v>583</v>
      </c>
      <c r="E344" s="11" t="s">
        <v>584</v>
      </c>
      <c r="F344" s="11" t="s">
        <v>84</v>
      </c>
      <c r="G344" s="11" t="s">
        <v>53</v>
      </c>
      <c r="H344" s="12">
        <v>86.956521739130437</v>
      </c>
      <c r="I344" s="13">
        <v>0.17499999999999999</v>
      </c>
      <c r="J344" s="12">
        <v>17.5</v>
      </c>
      <c r="K344" s="12">
        <v>9.6500000000000021</v>
      </c>
      <c r="L344" s="12">
        <v>13.043478260869563</v>
      </c>
      <c r="M344" t="s">
        <v>10</v>
      </c>
      <c r="N344" t="s">
        <v>54</v>
      </c>
      <c r="O344" t="s">
        <v>55</v>
      </c>
      <c r="P344" s="19">
        <v>46081</v>
      </c>
      <c r="Q344" s="47">
        <f>+H344+L344</f>
        <v>100</v>
      </c>
      <c r="R344" s="47">
        <f>+J344+K344+L344</f>
        <v>40.193478260869568</v>
      </c>
      <c r="S344" s="47">
        <f>+MONTH(B344)</f>
        <v>2</v>
      </c>
      <c r="T344" s="47">
        <f>+YEAR(B344)</f>
        <v>2026</v>
      </c>
      <c r="U344" s="47" t="s">
        <v>364</v>
      </c>
    </row>
    <row r="345" spans="1:21" ht="15" customHeight="1" x14ac:dyDescent="0.3">
      <c r="A345" s="10">
        <v>46056</v>
      </c>
      <c r="B345" s="10">
        <v>46056</v>
      </c>
      <c r="C345" s="10">
        <v>46078</v>
      </c>
      <c r="D345" s="11" t="s">
        <v>585</v>
      </c>
      <c r="E345" s="11" t="s">
        <v>586</v>
      </c>
      <c r="F345" s="11" t="s">
        <v>580</v>
      </c>
      <c r="G345" s="11" t="s">
        <v>53</v>
      </c>
      <c r="H345" s="12">
        <v>2086.95652173913</v>
      </c>
      <c r="I345" s="13">
        <v>0.125</v>
      </c>
      <c r="J345" s="12">
        <v>299.99999999999994</v>
      </c>
      <c r="K345" s="12">
        <v>351.59999999999997</v>
      </c>
      <c r="L345" s="12">
        <v>313.04347826086951</v>
      </c>
      <c r="M345" t="s">
        <v>10</v>
      </c>
      <c r="N345" t="s">
        <v>54</v>
      </c>
      <c r="O345" t="s">
        <v>55</v>
      </c>
      <c r="P345" s="19">
        <v>46081</v>
      </c>
      <c r="Q345" s="47">
        <f>+H345+L345</f>
        <v>2399.9999999999995</v>
      </c>
      <c r="R345" s="47">
        <f>+J345+K345+L345</f>
        <v>964.64347826086941</v>
      </c>
      <c r="S345" s="47">
        <f>+MONTH(B345)</f>
        <v>2</v>
      </c>
      <c r="T345" s="47">
        <f>+YEAR(B345)</f>
        <v>2026</v>
      </c>
      <c r="U345" s="47" t="s">
        <v>364</v>
      </c>
    </row>
    <row r="346" spans="1:21" ht="15" customHeight="1" x14ac:dyDescent="0.3">
      <c r="A346" s="10">
        <v>46075</v>
      </c>
      <c r="B346" s="10">
        <v>46075</v>
      </c>
      <c r="C346" s="10">
        <v>46059</v>
      </c>
      <c r="D346" s="11" t="s">
        <v>587</v>
      </c>
      <c r="E346" s="11" t="s">
        <v>517</v>
      </c>
      <c r="F346" s="11" t="s">
        <v>84</v>
      </c>
      <c r="G346" s="11" t="s">
        <v>53</v>
      </c>
      <c r="H346" s="12">
        <v>13043.49</v>
      </c>
      <c r="I346" s="13">
        <v>0.17499999999999999</v>
      </c>
      <c r="J346" s="12">
        <v>2625</v>
      </c>
      <c r="K346" s="12">
        <v>1447.5036652500003</v>
      </c>
      <c r="L346" s="12">
        <v>1956.51</v>
      </c>
      <c r="M346" t="s">
        <v>10</v>
      </c>
      <c r="N346" t="s">
        <v>54</v>
      </c>
      <c r="O346" t="s">
        <v>55</v>
      </c>
      <c r="P346" s="19">
        <v>46081</v>
      </c>
      <c r="Q346" s="47">
        <f>+H346+L346</f>
        <v>15000</v>
      </c>
      <c r="R346" s="47">
        <f>+J346+K346+L346</f>
        <v>6029.0136652500005</v>
      </c>
      <c r="S346" s="47">
        <f>+MONTH(B346)</f>
        <v>2</v>
      </c>
      <c r="T346" s="47">
        <f>+YEAR(B346)</f>
        <v>2026</v>
      </c>
      <c r="U346" s="47" t="s">
        <v>364</v>
      </c>
    </row>
    <row r="347" spans="1:21" ht="15" customHeight="1" x14ac:dyDescent="0.3">
      <c r="A347" s="10">
        <v>46063</v>
      </c>
      <c r="B347" s="10">
        <v>46063</v>
      </c>
      <c r="C347" s="10">
        <v>46078</v>
      </c>
      <c r="D347" s="11" t="s">
        <v>588</v>
      </c>
      <c r="E347" s="11" t="s">
        <v>589</v>
      </c>
      <c r="F347" s="11" t="s">
        <v>590</v>
      </c>
      <c r="G347" s="11" t="s">
        <v>53</v>
      </c>
      <c r="H347" s="12">
        <v>1008.6956521739131</v>
      </c>
      <c r="I347" s="13">
        <v>0.13500000000000001</v>
      </c>
      <c r="J347" s="12">
        <v>156.60000000000002</v>
      </c>
      <c r="K347" s="12">
        <v>158.34000000000003</v>
      </c>
      <c r="L347" s="12">
        <v>151.30434782608688</v>
      </c>
      <c r="M347" t="s">
        <v>10</v>
      </c>
      <c r="N347" t="s">
        <v>54</v>
      </c>
      <c r="O347" t="s">
        <v>55</v>
      </c>
      <c r="P347" s="19">
        <v>46081</v>
      </c>
      <c r="Q347" s="47">
        <f>+H347+L347</f>
        <v>1160</v>
      </c>
      <c r="R347" s="47">
        <f>+J347+K347+L347</f>
        <v>466.24434782608694</v>
      </c>
      <c r="S347" s="47">
        <f>+MONTH(B347)</f>
        <v>2</v>
      </c>
      <c r="T347" s="47">
        <f>+YEAR(B347)</f>
        <v>2026</v>
      </c>
      <c r="U347" s="47" t="s">
        <v>364</v>
      </c>
    </row>
    <row r="348" spans="1:21" ht="15" customHeight="1" x14ac:dyDescent="0.3">
      <c r="A348" s="10">
        <v>46079</v>
      </c>
      <c r="B348" s="10">
        <v>46079</v>
      </c>
      <c r="C348" s="10">
        <v>46078</v>
      </c>
      <c r="D348" s="11" t="s">
        <v>591</v>
      </c>
      <c r="E348" s="11" t="s">
        <v>592</v>
      </c>
      <c r="F348" s="11" t="s">
        <v>84</v>
      </c>
      <c r="G348" s="11" t="s">
        <v>53</v>
      </c>
      <c r="H348" s="12">
        <v>21277.173913043476</v>
      </c>
      <c r="I348" s="13">
        <v>0.17499999999999999</v>
      </c>
      <c r="J348" s="12">
        <v>4282.03125</v>
      </c>
      <c r="K348" s="12">
        <v>2361.234375</v>
      </c>
      <c r="L348" s="12">
        <v>3191.5760869565233</v>
      </c>
      <c r="M348" t="s">
        <v>10</v>
      </c>
      <c r="N348" t="s">
        <v>54</v>
      </c>
      <c r="O348" t="s">
        <v>55</v>
      </c>
      <c r="P348" s="19">
        <v>46081</v>
      </c>
      <c r="Q348" s="47">
        <f>+H348+L348</f>
        <v>24468.75</v>
      </c>
      <c r="R348" s="47">
        <f>+J348+K348+L348</f>
        <v>9834.8417119565238</v>
      </c>
      <c r="S348" s="47">
        <f>+MONTH(B348)</f>
        <v>2</v>
      </c>
      <c r="T348" s="47">
        <f>+YEAR(B348)</f>
        <v>2026</v>
      </c>
      <c r="U348" s="47" t="s">
        <v>364</v>
      </c>
    </row>
    <row r="349" spans="1:21" ht="15" customHeight="1" x14ac:dyDescent="0.3">
      <c r="A349" s="10">
        <v>46079</v>
      </c>
      <c r="B349" s="10">
        <v>46079</v>
      </c>
      <c r="C349" s="10">
        <v>46078</v>
      </c>
      <c r="D349" s="11" t="s">
        <v>593</v>
      </c>
      <c r="E349" s="11" t="s">
        <v>592</v>
      </c>
      <c r="F349" s="11" t="s">
        <v>84</v>
      </c>
      <c r="G349" s="11" t="s">
        <v>53</v>
      </c>
      <c r="H349" s="12">
        <v>70838.804347826095</v>
      </c>
      <c r="I349" s="13">
        <v>0.17499999999999999</v>
      </c>
      <c r="J349" s="12">
        <v>14256.309374999999</v>
      </c>
      <c r="K349" s="12">
        <v>7861.3363125000051</v>
      </c>
      <c r="L349" s="12">
        <v>10625.820652173905</v>
      </c>
      <c r="M349" t="s">
        <v>10</v>
      </c>
      <c r="N349" t="s">
        <v>54</v>
      </c>
      <c r="O349" t="s">
        <v>55</v>
      </c>
      <c r="P349" s="19">
        <v>46081</v>
      </c>
      <c r="Q349" s="47">
        <f>+H349+L349</f>
        <v>81464.625</v>
      </c>
      <c r="R349" s="47">
        <f>+J349+K349+L349</f>
        <v>32743.466339673909</v>
      </c>
      <c r="S349" s="47">
        <f>+MONTH(B349)</f>
        <v>2</v>
      </c>
      <c r="T349" s="47">
        <f>+YEAR(B349)</f>
        <v>2026</v>
      </c>
      <c r="U349" s="47" t="s">
        <v>364</v>
      </c>
    </row>
    <row r="350" spans="1:21" ht="15" customHeight="1" x14ac:dyDescent="0.3">
      <c r="A350" s="10">
        <v>46061</v>
      </c>
      <c r="B350" s="10">
        <v>46061</v>
      </c>
      <c r="C350" s="10">
        <v>46059</v>
      </c>
      <c r="D350" s="11" t="s">
        <v>594</v>
      </c>
      <c r="E350" s="11" t="s">
        <v>519</v>
      </c>
      <c r="F350" s="11" t="s">
        <v>84</v>
      </c>
      <c r="G350" s="11" t="s">
        <v>53</v>
      </c>
      <c r="H350" s="12">
        <v>29478.29</v>
      </c>
      <c r="I350" s="13">
        <v>0.17499999999999999</v>
      </c>
      <c r="J350" s="12">
        <v>5932.5</v>
      </c>
      <c r="K350" s="12">
        <v>3271.3590952500017</v>
      </c>
      <c r="L350" s="12">
        <v>4421.71</v>
      </c>
      <c r="M350" t="s">
        <v>10</v>
      </c>
      <c r="N350" t="s">
        <v>54</v>
      </c>
      <c r="O350" t="s">
        <v>55</v>
      </c>
      <c r="P350" s="19">
        <v>46081</v>
      </c>
      <c r="Q350" s="47">
        <f>+H350+L350</f>
        <v>33900</v>
      </c>
      <c r="R350" s="47">
        <f>+J350+K350+L350</f>
        <v>13625.569095250001</v>
      </c>
      <c r="S350" s="47">
        <f>+MONTH(B350)</f>
        <v>2</v>
      </c>
      <c r="T350" s="47">
        <f>+YEAR(B350)</f>
        <v>2026</v>
      </c>
      <c r="U350" s="47" t="s">
        <v>364</v>
      </c>
    </row>
    <row r="351" spans="1:21" ht="15" customHeight="1" x14ac:dyDescent="0.3">
      <c r="A351" s="10">
        <v>46074</v>
      </c>
      <c r="B351" s="10">
        <v>46074</v>
      </c>
      <c r="C351" s="10">
        <v>46080</v>
      </c>
      <c r="D351" s="11" t="s">
        <v>595</v>
      </c>
      <c r="E351" s="11" t="s">
        <v>596</v>
      </c>
      <c r="F351" s="11" t="s">
        <v>90</v>
      </c>
      <c r="G351" s="11" t="s">
        <v>53</v>
      </c>
      <c r="H351" s="12">
        <v>2257.3857217391305</v>
      </c>
      <c r="I351" s="13">
        <v>0.17499999999999999</v>
      </c>
      <c r="J351" s="12">
        <v>454.29887650000001</v>
      </c>
      <c r="K351" s="12">
        <v>250.51338047000013</v>
      </c>
      <c r="L351" s="12">
        <v>338.60785826086976</v>
      </c>
      <c r="M351" t="s">
        <v>10</v>
      </c>
      <c r="N351" t="s">
        <v>54</v>
      </c>
      <c r="O351" t="s">
        <v>55</v>
      </c>
      <c r="P351" s="19">
        <v>46081</v>
      </c>
      <c r="Q351" s="47">
        <f>+H351+L351</f>
        <v>2595.9935800000003</v>
      </c>
      <c r="R351" s="47">
        <f>+J351+K351+L351</f>
        <v>1043.4201152308699</v>
      </c>
      <c r="S351" s="47">
        <f>+MONTH(B351)</f>
        <v>2</v>
      </c>
      <c r="T351" s="47">
        <f>+YEAR(B351)</f>
        <v>2026</v>
      </c>
      <c r="U351" s="47" t="s">
        <v>364</v>
      </c>
    </row>
    <row r="352" spans="1:21" ht="15" customHeight="1" x14ac:dyDescent="0.3">
      <c r="A352" s="10">
        <v>46062</v>
      </c>
      <c r="B352" s="10">
        <v>46062</v>
      </c>
      <c r="C352" s="10">
        <v>46078</v>
      </c>
      <c r="D352" s="11" t="s">
        <v>597</v>
      </c>
      <c r="E352" s="11" t="s">
        <v>598</v>
      </c>
      <c r="F352" s="11" t="s">
        <v>460</v>
      </c>
      <c r="G352" s="11" t="s">
        <v>53</v>
      </c>
      <c r="H352" s="12">
        <v>1899.1304347826087</v>
      </c>
      <c r="I352" s="13">
        <v>0.17499999999999999</v>
      </c>
      <c r="J352" s="12">
        <v>382.2</v>
      </c>
      <c r="K352" s="12">
        <v>210.75600000000003</v>
      </c>
      <c r="L352" s="12">
        <v>284.86956521739125</v>
      </c>
      <c r="M352" t="s">
        <v>10</v>
      </c>
      <c r="N352" t="s">
        <v>54</v>
      </c>
      <c r="O352" t="s">
        <v>55</v>
      </c>
      <c r="P352" s="19">
        <v>46081</v>
      </c>
      <c r="Q352" s="47">
        <f>+H352+L352</f>
        <v>2184</v>
      </c>
      <c r="R352" s="47">
        <f>+J352+K352+L352</f>
        <v>877.82556521739127</v>
      </c>
      <c r="S352" s="47">
        <f>+MONTH(B352)</f>
        <v>2</v>
      </c>
      <c r="T352" s="47">
        <f>+YEAR(B352)</f>
        <v>2026</v>
      </c>
      <c r="U352" s="47" t="s">
        <v>364</v>
      </c>
    </row>
    <row r="353" spans="1:21" ht="15" customHeight="1" x14ac:dyDescent="0.3">
      <c r="A353" s="10">
        <v>46061</v>
      </c>
      <c r="B353" s="10">
        <v>46061</v>
      </c>
      <c r="C353" s="10">
        <v>46078</v>
      </c>
      <c r="D353" s="11" t="s">
        <v>599</v>
      </c>
      <c r="E353" s="11" t="s">
        <v>600</v>
      </c>
      <c r="F353" s="11" t="s">
        <v>84</v>
      </c>
      <c r="G353" s="11" t="s">
        <v>53</v>
      </c>
      <c r="H353" s="12">
        <v>212.39739130434788</v>
      </c>
      <c r="I353" s="13">
        <v>0.17499999999999996</v>
      </c>
      <c r="J353" s="12">
        <v>42.744974999999997</v>
      </c>
      <c r="K353" s="12">
        <v>23.570800500000033</v>
      </c>
      <c r="L353" s="12">
        <v>31.859608695652152</v>
      </c>
      <c r="M353" t="s">
        <v>10</v>
      </c>
      <c r="N353" t="s">
        <v>54</v>
      </c>
      <c r="O353" t="s">
        <v>55</v>
      </c>
      <c r="P353" s="19">
        <v>46081</v>
      </c>
      <c r="Q353" s="47">
        <f>+H353+L353</f>
        <v>244.25700000000003</v>
      </c>
      <c r="R353" s="47">
        <f>+J353+K353+L353</f>
        <v>98.175384195652185</v>
      </c>
      <c r="S353" s="47">
        <f>+MONTH(B353)</f>
        <v>2</v>
      </c>
      <c r="T353" s="47">
        <f>+YEAR(B353)</f>
        <v>2026</v>
      </c>
      <c r="U353" s="47" t="s">
        <v>364</v>
      </c>
    </row>
    <row r="354" spans="1:21" ht="15" customHeight="1" x14ac:dyDescent="0.3">
      <c r="A354" s="10">
        <v>46067</v>
      </c>
      <c r="B354" s="10">
        <v>46067</v>
      </c>
      <c r="C354" s="10">
        <v>46078</v>
      </c>
      <c r="D354" s="11" t="s">
        <v>601</v>
      </c>
      <c r="E354" s="11" t="s">
        <v>600</v>
      </c>
      <c r="F354" s="11" t="s">
        <v>84</v>
      </c>
      <c r="G354" s="11" t="s">
        <v>53</v>
      </c>
      <c r="H354" s="12">
        <v>173.91</v>
      </c>
      <c r="I354" s="13">
        <v>0.17499999999999999</v>
      </c>
      <c r="J354" s="12">
        <v>35</v>
      </c>
      <c r="K354" s="12">
        <v>19.299049750000002</v>
      </c>
      <c r="L354" s="12">
        <v>26.09</v>
      </c>
      <c r="M354" t="s">
        <v>10</v>
      </c>
      <c r="N354" t="s">
        <v>54</v>
      </c>
      <c r="O354" t="s">
        <v>55</v>
      </c>
      <c r="P354" s="19">
        <v>46081</v>
      </c>
      <c r="Q354" s="47">
        <f>+H354+L354</f>
        <v>200</v>
      </c>
      <c r="R354" s="47">
        <f>+J354+K354+L354</f>
        <v>80.389049749999998</v>
      </c>
      <c r="S354" s="47">
        <f>+MONTH(B354)</f>
        <v>2</v>
      </c>
      <c r="T354" s="47">
        <f>+YEAR(B354)</f>
        <v>2026</v>
      </c>
      <c r="U354" s="47" t="s">
        <v>364</v>
      </c>
    </row>
    <row r="355" spans="1:21" ht="15" customHeight="1" x14ac:dyDescent="0.3">
      <c r="A355" s="10">
        <v>46067</v>
      </c>
      <c r="B355" s="10">
        <v>46067</v>
      </c>
      <c r="C355" s="10">
        <v>46078</v>
      </c>
      <c r="D355" s="11" t="s">
        <v>602</v>
      </c>
      <c r="E355" s="11" t="s">
        <v>600</v>
      </c>
      <c r="F355" s="11" t="s">
        <v>84</v>
      </c>
      <c r="G355" s="11" t="s">
        <v>53</v>
      </c>
      <c r="H355" s="12">
        <v>337.06739130434784</v>
      </c>
      <c r="I355" s="13">
        <v>0.17499999999999999</v>
      </c>
      <c r="J355" s="12">
        <v>67.834812499999998</v>
      </c>
      <c r="K355" s="12">
        <v>37.406053750000012</v>
      </c>
      <c r="L355" s="12">
        <v>50.560108695652161</v>
      </c>
      <c r="M355" t="s">
        <v>10</v>
      </c>
      <c r="N355" t="s">
        <v>54</v>
      </c>
      <c r="O355" t="s">
        <v>55</v>
      </c>
      <c r="P355" s="19">
        <v>46081</v>
      </c>
      <c r="Q355" s="47">
        <f>+H355+L355</f>
        <v>387.6275</v>
      </c>
      <c r="R355" s="47">
        <f>+J355+K355+L355</f>
        <v>155.80097494565217</v>
      </c>
      <c r="S355" s="47">
        <f>+MONTH(B355)</f>
        <v>2</v>
      </c>
      <c r="T355" s="47">
        <f>+YEAR(B355)</f>
        <v>2026</v>
      </c>
      <c r="U355" s="47" t="s">
        <v>364</v>
      </c>
    </row>
    <row r="356" spans="1:21" ht="15" customHeight="1" x14ac:dyDescent="0.3">
      <c r="A356" s="10">
        <v>46068</v>
      </c>
      <c r="B356" s="10">
        <v>46068</v>
      </c>
      <c r="C356" s="10">
        <v>46078</v>
      </c>
      <c r="D356" s="11" t="s">
        <v>603</v>
      </c>
      <c r="E356" s="11" t="s">
        <v>604</v>
      </c>
      <c r="F356" s="11" t="s">
        <v>84</v>
      </c>
      <c r="G356" s="11" t="s">
        <v>53</v>
      </c>
      <c r="H356" s="12">
        <v>1005.6521739130435</v>
      </c>
      <c r="I356" s="13">
        <v>0.17499999999999999</v>
      </c>
      <c r="J356" s="12">
        <v>202.38749999999999</v>
      </c>
      <c r="K356" s="12">
        <v>111.60225000000003</v>
      </c>
      <c r="L356" s="12">
        <v>150.8478260869565</v>
      </c>
      <c r="M356" t="s">
        <v>10</v>
      </c>
      <c r="N356" t="s">
        <v>54</v>
      </c>
      <c r="O356" t="s">
        <v>55</v>
      </c>
      <c r="P356" s="19">
        <v>46081</v>
      </c>
      <c r="Q356" s="47">
        <f>+H356+L356</f>
        <v>1156.5</v>
      </c>
      <c r="R356" s="47">
        <f>+J356+K356+L356</f>
        <v>464.83757608695652</v>
      </c>
      <c r="S356" s="47">
        <f>+MONTH(B356)</f>
        <v>2</v>
      </c>
      <c r="T356" s="47">
        <f>+YEAR(B356)</f>
        <v>2026</v>
      </c>
      <c r="U356" s="47" t="s">
        <v>364</v>
      </c>
    </row>
    <row r="357" spans="1:21" ht="15" customHeight="1" x14ac:dyDescent="0.3">
      <c r="A357" s="10">
        <v>46073</v>
      </c>
      <c r="B357" s="10">
        <v>46073</v>
      </c>
      <c r="C357" s="10">
        <v>46078</v>
      </c>
      <c r="D357" s="11" t="s">
        <v>605</v>
      </c>
      <c r="E357" s="11" t="s">
        <v>606</v>
      </c>
      <c r="F357" s="11" t="s">
        <v>84</v>
      </c>
      <c r="G357" s="11" t="s">
        <v>53</v>
      </c>
      <c r="H357" s="12">
        <v>173.91</v>
      </c>
      <c r="I357" s="13">
        <v>0.17499999999999999</v>
      </c>
      <c r="J357" s="12">
        <v>35</v>
      </c>
      <c r="K357" s="12">
        <v>19.299049750000002</v>
      </c>
      <c r="L357" s="12">
        <v>26.09</v>
      </c>
      <c r="M357" t="s">
        <v>10</v>
      </c>
      <c r="N357" t="s">
        <v>54</v>
      </c>
      <c r="O357" t="s">
        <v>55</v>
      </c>
      <c r="P357" s="19">
        <v>46081</v>
      </c>
      <c r="Q357" s="47">
        <f>+H357+L357</f>
        <v>200</v>
      </c>
      <c r="R357" s="47">
        <f>+J357+K357+L357</f>
        <v>80.389049749999998</v>
      </c>
      <c r="S357" s="47">
        <f>+MONTH(B357)</f>
        <v>2</v>
      </c>
      <c r="T357" s="47">
        <f>+YEAR(B357)</f>
        <v>2026</v>
      </c>
      <c r="U357" s="47" t="s">
        <v>364</v>
      </c>
    </row>
    <row r="358" spans="1:21" ht="15" customHeight="1" x14ac:dyDescent="0.3">
      <c r="A358" s="10">
        <v>46073</v>
      </c>
      <c r="B358" s="10">
        <v>46073</v>
      </c>
      <c r="C358" s="10">
        <v>46078</v>
      </c>
      <c r="D358" s="11" t="s">
        <v>607</v>
      </c>
      <c r="E358" s="11" t="s">
        <v>606</v>
      </c>
      <c r="F358" s="11" t="s">
        <v>84</v>
      </c>
      <c r="G358" s="11" t="s">
        <v>53</v>
      </c>
      <c r="H358" s="12">
        <v>173.91</v>
      </c>
      <c r="I358" s="13">
        <v>0.17499999999999999</v>
      </c>
      <c r="J358" s="12">
        <v>35</v>
      </c>
      <c r="K358" s="12">
        <v>19.299049750000002</v>
      </c>
      <c r="L358" s="12">
        <v>26.09</v>
      </c>
      <c r="M358" t="s">
        <v>10</v>
      </c>
      <c r="N358" t="s">
        <v>54</v>
      </c>
      <c r="O358" t="s">
        <v>55</v>
      </c>
      <c r="P358" s="19">
        <v>46081</v>
      </c>
      <c r="Q358" s="47">
        <f>+H358+L358</f>
        <v>200</v>
      </c>
      <c r="R358" s="47">
        <f>+J358+K358+L358</f>
        <v>80.389049749999998</v>
      </c>
      <c r="S358" s="47">
        <f>+MONTH(B358)</f>
        <v>2</v>
      </c>
      <c r="T358" s="47">
        <f>+YEAR(B358)</f>
        <v>2026</v>
      </c>
      <c r="U358" s="47" t="s">
        <v>364</v>
      </c>
    </row>
    <row r="359" spans="1:21" ht="15" customHeight="1" x14ac:dyDescent="0.3">
      <c r="A359" s="10">
        <v>46080</v>
      </c>
      <c r="B359" s="10">
        <v>46080</v>
      </c>
      <c r="C359" s="10">
        <v>46080</v>
      </c>
      <c r="D359" s="11" t="s">
        <v>608</v>
      </c>
      <c r="E359" s="11" t="s">
        <v>609</v>
      </c>
      <c r="F359" s="11" t="s">
        <v>460</v>
      </c>
      <c r="G359" s="11" t="s">
        <v>53</v>
      </c>
      <c r="H359" s="12">
        <v>1726.9</v>
      </c>
      <c r="I359" s="13">
        <v>0.17499999999999999</v>
      </c>
      <c r="J359" s="12">
        <v>347.53949999999998</v>
      </c>
      <c r="K359" s="12">
        <v>191.64185250000014</v>
      </c>
      <c r="L359" s="12">
        <v>259.04000000000002</v>
      </c>
      <c r="M359" t="s">
        <v>10</v>
      </c>
      <c r="N359" t="s">
        <v>85</v>
      </c>
      <c r="O359" t="s">
        <v>41</v>
      </c>
      <c r="P359" s="19">
        <v>46081</v>
      </c>
      <c r="Q359" s="47">
        <f>+H359+L359</f>
        <v>1985.94</v>
      </c>
      <c r="R359" s="47">
        <f>+J359+K359+L359</f>
        <v>798.22135250000019</v>
      </c>
      <c r="S359" s="47">
        <f>+MONTH(B359)</f>
        <v>2</v>
      </c>
      <c r="T359" s="47">
        <f>+YEAR(B359)</f>
        <v>2026</v>
      </c>
      <c r="U359" s="47" t="s">
        <v>364</v>
      </c>
    </row>
    <row r="360" spans="1:21" ht="15" customHeight="1" x14ac:dyDescent="0.3">
      <c r="A360" s="54">
        <v>46081</v>
      </c>
      <c r="B360" s="54">
        <v>46071</v>
      </c>
      <c r="C360" s="54">
        <v>46081</v>
      </c>
      <c r="D360" s="43" t="s">
        <v>610</v>
      </c>
      <c r="E360" s="43" t="s">
        <v>611</v>
      </c>
      <c r="F360" s="43" t="s">
        <v>612</v>
      </c>
      <c r="G360" s="43" t="s">
        <v>39</v>
      </c>
      <c r="H360" s="48">
        <v>390</v>
      </c>
      <c r="I360" s="45">
        <v>0.18</v>
      </c>
      <c r="J360" s="48">
        <v>80.73</v>
      </c>
      <c r="K360" s="48">
        <v>42.899999999999991</v>
      </c>
      <c r="L360" s="48">
        <v>47.970000000000006</v>
      </c>
      <c r="M360" s="43" t="s">
        <v>11</v>
      </c>
      <c r="N360" s="43" t="s">
        <v>49</v>
      </c>
      <c r="O360" s="43" t="s">
        <v>41</v>
      </c>
      <c r="P360" s="46">
        <v>46081</v>
      </c>
      <c r="Q360" s="47">
        <f>+H360+L360</f>
        <v>437.97</v>
      </c>
      <c r="R360" s="47">
        <f>+J360+K360+L360</f>
        <v>171.6</v>
      </c>
      <c r="S360" s="47">
        <f>+MONTH(B360)</f>
        <v>2</v>
      </c>
      <c r="T360" s="47">
        <f>+YEAR(B360)</f>
        <v>2026</v>
      </c>
      <c r="U360" s="47" t="s">
        <v>364</v>
      </c>
    </row>
    <row r="361" spans="1:21" ht="15" customHeight="1" x14ac:dyDescent="0.3">
      <c r="A361" s="41"/>
      <c r="B361" s="20">
        <v>44760</v>
      </c>
      <c r="C361" s="41"/>
      <c r="D361" s="41" t="s">
        <v>613</v>
      </c>
      <c r="E361" s="41" t="s">
        <v>614</v>
      </c>
      <c r="F361" s="41" t="s">
        <v>615</v>
      </c>
      <c r="G361" s="41" t="s">
        <v>53</v>
      </c>
      <c r="H361" s="55">
        <v>173.91</v>
      </c>
      <c r="I361" s="56">
        <v>0.15</v>
      </c>
      <c r="J361" s="55">
        <v>30</v>
      </c>
      <c r="K361" s="55">
        <v>22.086044999999999</v>
      </c>
      <c r="L361" s="55">
        <v>26.09</v>
      </c>
      <c r="M361" s="41" t="s">
        <v>10</v>
      </c>
      <c r="N361" s="41" t="s">
        <v>54</v>
      </c>
      <c r="O361" s="41" t="s">
        <v>55</v>
      </c>
      <c r="P361" s="57">
        <v>44773</v>
      </c>
      <c r="Q361" s="41">
        <f>+H361+L361</f>
        <v>200</v>
      </c>
      <c r="R361" s="41">
        <f>+J361+K361+L361</f>
        <v>78.176045000000002</v>
      </c>
      <c r="S361" s="41">
        <f>+MONTH(B361)</f>
        <v>7</v>
      </c>
      <c r="T361" s="41">
        <f>+YEAR(B361)</f>
        <v>2022</v>
      </c>
      <c r="U361" s="41" t="s">
        <v>364</v>
      </c>
    </row>
    <row r="362" spans="1:21" ht="15" customHeight="1" x14ac:dyDescent="0.3">
      <c r="A362" s="41"/>
      <c r="B362" s="20">
        <v>44856</v>
      </c>
      <c r="C362" s="41"/>
      <c r="D362" s="41" t="s">
        <v>616</v>
      </c>
      <c r="E362" s="41" t="s">
        <v>614</v>
      </c>
      <c r="F362" s="41" t="s">
        <v>615</v>
      </c>
      <c r="G362" s="41" t="s">
        <v>53</v>
      </c>
      <c r="H362" s="55">
        <v>538.59</v>
      </c>
      <c r="I362" s="56">
        <v>0.15</v>
      </c>
      <c r="J362" s="55">
        <v>92.906999999999996</v>
      </c>
      <c r="K362" s="55">
        <v>68.400705000000002</v>
      </c>
      <c r="L362" s="55">
        <v>80.790000000000006</v>
      </c>
      <c r="M362" s="41" t="s">
        <v>10</v>
      </c>
      <c r="N362" s="41" t="s">
        <v>54</v>
      </c>
      <c r="O362" s="41" t="s">
        <v>55</v>
      </c>
      <c r="P362" s="57">
        <v>44865</v>
      </c>
      <c r="Q362" s="41">
        <f>+H362+L362</f>
        <v>619.38</v>
      </c>
      <c r="R362" s="41">
        <f>+J362+K362+L362</f>
        <v>242.09770500000002</v>
      </c>
      <c r="S362" s="41">
        <f>+MONTH(B362)</f>
        <v>10</v>
      </c>
      <c r="T362" s="41">
        <f>+YEAR(B362)</f>
        <v>2022</v>
      </c>
      <c r="U362" s="41" t="s">
        <v>364</v>
      </c>
    </row>
    <row r="363" spans="1:21" ht="15" customHeight="1" x14ac:dyDescent="0.3">
      <c r="A363" s="41"/>
      <c r="B363" s="20">
        <v>44856</v>
      </c>
      <c r="C363" s="41"/>
      <c r="D363" s="41" t="s">
        <v>617</v>
      </c>
      <c r="E363" s="41" t="s">
        <v>614</v>
      </c>
      <c r="F363" s="41" t="s">
        <v>615</v>
      </c>
      <c r="G363" s="41" t="s">
        <v>53</v>
      </c>
      <c r="H363" s="55">
        <v>538.59</v>
      </c>
      <c r="I363" s="56">
        <v>0.15</v>
      </c>
      <c r="J363" s="55">
        <v>92.906999999999996</v>
      </c>
      <c r="K363" s="55">
        <v>68.400705000000002</v>
      </c>
      <c r="L363" s="55">
        <v>80.790000000000006</v>
      </c>
      <c r="M363" s="41" t="s">
        <v>10</v>
      </c>
      <c r="N363" s="41" t="s">
        <v>54</v>
      </c>
      <c r="O363" s="41" t="s">
        <v>55</v>
      </c>
      <c r="P363" s="57">
        <v>44865</v>
      </c>
      <c r="Q363" s="41">
        <f>+H363+L363</f>
        <v>619.38</v>
      </c>
      <c r="R363" s="41">
        <f>+J363+K363+L363</f>
        <v>242.09770500000002</v>
      </c>
      <c r="S363" s="41">
        <f>+MONTH(B363)</f>
        <v>10</v>
      </c>
      <c r="T363" s="41">
        <f>+YEAR(B363)</f>
        <v>2022</v>
      </c>
      <c r="U363" s="41" t="s">
        <v>364</v>
      </c>
    </row>
    <row r="364" spans="1:21" ht="15" customHeight="1" x14ac:dyDescent="0.3">
      <c r="A364" s="41"/>
      <c r="B364" s="20">
        <v>45140</v>
      </c>
      <c r="C364" s="41"/>
      <c r="D364" s="41" t="s">
        <v>618</v>
      </c>
      <c r="E364" s="41" t="s">
        <v>619</v>
      </c>
      <c r="F364" s="41" t="s">
        <v>383</v>
      </c>
      <c r="G364" s="41" t="s">
        <v>53</v>
      </c>
      <c r="H364" s="55">
        <v>1487.83</v>
      </c>
      <c r="I364" s="56">
        <v>0.13500000000000001</v>
      </c>
      <c r="J364" s="55">
        <v>230.98500000000001</v>
      </c>
      <c r="K364" s="55">
        <v>214.62008499999996</v>
      </c>
      <c r="L364" s="55">
        <v>223.17</v>
      </c>
      <c r="M364" s="41" t="s">
        <v>10</v>
      </c>
      <c r="N364" s="41" t="s">
        <v>54</v>
      </c>
      <c r="O364" s="41" t="s">
        <v>55</v>
      </c>
      <c r="P364" s="57">
        <v>45169</v>
      </c>
      <c r="Q364" s="41">
        <f>+H364+L364</f>
        <v>1711</v>
      </c>
      <c r="R364" s="41">
        <f>+J364+K364+L364</f>
        <v>668.77508499999999</v>
      </c>
      <c r="S364" s="41">
        <f>+MONTH(B364)</f>
        <v>8</v>
      </c>
      <c r="T364" s="41">
        <f>+YEAR(B364)</f>
        <v>2023</v>
      </c>
      <c r="U364" s="41" t="s">
        <v>364</v>
      </c>
    </row>
    <row r="365" spans="1:21" ht="15" customHeight="1" x14ac:dyDescent="0.3">
      <c r="A365" s="41"/>
      <c r="B365" s="20">
        <v>45506</v>
      </c>
      <c r="C365" s="41"/>
      <c r="D365" s="41" t="s">
        <v>620</v>
      </c>
      <c r="E365" s="41" t="s">
        <v>619</v>
      </c>
      <c r="F365" s="41" t="s">
        <v>383</v>
      </c>
      <c r="G365" s="41" t="s">
        <v>53</v>
      </c>
      <c r="H365" s="55">
        <v>1487.83</v>
      </c>
      <c r="I365" s="56">
        <v>0.13500000000000001</v>
      </c>
      <c r="J365" s="55">
        <v>230.98500000000001</v>
      </c>
      <c r="K365" s="55">
        <v>228.19653374999996</v>
      </c>
      <c r="L365" s="55">
        <v>223.17</v>
      </c>
      <c r="M365" s="41" t="s">
        <v>10</v>
      </c>
      <c r="N365" s="41" t="s">
        <v>54</v>
      </c>
      <c r="O365" s="41" t="s">
        <v>55</v>
      </c>
      <c r="P365" s="57">
        <v>45535</v>
      </c>
      <c r="Q365" s="41">
        <f>+H365+L365</f>
        <v>1711</v>
      </c>
      <c r="R365" s="41">
        <f>+J365+K365+L365</f>
        <v>682.35153374999993</v>
      </c>
      <c r="S365" s="41">
        <f>+MONTH(B365)</f>
        <v>8</v>
      </c>
      <c r="T365" s="41">
        <f>+YEAR(B365)</f>
        <v>2024</v>
      </c>
      <c r="U365" s="41" t="s">
        <v>364</v>
      </c>
    </row>
    <row r="366" spans="1:21" ht="15" customHeight="1" x14ac:dyDescent="0.3">
      <c r="A366" s="41"/>
      <c r="B366" s="20">
        <v>45110</v>
      </c>
      <c r="C366" s="41"/>
      <c r="D366" s="41" t="s">
        <v>621</v>
      </c>
      <c r="E366" s="41" t="s">
        <v>622</v>
      </c>
      <c r="F366" s="41" t="s">
        <v>363</v>
      </c>
      <c r="G366" s="41" t="s">
        <v>53</v>
      </c>
      <c r="H366" s="55">
        <v>247.48</v>
      </c>
      <c r="I366" s="56">
        <v>0.17499999999999999</v>
      </c>
      <c r="J366" s="55">
        <v>49.804999999999993</v>
      </c>
      <c r="K366" s="55">
        <v>24.315259999999995</v>
      </c>
      <c r="L366" s="55">
        <v>37.119999999999997</v>
      </c>
      <c r="M366" s="41" t="s">
        <v>10</v>
      </c>
      <c r="N366" s="41" t="s">
        <v>54</v>
      </c>
      <c r="O366" s="41" t="s">
        <v>55</v>
      </c>
      <c r="P366" s="57">
        <v>45138</v>
      </c>
      <c r="Q366" s="41">
        <f>+H366+L366</f>
        <v>284.59999999999997</v>
      </c>
      <c r="R366" s="41">
        <f>+J366+K366+L366</f>
        <v>111.24025999999998</v>
      </c>
      <c r="S366" s="41">
        <f>+MONTH(B366)</f>
        <v>7</v>
      </c>
      <c r="T366" s="41">
        <f>+YEAR(B366)</f>
        <v>2023</v>
      </c>
      <c r="U366" s="41" t="s">
        <v>364</v>
      </c>
    </row>
    <row r="367" spans="1:21" ht="15" customHeight="1" x14ac:dyDescent="0.3">
      <c r="A367" s="41"/>
      <c r="B367" s="20">
        <v>45476</v>
      </c>
      <c r="C367" s="41"/>
      <c r="D367" s="41" t="s">
        <v>623</v>
      </c>
      <c r="E367" s="41" t="s">
        <v>622</v>
      </c>
      <c r="F367" s="41" t="s">
        <v>363</v>
      </c>
      <c r="G367" s="41" t="s">
        <v>53</v>
      </c>
      <c r="H367" s="55">
        <v>247.48</v>
      </c>
      <c r="I367" s="56">
        <v>0.17499999999999999</v>
      </c>
      <c r="J367" s="55">
        <v>49.804999999999993</v>
      </c>
      <c r="K367" s="55">
        <v>26.573515</v>
      </c>
      <c r="L367" s="55">
        <v>37.119999999999997</v>
      </c>
      <c r="M367" s="41" t="s">
        <v>10</v>
      </c>
      <c r="N367" s="41" t="s">
        <v>54</v>
      </c>
      <c r="O367" s="41" t="s">
        <v>55</v>
      </c>
      <c r="P367" s="57">
        <v>45504</v>
      </c>
      <c r="Q367" s="41">
        <f>+H367+L367</f>
        <v>284.59999999999997</v>
      </c>
      <c r="R367" s="41">
        <f>+J367+K367+L367</f>
        <v>113.498515</v>
      </c>
      <c r="S367" s="41">
        <f>+MONTH(B367)</f>
        <v>7</v>
      </c>
      <c r="T367" s="41">
        <f>+YEAR(B367)</f>
        <v>2024</v>
      </c>
      <c r="U367" s="41" t="s">
        <v>364</v>
      </c>
    </row>
    <row r="368" spans="1:21" ht="15" customHeight="1" x14ac:dyDescent="0.3">
      <c r="A368" s="41"/>
      <c r="B368" s="20">
        <v>45312</v>
      </c>
      <c r="C368" s="41"/>
      <c r="D368" s="41" t="s">
        <v>624</v>
      </c>
      <c r="E368" s="41" t="s">
        <v>362</v>
      </c>
      <c r="F368" s="41" t="s">
        <v>363</v>
      </c>
      <c r="G368" s="41" t="s">
        <v>53</v>
      </c>
      <c r="H368" s="55">
        <v>86.96</v>
      </c>
      <c r="I368" s="56">
        <v>0.17499999999999999</v>
      </c>
      <c r="J368" s="55">
        <v>17.5</v>
      </c>
      <c r="K368" s="55">
        <v>9.3380299999999963</v>
      </c>
      <c r="L368" s="55">
        <v>13.04</v>
      </c>
      <c r="M368" s="41" t="s">
        <v>10</v>
      </c>
      <c r="N368" s="41" t="s">
        <v>54</v>
      </c>
      <c r="O368" s="41" t="s">
        <v>55</v>
      </c>
      <c r="P368" s="57">
        <v>45322</v>
      </c>
      <c r="Q368" s="41">
        <f>+H368+L368</f>
        <v>100</v>
      </c>
      <c r="R368" s="41">
        <f>+J368+K368+L368</f>
        <v>39.878029999999995</v>
      </c>
      <c r="S368" s="41">
        <f>+MONTH(B368)</f>
        <v>1</v>
      </c>
      <c r="T368" s="41">
        <f>+YEAR(B368)</f>
        <v>2024</v>
      </c>
      <c r="U368" s="41" t="s">
        <v>364</v>
      </c>
    </row>
    <row r="369" spans="1:21" ht="15" customHeight="1" x14ac:dyDescent="0.3">
      <c r="A369" s="41"/>
      <c r="B369" s="20">
        <v>45359</v>
      </c>
      <c r="C369" s="41"/>
      <c r="D369" s="41" t="s">
        <v>625</v>
      </c>
      <c r="E369" s="41" t="s">
        <v>362</v>
      </c>
      <c r="F369" s="41" t="s">
        <v>363</v>
      </c>
      <c r="G369" s="41" t="s">
        <v>53</v>
      </c>
      <c r="H369" s="55">
        <v>86.96</v>
      </c>
      <c r="I369" s="56">
        <v>0.17499999999999999</v>
      </c>
      <c r="J369" s="55">
        <v>17.5</v>
      </c>
      <c r="K369" s="55">
        <v>9.3380299999999963</v>
      </c>
      <c r="L369" s="55">
        <v>13.04</v>
      </c>
      <c r="M369" s="41" t="s">
        <v>10</v>
      </c>
      <c r="N369" s="41" t="s">
        <v>54</v>
      </c>
      <c r="O369" s="41" t="s">
        <v>55</v>
      </c>
      <c r="P369" s="57">
        <v>45382</v>
      </c>
      <c r="Q369" s="41">
        <f>+H369+L369</f>
        <v>100</v>
      </c>
      <c r="R369" s="41">
        <f>+J369+K369+L369</f>
        <v>39.878029999999995</v>
      </c>
      <c r="S369" s="41">
        <f>+MONTH(B369)</f>
        <v>3</v>
      </c>
      <c r="T369" s="41">
        <f>+YEAR(B369)</f>
        <v>2024</v>
      </c>
      <c r="U369" s="41" t="s">
        <v>364</v>
      </c>
    </row>
    <row r="370" spans="1:21" ht="15" customHeight="1" x14ac:dyDescent="0.3">
      <c r="A370" s="41"/>
      <c r="B370" s="20">
        <v>45242</v>
      </c>
      <c r="C370" s="41"/>
      <c r="D370" s="41" t="s">
        <v>626</v>
      </c>
      <c r="E370" s="41" t="s">
        <v>362</v>
      </c>
      <c r="F370" s="41" t="s">
        <v>363</v>
      </c>
      <c r="G370" s="41" t="s">
        <v>53</v>
      </c>
      <c r="H370" s="55">
        <v>86.96</v>
      </c>
      <c r="I370" s="56">
        <v>0.17499999999999999</v>
      </c>
      <c r="J370" s="55">
        <v>17.5</v>
      </c>
      <c r="K370" s="55">
        <v>8.5445199999999986</v>
      </c>
      <c r="L370" s="55">
        <v>13.04</v>
      </c>
      <c r="M370" s="41" t="s">
        <v>10</v>
      </c>
      <c r="N370" s="41" t="s">
        <v>54</v>
      </c>
      <c r="O370" s="41" t="s">
        <v>55</v>
      </c>
      <c r="P370" s="57">
        <v>45260</v>
      </c>
      <c r="Q370" s="41">
        <f>+H370+L370</f>
        <v>100</v>
      </c>
      <c r="R370" s="41">
        <f>+J370+K370+L370</f>
        <v>39.084519999999998</v>
      </c>
      <c r="S370" s="41">
        <f>+MONTH(B370)</f>
        <v>11</v>
      </c>
      <c r="T370" s="41">
        <f>+YEAR(B370)</f>
        <v>2023</v>
      </c>
      <c r="U370" s="41" t="s">
        <v>364</v>
      </c>
    </row>
    <row r="371" spans="1:21" ht="15" customHeight="1" x14ac:dyDescent="0.3">
      <c r="A371" s="41"/>
      <c r="B371" s="20">
        <v>45249</v>
      </c>
      <c r="C371" s="41"/>
      <c r="D371" s="41" t="s">
        <v>627</v>
      </c>
      <c r="E371" s="41" t="s">
        <v>362</v>
      </c>
      <c r="F371" s="41" t="s">
        <v>363</v>
      </c>
      <c r="G371" s="41" t="s">
        <v>53</v>
      </c>
      <c r="H371" s="55">
        <v>110.02</v>
      </c>
      <c r="I371" s="56">
        <v>0.17499999999999999</v>
      </c>
      <c r="J371" s="55">
        <v>22.140999999999998</v>
      </c>
      <c r="K371" s="55">
        <v>10.809989999999999</v>
      </c>
      <c r="L371" s="55">
        <v>16.5</v>
      </c>
      <c r="M371" s="41" t="s">
        <v>10</v>
      </c>
      <c r="N371" s="41" t="s">
        <v>54</v>
      </c>
      <c r="O371" s="41" t="s">
        <v>55</v>
      </c>
      <c r="P371" s="57">
        <v>45260</v>
      </c>
      <c r="Q371" s="41">
        <f>+H371+L371</f>
        <v>126.52</v>
      </c>
      <c r="R371" s="41">
        <f>+J371+K371+L371</f>
        <v>49.450989999999997</v>
      </c>
      <c r="S371" s="41">
        <f>+MONTH(B371)</f>
        <v>11</v>
      </c>
      <c r="T371" s="41">
        <f>+YEAR(B371)</f>
        <v>2023</v>
      </c>
      <c r="U371" s="41" t="s">
        <v>364</v>
      </c>
    </row>
    <row r="372" spans="1:21" ht="15" customHeight="1" x14ac:dyDescent="0.3">
      <c r="A372" s="41"/>
      <c r="B372" s="20">
        <v>45386</v>
      </c>
      <c r="C372" s="41"/>
      <c r="D372" s="41" t="s">
        <v>628</v>
      </c>
      <c r="E372" s="41" t="s">
        <v>362</v>
      </c>
      <c r="F372" s="41" t="s">
        <v>363</v>
      </c>
      <c r="G372" s="41" t="s">
        <v>53</v>
      </c>
      <c r="H372" s="55">
        <v>450.51</v>
      </c>
      <c r="I372" s="56">
        <v>0.17499999999999999</v>
      </c>
      <c r="J372" s="55">
        <v>90.665750000000003</v>
      </c>
      <c r="K372" s="55">
        <v>48.37289874999999</v>
      </c>
      <c r="L372" s="55">
        <v>67.58</v>
      </c>
      <c r="M372" s="41" t="s">
        <v>10</v>
      </c>
      <c r="N372" s="41" t="s">
        <v>54</v>
      </c>
      <c r="O372" s="41" t="s">
        <v>55</v>
      </c>
      <c r="P372" s="57">
        <v>45412</v>
      </c>
      <c r="Q372" s="41">
        <f>+H372+L372</f>
        <v>518.09</v>
      </c>
      <c r="R372" s="41">
        <f>+J372+K372+L372</f>
        <v>206.61864874999998</v>
      </c>
      <c r="S372" s="41">
        <f>+MONTH(B372)</f>
        <v>4</v>
      </c>
      <c r="T372" s="41">
        <f>+YEAR(B372)</f>
        <v>2024</v>
      </c>
      <c r="U372" s="41" t="s">
        <v>364</v>
      </c>
    </row>
    <row r="373" spans="1:21" ht="15" customHeight="1" x14ac:dyDescent="0.3">
      <c r="A373" s="41"/>
      <c r="B373" s="20">
        <v>45249</v>
      </c>
      <c r="C373" s="41"/>
      <c r="D373" s="41" t="s">
        <v>629</v>
      </c>
      <c r="E373" s="41" t="s">
        <v>362</v>
      </c>
      <c r="F373" s="41" t="s">
        <v>363</v>
      </c>
      <c r="G373" s="41" t="s">
        <v>53</v>
      </c>
      <c r="H373" s="55">
        <v>86.96</v>
      </c>
      <c r="I373" s="56">
        <v>0.17499999999999999</v>
      </c>
      <c r="J373" s="55">
        <v>17.5</v>
      </c>
      <c r="K373" s="55">
        <v>8.5445199999999986</v>
      </c>
      <c r="L373" s="55">
        <v>13.04</v>
      </c>
      <c r="M373" s="41" t="s">
        <v>10</v>
      </c>
      <c r="N373" s="41" t="s">
        <v>54</v>
      </c>
      <c r="O373" s="41" t="s">
        <v>55</v>
      </c>
      <c r="P373" s="57">
        <v>45260</v>
      </c>
      <c r="Q373" s="41">
        <f>+H373+L373</f>
        <v>100</v>
      </c>
      <c r="R373" s="41">
        <f>+J373+K373+L373</f>
        <v>39.084519999999998</v>
      </c>
      <c r="S373" s="41">
        <f>+MONTH(B373)</f>
        <v>11</v>
      </c>
      <c r="T373" s="41">
        <f>+YEAR(B373)</f>
        <v>2023</v>
      </c>
      <c r="U373" s="41" t="s">
        <v>364</v>
      </c>
    </row>
    <row r="374" spans="1:21" ht="15" customHeight="1" x14ac:dyDescent="0.3">
      <c r="A374" s="41"/>
      <c r="B374" s="20">
        <v>45363</v>
      </c>
      <c r="C374" s="41"/>
      <c r="D374" s="41" t="s">
        <v>630</v>
      </c>
      <c r="E374" s="41" t="s">
        <v>362</v>
      </c>
      <c r="F374" s="41" t="s">
        <v>363</v>
      </c>
      <c r="G374" s="41" t="s">
        <v>53</v>
      </c>
      <c r="H374" s="55">
        <v>172.78</v>
      </c>
      <c r="I374" s="56">
        <v>0.17499999999999999</v>
      </c>
      <c r="J374" s="55">
        <v>34.772499999999994</v>
      </c>
      <c r="K374" s="55">
        <v>18.551727500000005</v>
      </c>
      <c r="L374" s="55">
        <v>25.92</v>
      </c>
      <c r="M374" s="41" t="s">
        <v>10</v>
      </c>
      <c r="N374" s="41" t="s">
        <v>54</v>
      </c>
      <c r="O374" s="41" t="s">
        <v>55</v>
      </c>
      <c r="P374" s="57">
        <v>45382</v>
      </c>
      <c r="Q374" s="41">
        <f>+H374+L374</f>
        <v>198.7</v>
      </c>
      <c r="R374" s="41">
        <f>+J374+K374+L374</f>
        <v>79.244227499999994</v>
      </c>
      <c r="S374" s="41">
        <f>+MONTH(B374)</f>
        <v>3</v>
      </c>
      <c r="T374" s="41">
        <f>+YEAR(B374)</f>
        <v>2024</v>
      </c>
      <c r="U374" s="41" t="s">
        <v>364</v>
      </c>
    </row>
    <row r="375" spans="1:21" ht="15" customHeight="1" x14ac:dyDescent="0.3">
      <c r="A375" s="41"/>
      <c r="B375" s="20">
        <v>45393</v>
      </c>
      <c r="C375" s="41"/>
      <c r="D375" s="41" t="s">
        <v>631</v>
      </c>
      <c r="E375" s="41" t="s">
        <v>362</v>
      </c>
      <c r="F375" s="41" t="s">
        <v>363</v>
      </c>
      <c r="G375" s="41" t="s">
        <v>53</v>
      </c>
      <c r="H375" s="55">
        <v>86.96</v>
      </c>
      <c r="I375" s="56">
        <v>0.17499999999999999</v>
      </c>
      <c r="J375" s="55">
        <v>17.5</v>
      </c>
      <c r="K375" s="55">
        <v>9.3380299999999963</v>
      </c>
      <c r="L375" s="55">
        <v>13.04</v>
      </c>
      <c r="M375" s="41" t="s">
        <v>10</v>
      </c>
      <c r="N375" s="41" t="s">
        <v>54</v>
      </c>
      <c r="O375" s="41" t="s">
        <v>55</v>
      </c>
      <c r="P375" s="57">
        <v>45412</v>
      </c>
      <c r="Q375" s="41">
        <f>+H375+L375</f>
        <v>100</v>
      </c>
      <c r="R375" s="41">
        <f>+J375+K375+L375</f>
        <v>39.878029999999995</v>
      </c>
      <c r="S375" s="41">
        <f>+MONTH(B375)</f>
        <v>4</v>
      </c>
      <c r="T375" s="41">
        <f>+YEAR(B375)</f>
        <v>2024</v>
      </c>
      <c r="U375" s="41" t="s">
        <v>364</v>
      </c>
    </row>
    <row r="376" spans="1:21" ht="15" customHeight="1" x14ac:dyDescent="0.3">
      <c r="A376" s="41"/>
      <c r="B376" s="20">
        <v>45381</v>
      </c>
      <c r="C376" s="41"/>
      <c r="D376" s="41" t="s">
        <v>632</v>
      </c>
      <c r="E376" s="41" t="s">
        <v>362</v>
      </c>
      <c r="F376" s="41" t="s">
        <v>363</v>
      </c>
      <c r="G376" s="41" t="s">
        <v>53</v>
      </c>
      <c r="H376" s="55">
        <v>450.51</v>
      </c>
      <c r="I376" s="56">
        <v>0.17499999999999999</v>
      </c>
      <c r="J376" s="55">
        <v>90.665750000000003</v>
      </c>
      <c r="K376" s="55">
        <v>48.37289874999999</v>
      </c>
      <c r="L376" s="55">
        <v>67.58</v>
      </c>
      <c r="M376" s="41" t="s">
        <v>10</v>
      </c>
      <c r="N376" s="41" t="s">
        <v>54</v>
      </c>
      <c r="O376" s="41" t="s">
        <v>55</v>
      </c>
      <c r="P376" s="57">
        <v>45382</v>
      </c>
      <c r="Q376" s="41">
        <f>+H376+L376</f>
        <v>518.09</v>
      </c>
      <c r="R376" s="41">
        <f>+J376+K376+L376</f>
        <v>206.61864874999998</v>
      </c>
      <c r="S376" s="41">
        <f>+MONTH(B376)</f>
        <v>3</v>
      </c>
      <c r="T376" s="41">
        <f>+YEAR(B376)</f>
        <v>2024</v>
      </c>
      <c r="U376" s="41" t="s">
        <v>364</v>
      </c>
    </row>
    <row r="377" spans="1:21" ht="15" customHeight="1" x14ac:dyDescent="0.3">
      <c r="A377" s="41"/>
      <c r="B377" s="20">
        <v>45312</v>
      </c>
      <c r="C377" s="41"/>
      <c r="D377" s="41" t="s">
        <v>633</v>
      </c>
      <c r="E377" s="41" t="s">
        <v>362</v>
      </c>
      <c r="F377" s="41" t="s">
        <v>363</v>
      </c>
      <c r="G377" s="41" t="s">
        <v>53</v>
      </c>
      <c r="H377" s="55">
        <v>86.96</v>
      </c>
      <c r="I377" s="56">
        <v>0.17499999999999999</v>
      </c>
      <c r="J377" s="55">
        <v>17.5</v>
      </c>
      <c r="K377" s="55">
        <v>9.3380299999999963</v>
      </c>
      <c r="L377" s="55">
        <v>13.04</v>
      </c>
      <c r="M377" s="41" t="s">
        <v>10</v>
      </c>
      <c r="N377" s="41" t="s">
        <v>54</v>
      </c>
      <c r="O377" s="41" t="s">
        <v>55</v>
      </c>
      <c r="P377" s="57">
        <v>45322</v>
      </c>
      <c r="Q377" s="41">
        <f>+H377+L377</f>
        <v>100</v>
      </c>
      <c r="R377" s="41">
        <f>+J377+K377+L377</f>
        <v>39.878029999999995</v>
      </c>
      <c r="S377" s="41">
        <f>+MONTH(B377)</f>
        <v>1</v>
      </c>
      <c r="T377" s="41">
        <f>+YEAR(B377)</f>
        <v>2024</v>
      </c>
      <c r="U377" s="41" t="s">
        <v>364</v>
      </c>
    </row>
    <row r="378" spans="1:21" ht="15" customHeight="1" x14ac:dyDescent="0.3">
      <c r="A378" s="41"/>
      <c r="B378" s="20">
        <v>45207</v>
      </c>
      <c r="C378" s="41"/>
      <c r="D378" s="41" t="s">
        <v>634</v>
      </c>
      <c r="E378" s="41" t="s">
        <v>362</v>
      </c>
      <c r="F378" s="41" t="s">
        <v>363</v>
      </c>
      <c r="G378" s="41" t="s">
        <v>53</v>
      </c>
      <c r="H378" s="55">
        <v>86.96</v>
      </c>
      <c r="I378" s="56">
        <v>0.17499999999999999</v>
      </c>
      <c r="J378" s="55">
        <v>17.5</v>
      </c>
      <c r="K378" s="55">
        <v>8.5445199999999986</v>
      </c>
      <c r="L378" s="55">
        <v>13.04</v>
      </c>
      <c r="M378" s="41" t="s">
        <v>10</v>
      </c>
      <c r="N378" s="41" t="s">
        <v>54</v>
      </c>
      <c r="O378" s="41" t="s">
        <v>55</v>
      </c>
      <c r="P378" s="57">
        <v>45230</v>
      </c>
      <c r="Q378" s="41">
        <f>+H378+L378</f>
        <v>100</v>
      </c>
      <c r="R378" s="41">
        <f>+J378+K378+L378</f>
        <v>39.084519999999998</v>
      </c>
      <c r="S378" s="41">
        <f>+MONTH(B378)</f>
        <v>10</v>
      </c>
      <c r="T378" s="41">
        <f>+YEAR(B378)</f>
        <v>2023</v>
      </c>
      <c r="U378" s="41" t="s">
        <v>364</v>
      </c>
    </row>
    <row r="379" spans="1:21" ht="15" customHeight="1" x14ac:dyDescent="0.3">
      <c r="A379" s="41"/>
      <c r="B379" s="20">
        <v>45503</v>
      </c>
      <c r="C379" s="41"/>
      <c r="D379" s="41" t="s">
        <v>635</v>
      </c>
      <c r="E379" s="41" t="s">
        <v>362</v>
      </c>
      <c r="F379" s="41" t="s">
        <v>363</v>
      </c>
      <c r="G379" s="41" t="s">
        <v>53</v>
      </c>
      <c r="H379" s="55">
        <v>151.47</v>
      </c>
      <c r="I379" s="56">
        <v>0.17499999999999999</v>
      </c>
      <c r="J379" s="55">
        <v>30.483249999999998</v>
      </c>
      <c r="K379" s="55">
        <v>16.264178749999999</v>
      </c>
      <c r="L379" s="55">
        <v>22.72</v>
      </c>
      <c r="M379" s="41" t="s">
        <v>10</v>
      </c>
      <c r="N379" s="41" t="s">
        <v>54</v>
      </c>
      <c r="O379" s="41" t="s">
        <v>55</v>
      </c>
      <c r="P379" s="57">
        <v>45504</v>
      </c>
      <c r="Q379" s="41">
        <f>+H379+L379</f>
        <v>174.19</v>
      </c>
      <c r="R379" s="41">
        <f>+J379+K379+L379</f>
        <v>69.467428749999996</v>
      </c>
      <c r="S379" s="41">
        <f>+MONTH(B379)</f>
        <v>7</v>
      </c>
      <c r="T379" s="41">
        <f>+YEAR(B379)</f>
        <v>2024</v>
      </c>
      <c r="U379" s="41" t="s">
        <v>364</v>
      </c>
    </row>
    <row r="380" spans="1:21" ht="15" customHeight="1" x14ac:dyDescent="0.3">
      <c r="A380" s="41"/>
      <c r="B380" s="20">
        <v>45323</v>
      </c>
      <c r="C380" s="41"/>
      <c r="D380" s="41" t="s">
        <v>636</v>
      </c>
      <c r="E380" s="41" t="s">
        <v>362</v>
      </c>
      <c r="F380" s="41" t="s">
        <v>363</v>
      </c>
      <c r="G380" s="41" t="s">
        <v>53</v>
      </c>
      <c r="H380" s="55">
        <v>86.96</v>
      </c>
      <c r="I380" s="56">
        <v>0.17499999999999999</v>
      </c>
      <c r="J380" s="55">
        <v>17.5</v>
      </c>
      <c r="K380" s="55">
        <v>9.3380299999999963</v>
      </c>
      <c r="L380" s="55">
        <v>13.04</v>
      </c>
      <c r="M380" s="41" t="s">
        <v>10</v>
      </c>
      <c r="N380" s="41" t="s">
        <v>54</v>
      </c>
      <c r="O380" s="41" t="s">
        <v>55</v>
      </c>
      <c r="P380" s="57">
        <v>45351</v>
      </c>
      <c r="Q380" s="41">
        <f>+H380+L380</f>
        <v>100</v>
      </c>
      <c r="R380" s="41">
        <f>+J380+K380+L380</f>
        <v>39.878029999999995</v>
      </c>
      <c r="S380" s="41">
        <f>+MONTH(B380)</f>
        <v>2</v>
      </c>
      <c r="T380" s="41">
        <f>+YEAR(B380)</f>
        <v>2024</v>
      </c>
      <c r="U380" s="41" t="s">
        <v>364</v>
      </c>
    </row>
    <row r="381" spans="1:21" ht="15" customHeight="1" x14ac:dyDescent="0.3">
      <c r="A381" s="41"/>
      <c r="B381" s="20">
        <v>44430</v>
      </c>
      <c r="C381" s="41"/>
      <c r="D381" s="41" t="s">
        <v>637</v>
      </c>
      <c r="E381" s="41" t="s">
        <v>638</v>
      </c>
      <c r="F381" s="41" t="s">
        <v>639</v>
      </c>
      <c r="G381" s="41" t="s">
        <v>53</v>
      </c>
      <c r="H381" s="55">
        <v>173.91</v>
      </c>
      <c r="I381" s="56">
        <v>0</v>
      </c>
      <c r="J381" s="55">
        <v>0</v>
      </c>
      <c r="K381" s="55">
        <v>51.216494999999995</v>
      </c>
      <c r="L381" s="55">
        <v>26.09</v>
      </c>
      <c r="M381" s="41" t="s">
        <v>10</v>
      </c>
      <c r="N381" s="41" t="s">
        <v>54</v>
      </c>
      <c r="O381" s="41" t="s">
        <v>55</v>
      </c>
      <c r="P381" s="57">
        <v>44439</v>
      </c>
      <c r="Q381" s="41">
        <f>+H381+L381</f>
        <v>200</v>
      </c>
      <c r="R381" s="41">
        <f>+J381+K381+L381</f>
        <v>77.306494999999998</v>
      </c>
      <c r="S381" s="41">
        <f>+MONTH(B381)</f>
        <v>8</v>
      </c>
      <c r="T381" s="41">
        <f>+YEAR(B381)</f>
        <v>2021</v>
      </c>
      <c r="U381" s="41" t="s">
        <v>364</v>
      </c>
    </row>
    <row r="382" spans="1:21" ht="15" customHeight="1" x14ac:dyDescent="0.3">
      <c r="A382" s="41"/>
      <c r="B382" s="20">
        <v>44430</v>
      </c>
      <c r="C382" s="41"/>
      <c r="D382" s="41" t="s">
        <v>640</v>
      </c>
      <c r="E382" s="41" t="s">
        <v>638</v>
      </c>
      <c r="F382" s="41" t="s">
        <v>639</v>
      </c>
      <c r="G382" s="41" t="s">
        <v>53</v>
      </c>
      <c r="H382" s="55">
        <v>173.91</v>
      </c>
      <c r="I382" s="56">
        <v>0</v>
      </c>
      <c r="J382" s="55">
        <v>0</v>
      </c>
      <c r="K382" s="55">
        <v>51.216494999999995</v>
      </c>
      <c r="L382" s="55">
        <v>26.09</v>
      </c>
      <c r="M382" s="41" t="s">
        <v>10</v>
      </c>
      <c r="N382" s="41" t="s">
        <v>54</v>
      </c>
      <c r="O382" s="41" t="s">
        <v>55</v>
      </c>
      <c r="P382" s="57">
        <v>44439</v>
      </c>
      <c r="Q382" s="41">
        <f>+H382+L382</f>
        <v>200</v>
      </c>
      <c r="R382" s="41">
        <f>+J382+K382+L382</f>
        <v>77.306494999999998</v>
      </c>
      <c r="S382" s="41">
        <f>+MONTH(B382)</f>
        <v>8</v>
      </c>
      <c r="T382" s="41">
        <f>+YEAR(B382)</f>
        <v>2021</v>
      </c>
      <c r="U382" s="41" t="s">
        <v>364</v>
      </c>
    </row>
    <row r="383" spans="1:21" ht="15" customHeight="1" x14ac:dyDescent="0.3">
      <c r="A383" s="41"/>
      <c r="B383" s="20">
        <v>44970</v>
      </c>
      <c r="C383" s="41"/>
      <c r="D383" s="41" t="s">
        <v>641</v>
      </c>
      <c r="E383" s="41" t="s">
        <v>419</v>
      </c>
      <c r="F383" s="41" t="s">
        <v>363</v>
      </c>
      <c r="G383" s="41" t="s">
        <v>53</v>
      </c>
      <c r="H383" s="55">
        <v>86.96</v>
      </c>
      <c r="I383" s="56">
        <v>0.17499999999999999</v>
      </c>
      <c r="J383" s="55">
        <v>17.5</v>
      </c>
      <c r="K383" s="55">
        <v>8.5445199999999986</v>
      </c>
      <c r="L383" s="55">
        <v>13.04</v>
      </c>
      <c r="M383" s="41" t="s">
        <v>10</v>
      </c>
      <c r="N383" s="41" t="s">
        <v>54</v>
      </c>
      <c r="O383" s="41" t="s">
        <v>55</v>
      </c>
      <c r="P383" s="57">
        <v>44985</v>
      </c>
      <c r="Q383" s="41">
        <f>+H383+L383</f>
        <v>100</v>
      </c>
      <c r="R383" s="41">
        <f>+J383+K383+L383</f>
        <v>39.084519999999998</v>
      </c>
      <c r="S383" s="41">
        <f>+MONTH(B383)</f>
        <v>2</v>
      </c>
      <c r="T383" s="41">
        <f>+YEAR(B383)</f>
        <v>2023</v>
      </c>
      <c r="U383" s="41" t="s">
        <v>364</v>
      </c>
    </row>
    <row r="384" spans="1:21" ht="15" customHeight="1" x14ac:dyDescent="0.3">
      <c r="A384" s="41"/>
      <c r="B384" s="20">
        <v>45335</v>
      </c>
      <c r="C384" s="41"/>
      <c r="D384" s="41" t="s">
        <v>642</v>
      </c>
      <c r="E384" s="41" t="s">
        <v>419</v>
      </c>
      <c r="F384" s="41" t="s">
        <v>363</v>
      </c>
      <c r="G384" s="41" t="s">
        <v>53</v>
      </c>
      <c r="H384" s="55">
        <v>86.96</v>
      </c>
      <c r="I384" s="56">
        <v>0.17499999999999999</v>
      </c>
      <c r="J384" s="55">
        <v>17.5</v>
      </c>
      <c r="K384" s="55">
        <v>9.3380299999999963</v>
      </c>
      <c r="L384" s="55">
        <v>13.04</v>
      </c>
      <c r="M384" s="41" t="s">
        <v>10</v>
      </c>
      <c r="N384" s="41" t="s">
        <v>54</v>
      </c>
      <c r="O384" s="41" t="s">
        <v>55</v>
      </c>
      <c r="P384" s="57">
        <v>45351</v>
      </c>
      <c r="Q384" s="41">
        <f>+H384+L384</f>
        <v>100</v>
      </c>
      <c r="R384" s="41">
        <f>+J384+K384+L384</f>
        <v>39.878029999999995</v>
      </c>
      <c r="S384" s="41">
        <f>+MONTH(B384)</f>
        <v>2</v>
      </c>
      <c r="T384" s="41">
        <f>+YEAR(B384)</f>
        <v>2024</v>
      </c>
      <c r="U384" s="41" t="s">
        <v>364</v>
      </c>
    </row>
    <row r="385" spans="1:21" ht="15" customHeight="1" x14ac:dyDescent="0.3">
      <c r="A385" s="41"/>
      <c r="B385" s="20">
        <v>45432</v>
      </c>
      <c r="C385" s="41"/>
      <c r="D385" s="41" t="s">
        <v>643</v>
      </c>
      <c r="E385" s="41" t="s">
        <v>362</v>
      </c>
      <c r="F385" s="41" t="s">
        <v>363</v>
      </c>
      <c r="G385" s="41" t="s">
        <v>53</v>
      </c>
      <c r="H385" s="55">
        <v>86.96</v>
      </c>
      <c r="I385" s="56">
        <v>0.17499999999999999</v>
      </c>
      <c r="J385" s="55">
        <v>17.5</v>
      </c>
      <c r="K385" s="55">
        <v>9.3380299999999963</v>
      </c>
      <c r="L385" s="55">
        <v>13.04</v>
      </c>
      <c r="M385" s="41" t="s">
        <v>10</v>
      </c>
      <c r="N385" s="41" t="s">
        <v>54</v>
      </c>
      <c r="O385" s="41" t="s">
        <v>55</v>
      </c>
      <c r="P385" s="57">
        <v>45443</v>
      </c>
      <c r="Q385" s="41">
        <f>+H385+L385</f>
        <v>100</v>
      </c>
      <c r="R385" s="41">
        <f>+J385+K385+L385</f>
        <v>39.878029999999995</v>
      </c>
      <c r="S385" s="41">
        <f>+MONTH(B385)</f>
        <v>5</v>
      </c>
      <c r="T385" s="41">
        <f>+YEAR(B385)</f>
        <v>2024</v>
      </c>
      <c r="U385" s="41" t="s">
        <v>364</v>
      </c>
    </row>
    <row r="386" spans="1:21" ht="15" customHeight="1" x14ac:dyDescent="0.3">
      <c r="A386" s="41"/>
      <c r="B386" s="20">
        <v>44970</v>
      </c>
      <c r="C386" s="41"/>
      <c r="D386" s="41" t="s">
        <v>644</v>
      </c>
      <c r="E386" s="41" t="s">
        <v>419</v>
      </c>
      <c r="F386" s="41" t="s">
        <v>363</v>
      </c>
      <c r="G386" s="41" t="s">
        <v>53</v>
      </c>
      <c r="H386" s="55">
        <v>86.96</v>
      </c>
      <c r="I386" s="56">
        <v>0.17499999999999999</v>
      </c>
      <c r="J386" s="55">
        <v>17.5</v>
      </c>
      <c r="K386" s="55">
        <v>8.5445199999999986</v>
      </c>
      <c r="L386" s="55">
        <v>13.04</v>
      </c>
      <c r="M386" s="41" t="s">
        <v>10</v>
      </c>
      <c r="N386" s="41" t="s">
        <v>54</v>
      </c>
      <c r="O386" s="41" t="s">
        <v>55</v>
      </c>
      <c r="P386" s="57">
        <v>44985</v>
      </c>
      <c r="Q386" s="41">
        <f>+H386+L386</f>
        <v>100</v>
      </c>
      <c r="R386" s="41">
        <f>+J386+K386+L386</f>
        <v>39.084519999999998</v>
      </c>
      <c r="S386" s="41">
        <f>+MONTH(B386)</f>
        <v>2</v>
      </c>
      <c r="T386" s="41">
        <f>+YEAR(B386)</f>
        <v>2023</v>
      </c>
      <c r="U386" s="41" t="s">
        <v>364</v>
      </c>
    </row>
    <row r="387" spans="1:21" ht="15" customHeight="1" x14ac:dyDescent="0.3">
      <c r="A387" s="41"/>
      <c r="B387" s="20">
        <v>45335</v>
      </c>
      <c r="C387" s="41"/>
      <c r="D387" s="41" t="s">
        <v>645</v>
      </c>
      <c r="E387" s="41" t="s">
        <v>419</v>
      </c>
      <c r="F387" s="41" t="s">
        <v>363</v>
      </c>
      <c r="G387" s="41" t="s">
        <v>53</v>
      </c>
      <c r="H387" s="55">
        <v>86.96</v>
      </c>
      <c r="I387" s="56">
        <v>0.17499999999999999</v>
      </c>
      <c r="J387" s="55">
        <v>17.5</v>
      </c>
      <c r="K387" s="55">
        <v>9.3380299999999963</v>
      </c>
      <c r="L387" s="55">
        <v>13.04</v>
      </c>
      <c r="M387" s="41" t="s">
        <v>10</v>
      </c>
      <c r="N387" s="41" t="s">
        <v>54</v>
      </c>
      <c r="O387" s="41" t="s">
        <v>55</v>
      </c>
      <c r="P387" s="57">
        <v>45351</v>
      </c>
      <c r="Q387" s="41">
        <f>+H387+L387</f>
        <v>100</v>
      </c>
      <c r="R387" s="41">
        <f>+J387+K387+L387</f>
        <v>39.878029999999995</v>
      </c>
      <c r="S387" s="41">
        <f>+MONTH(B387)</f>
        <v>2</v>
      </c>
      <c r="T387" s="41">
        <f>+YEAR(B387)</f>
        <v>2024</v>
      </c>
      <c r="U387" s="41" t="s">
        <v>364</v>
      </c>
    </row>
    <row r="388" spans="1:21" ht="15" customHeight="1" x14ac:dyDescent="0.3">
      <c r="A388" s="41"/>
      <c r="B388" s="20">
        <v>45249</v>
      </c>
      <c r="C388" s="41"/>
      <c r="D388" s="41" t="s">
        <v>646</v>
      </c>
      <c r="E388" s="41" t="s">
        <v>362</v>
      </c>
      <c r="F388" s="41" t="s">
        <v>363</v>
      </c>
      <c r="G388" s="41" t="s">
        <v>53</v>
      </c>
      <c r="H388" s="55">
        <v>124.37</v>
      </c>
      <c r="I388" s="56">
        <v>0.17499999999999999</v>
      </c>
      <c r="J388" s="55">
        <v>25.030249999999999</v>
      </c>
      <c r="K388" s="55">
        <v>12.218565000000002</v>
      </c>
      <c r="L388" s="55">
        <v>18.66</v>
      </c>
      <c r="M388" s="41" t="s">
        <v>10</v>
      </c>
      <c r="N388" s="41" t="s">
        <v>54</v>
      </c>
      <c r="O388" s="41" t="s">
        <v>55</v>
      </c>
      <c r="P388" s="57">
        <v>45260</v>
      </c>
      <c r="Q388" s="41">
        <f>+H388+L388</f>
        <v>143.03</v>
      </c>
      <c r="R388" s="41">
        <f>+J388+K388+L388</f>
        <v>55.908815000000004</v>
      </c>
      <c r="S388" s="41">
        <f>+MONTH(B388)</f>
        <v>11</v>
      </c>
      <c r="T388" s="41">
        <f>+YEAR(B388)</f>
        <v>2023</v>
      </c>
      <c r="U388" s="41" t="s">
        <v>364</v>
      </c>
    </row>
    <row r="389" spans="1:21" ht="15" customHeight="1" x14ac:dyDescent="0.3">
      <c r="A389" s="41"/>
      <c r="B389" s="20">
        <v>45451</v>
      </c>
      <c r="C389" s="41"/>
      <c r="D389" s="41" t="s">
        <v>647</v>
      </c>
      <c r="E389" s="41" t="s">
        <v>362</v>
      </c>
      <c r="F389" s="41" t="s">
        <v>363</v>
      </c>
      <c r="G389" s="41" t="s">
        <v>53</v>
      </c>
      <c r="H389" s="55">
        <v>86.96</v>
      </c>
      <c r="I389" s="56">
        <v>0.17499999999999999</v>
      </c>
      <c r="J389" s="55">
        <v>17.5</v>
      </c>
      <c r="K389" s="55">
        <v>9.3380299999999963</v>
      </c>
      <c r="L389" s="55">
        <v>13.04</v>
      </c>
      <c r="M389" s="41" t="s">
        <v>10</v>
      </c>
      <c r="N389" s="41" t="s">
        <v>54</v>
      </c>
      <c r="O389" s="41" t="s">
        <v>55</v>
      </c>
      <c r="P389" s="57">
        <v>45473</v>
      </c>
      <c r="Q389" s="41">
        <f>+H389+L389</f>
        <v>100</v>
      </c>
      <c r="R389" s="41">
        <f>+J389+K389+L389</f>
        <v>39.878029999999995</v>
      </c>
      <c r="S389" s="41">
        <f>+MONTH(B389)</f>
        <v>6</v>
      </c>
      <c r="T389" s="41">
        <f>+YEAR(B389)</f>
        <v>2024</v>
      </c>
      <c r="U389" s="41" t="s">
        <v>364</v>
      </c>
    </row>
    <row r="390" spans="1:21" ht="15" customHeight="1" x14ac:dyDescent="0.3">
      <c r="A390" s="41"/>
      <c r="B390" s="20">
        <v>44900</v>
      </c>
      <c r="C390" s="41"/>
      <c r="D390" s="41" t="s">
        <v>648</v>
      </c>
      <c r="E390" s="41" t="s">
        <v>419</v>
      </c>
      <c r="F390" s="41" t="s">
        <v>363</v>
      </c>
      <c r="G390" s="41" t="s">
        <v>53</v>
      </c>
      <c r="H390" s="55">
        <v>187.51</v>
      </c>
      <c r="I390" s="56">
        <v>0.17499999999999999</v>
      </c>
      <c r="J390" s="55">
        <v>37.736999999999995</v>
      </c>
      <c r="K390" s="55">
        <v>18.422245000000004</v>
      </c>
      <c r="L390" s="55">
        <v>28.13</v>
      </c>
      <c r="M390" s="41" t="s">
        <v>10</v>
      </c>
      <c r="N390" s="41" t="s">
        <v>54</v>
      </c>
      <c r="O390" s="41" t="s">
        <v>55</v>
      </c>
      <c r="P390" s="57">
        <v>44926</v>
      </c>
      <c r="Q390" s="41">
        <f>+H390+L390</f>
        <v>215.64</v>
      </c>
      <c r="R390" s="41">
        <f>+J390+K390+L390</f>
        <v>84.289244999999994</v>
      </c>
      <c r="S390" s="41">
        <f>+MONTH(B390)</f>
        <v>12</v>
      </c>
      <c r="T390" s="41">
        <f>+YEAR(B390)</f>
        <v>2022</v>
      </c>
      <c r="U390" s="41" t="s">
        <v>364</v>
      </c>
    </row>
    <row r="391" spans="1:21" ht="15" customHeight="1" x14ac:dyDescent="0.3">
      <c r="A391" s="41"/>
      <c r="B391" s="20">
        <v>45265</v>
      </c>
      <c r="C391" s="41"/>
      <c r="D391" s="41" t="s">
        <v>649</v>
      </c>
      <c r="E391" s="41" t="s">
        <v>419</v>
      </c>
      <c r="F391" s="41" t="s">
        <v>363</v>
      </c>
      <c r="G391" s="41" t="s">
        <v>53</v>
      </c>
      <c r="H391" s="55">
        <v>187.51</v>
      </c>
      <c r="I391" s="56">
        <v>0.17499999999999999</v>
      </c>
      <c r="J391" s="55">
        <v>37.736999999999995</v>
      </c>
      <c r="K391" s="55">
        <v>18.422245000000004</v>
      </c>
      <c r="L391" s="55">
        <v>28.13</v>
      </c>
      <c r="M391" s="41" t="s">
        <v>10</v>
      </c>
      <c r="N391" s="41" t="s">
        <v>54</v>
      </c>
      <c r="O391" s="41" t="s">
        <v>55</v>
      </c>
      <c r="P391" s="57">
        <v>45291</v>
      </c>
      <c r="Q391" s="41">
        <f>+H391+L391</f>
        <v>215.64</v>
      </c>
      <c r="R391" s="41">
        <f>+J391+K391+L391</f>
        <v>84.289244999999994</v>
      </c>
      <c r="S391" s="41">
        <f>+MONTH(B391)</f>
        <v>12</v>
      </c>
      <c r="T391" s="41">
        <f>+YEAR(B391)</f>
        <v>2023</v>
      </c>
      <c r="U391" s="41" t="s">
        <v>364</v>
      </c>
    </row>
    <row r="392" spans="1:21" ht="15" customHeight="1" x14ac:dyDescent="0.3">
      <c r="A392" s="41"/>
      <c r="B392" s="20">
        <v>44643</v>
      </c>
      <c r="C392" s="41"/>
      <c r="D392" s="41" t="s">
        <v>650</v>
      </c>
      <c r="E392" s="41" t="s">
        <v>419</v>
      </c>
      <c r="F392" s="41" t="s">
        <v>363</v>
      </c>
      <c r="G392" s="41" t="s">
        <v>53</v>
      </c>
      <c r="H392" s="55">
        <v>86.96</v>
      </c>
      <c r="I392" s="56">
        <v>0.17499999999999999</v>
      </c>
      <c r="J392" s="55">
        <v>17.5</v>
      </c>
      <c r="K392" s="55">
        <v>8.5445199999999986</v>
      </c>
      <c r="L392" s="55">
        <v>13.04</v>
      </c>
      <c r="M392" s="41" t="s">
        <v>10</v>
      </c>
      <c r="N392" s="41" t="s">
        <v>54</v>
      </c>
      <c r="O392" s="41" t="s">
        <v>55</v>
      </c>
      <c r="P392" s="57">
        <v>44651</v>
      </c>
      <c r="Q392" s="41">
        <f>+H392+L392</f>
        <v>100</v>
      </c>
      <c r="R392" s="41">
        <f>+J392+K392+L392</f>
        <v>39.084519999999998</v>
      </c>
      <c r="S392" s="41">
        <f>+MONTH(B392)</f>
        <v>3</v>
      </c>
      <c r="T392" s="41">
        <f>+YEAR(B392)</f>
        <v>2022</v>
      </c>
      <c r="U392" s="41" t="s">
        <v>364</v>
      </c>
    </row>
    <row r="393" spans="1:21" ht="15" customHeight="1" x14ac:dyDescent="0.3">
      <c r="A393" s="41"/>
      <c r="B393" s="20">
        <v>45008</v>
      </c>
      <c r="C393" s="41"/>
      <c r="D393" s="41" t="s">
        <v>651</v>
      </c>
      <c r="E393" s="41" t="s">
        <v>419</v>
      </c>
      <c r="F393" s="41" t="s">
        <v>363</v>
      </c>
      <c r="G393" s="41" t="s">
        <v>53</v>
      </c>
      <c r="H393" s="55">
        <v>86.96</v>
      </c>
      <c r="I393" s="56">
        <v>0.17499999999999999</v>
      </c>
      <c r="J393" s="55">
        <v>17.5</v>
      </c>
      <c r="K393" s="55">
        <v>8.5445199999999986</v>
      </c>
      <c r="L393" s="55">
        <v>13.04</v>
      </c>
      <c r="M393" s="41" t="s">
        <v>10</v>
      </c>
      <c r="N393" s="41" t="s">
        <v>54</v>
      </c>
      <c r="O393" s="41" t="s">
        <v>55</v>
      </c>
      <c r="P393" s="57">
        <v>45016</v>
      </c>
      <c r="Q393" s="41">
        <f>+H393+L393</f>
        <v>100</v>
      </c>
      <c r="R393" s="41">
        <f>+J393+K393+L393</f>
        <v>39.084519999999998</v>
      </c>
      <c r="S393" s="41">
        <f>+MONTH(B393)</f>
        <v>3</v>
      </c>
      <c r="T393" s="41">
        <f>+YEAR(B393)</f>
        <v>2023</v>
      </c>
      <c r="U393" s="41" t="s">
        <v>364</v>
      </c>
    </row>
    <row r="394" spans="1:21" ht="15" customHeight="1" x14ac:dyDescent="0.3">
      <c r="A394" s="41"/>
      <c r="B394" s="20">
        <v>45249</v>
      </c>
      <c r="C394" s="41"/>
      <c r="D394" s="41" t="s">
        <v>652</v>
      </c>
      <c r="E394" s="41" t="s">
        <v>362</v>
      </c>
      <c r="F394" s="41" t="s">
        <v>363</v>
      </c>
      <c r="G394" s="41" t="s">
        <v>53</v>
      </c>
      <c r="H394" s="55">
        <v>86.96</v>
      </c>
      <c r="I394" s="56">
        <v>0.17499999999999999</v>
      </c>
      <c r="J394" s="55">
        <v>17.5</v>
      </c>
      <c r="K394" s="55">
        <v>8.5445199999999986</v>
      </c>
      <c r="L394" s="55">
        <v>13.04</v>
      </c>
      <c r="M394" s="41" t="s">
        <v>10</v>
      </c>
      <c r="N394" s="41" t="s">
        <v>54</v>
      </c>
      <c r="O394" s="41" t="s">
        <v>55</v>
      </c>
      <c r="P394" s="57">
        <v>45260</v>
      </c>
      <c r="Q394" s="41">
        <f>+H394+L394</f>
        <v>100</v>
      </c>
      <c r="R394" s="41">
        <f>+J394+K394+L394</f>
        <v>39.084519999999998</v>
      </c>
      <c r="S394" s="41">
        <f>+MONTH(B394)</f>
        <v>11</v>
      </c>
      <c r="T394" s="41">
        <f>+YEAR(B394)</f>
        <v>2023</v>
      </c>
      <c r="U394" s="41" t="s">
        <v>364</v>
      </c>
    </row>
    <row r="395" spans="1:21" ht="15" customHeight="1" x14ac:dyDescent="0.3">
      <c r="A395" s="41"/>
      <c r="B395" s="20">
        <v>45452</v>
      </c>
      <c r="C395" s="41"/>
      <c r="D395" s="41" t="s">
        <v>653</v>
      </c>
      <c r="E395" s="41" t="s">
        <v>362</v>
      </c>
      <c r="F395" s="41" t="s">
        <v>363</v>
      </c>
      <c r="G395" s="41" t="s">
        <v>53</v>
      </c>
      <c r="H395" s="55">
        <v>86.96</v>
      </c>
      <c r="I395" s="56">
        <v>0.17499999999999999</v>
      </c>
      <c r="J395" s="55">
        <v>17.5</v>
      </c>
      <c r="K395" s="55">
        <v>9.3380299999999963</v>
      </c>
      <c r="L395" s="55">
        <v>13.04</v>
      </c>
      <c r="M395" s="41" t="s">
        <v>10</v>
      </c>
      <c r="N395" s="41" t="s">
        <v>54</v>
      </c>
      <c r="O395" s="41" t="s">
        <v>55</v>
      </c>
      <c r="P395" s="57">
        <v>45473</v>
      </c>
      <c r="Q395" s="41">
        <f>+H395+L395</f>
        <v>100</v>
      </c>
      <c r="R395" s="41">
        <f>+J395+K395+L395</f>
        <v>39.878029999999995</v>
      </c>
      <c r="S395" s="41">
        <f>+MONTH(B395)</f>
        <v>6</v>
      </c>
      <c r="T395" s="41">
        <f>+YEAR(B395)</f>
        <v>2024</v>
      </c>
      <c r="U395" s="41" t="s">
        <v>364</v>
      </c>
    </row>
    <row r="396" spans="1:21" ht="15" customHeight="1" x14ac:dyDescent="0.3">
      <c r="A396" s="41"/>
      <c r="B396" s="20">
        <v>45374</v>
      </c>
      <c r="C396" s="41"/>
      <c r="D396" s="41" t="s">
        <v>654</v>
      </c>
      <c r="E396" s="41" t="s">
        <v>419</v>
      </c>
      <c r="F396" s="41" t="s">
        <v>363</v>
      </c>
      <c r="G396" s="41" t="s">
        <v>53</v>
      </c>
      <c r="H396" s="55">
        <v>86.96</v>
      </c>
      <c r="I396" s="56">
        <v>0.17499999999999999</v>
      </c>
      <c r="J396" s="55">
        <v>17.5</v>
      </c>
      <c r="K396" s="55">
        <v>9.3380299999999963</v>
      </c>
      <c r="L396" s="55">
        <v>13.04</v>
      </c>
      <c r="M396" s="41" t="s">
        <v>10</v>
      </c>
      <c r="N396" s="41" t="s">
        <v>54</v>
      </c>
      <c r="O396" s="41" t="s">
        <v>55</v>
      </c>
      <c r="P396" s="57">
        <v>45382</v>
      </c>
      <c r="Q396" s="41">
        <f>+H396+L396</f>
        <v>100</v>
      </c>
      <c r="R396" s="41">
        <f>+J396+K396+L396</f>
        <v>39.878029999999995</v>
      </c>
      <c r="S396" s="41">
        <f>+MONTH(B396)</f>
        <v>3</v>
      </c>
      <c r="T396" s="41">
        <f>+YEAR(B396)</f>
        <v>2024</v>
      </c>
      <c r="U396" s="41" t="s">
        <v>364</v>
      </c>
    </row>
    <row r="397" spans="1:21" ht="15" customHeight="1" x14ac:dyDescent="0.3">
      <c r="A397" s="41"/>
      <c r="B397" s="20">
        <v>44590</v>
      </c>
      <c r="C397" s="41"/>
      <c r="D397" s="41" t="s">
        <v>655</v>
      </c>
      <c r="E397" s="41" t="s">
        <v>419</v>
      </c>
      <c r="F397" s="41" t="s">
        <v>363</v>
      </c>
      <c r="G397" s="41" t="s">
        <v>53</v>
      </c>
      <c r="H397" s="55">
        <v>419.95</v>
      </c>
      <c r="I397" s="56">
        <v>0.17499999999999999</v>
      </c>
      <c r="J397" s="55">
        <v>84.514499999999998</v>
      </c>
      <c r="K397" s="55">
        <v>41.260524999999987</v>
      </c>
      <c r="L397" s="55">
        <v>62.99</v>
      </c>
      <c r="M397" s="41" t="s">
        <v>10</v>
      </c>
      <c r="N397" s="41" t="s">
        <v>54</v>
      </c>
      <c r="O397" s="41" t="s">
        <v>55</v>
      </c>
      <c r="P397" s="57">
        <v>44592</v>
      </c>
      <c r="Q397" s="41">
        <f>+H397+L397</f>
        <v>482.94</v>
      </c>
      <c r="R397" s="41">
        <f>+J397+K397+L397</f>
        <v>188.76502499999998</v>
      </c>
      <c r="S397" s="41">
        <f>+MONTH(B397)</f>
        <v>1</v>
      </c>
      <c r="T397" s="41">
        <f>+YEAR(B397)</f>
        <v>2022</v>
      </c>
      <c r="U397" s="41" t="s">
        <v>364</v>
      </c>
    </row>
    <row r="398" spans="1:21" ht="15" customHeight="1" x14ac:dyDescent="0.3">
      <c r="A398" s="41"/>
      <c r="B398" s="20">
        <v>44955</v>
      </c>
      <c r="C398" s="41"/>
      <c r="D398" s="41" t="s">
        <v>656</v>
      </c>
      <c r="E398" s="41" t="s">
        <v>419</v>
      </c>
      <c r="F398" s="41" t="s">
        <v>363</v>
      </c>
      <c r="G398" s="41" t="s">
        <v>53</v>
      </c>
      <c r="H398" s="55">
        <v>419.95</v>
      </c>
      <c r="I398" s="56">
        <v>0.17499999999999999</v>
      </c>
      <c r="J398" s="55">
        <v>84.514499999999998</v>
      </c>
      <c r="K398" s="55">
        <v>41.260524999999987</v>
      </c>
      <c r="L398" s="55">
        <v>62.99</v>
      </c>
      <c r="M398" s="41" t="s">
        <v>10</v>
      </c>
      <c r="N398" s="41" t="s">
        <v>54</v>
      </c>
      <c r="O398" s="41" t="s">
        <v>55</v>
      </c>
      <c r="P398" s="57">
        <v>44957</v>
      </c>
      <c r="Q398" s="41">
        <f>+H398+L398</f>
        <v>482.94</v>
      </c>
      <c r="R398" s="41">
        <f>+J398+K398+L398</f>
        <v>188.76502499999998</v>
      </c>
      <c r="S398" s="41">
        <f>+MONTH(B398)</f>
        <v>1</v>
      </c>
      <c r="T398" s="41">
        <f>+YEAR(B398)</f>
        <v>2023</v>
      </c>
      <c r="U398" s="41" t="s">
        <v>364</v>
      </c>
    </row>
    <row r="399" spans="1:21" ht="15" customHeight="1" x14ac:dyDescent="0.3">
      <c r="A399" s="41"/>
      <c r="B399" s="20">
        <v>45320</v>
      </c>
      <c r="C399" s="41"/>
      <c r="D399" s="41" t="s">
        <v>657</v>
      </c>
      <c r="E399" s="41" t="s">
        <v>419</v>
      </c>
      <c r="F399" s="41" t="s">
        <v>363</v>
      </c>
      <c r="G399" s="41" t="s">
        <v>53</v>
      </c>
      <c r="H399" s="55">
        <v>419.95</v>
      </c>
      <c r="I399" s="56">
        <v>0.17499999999999999</v>
      </c>
      <c r="J399" s="55">
        <v>84.514499999999998</v>
      </c>
      <c r="K399" s="55">
        <v>45.092568749999998</v>
      </c>
      <c r="L399" s="55">
        <v>62.99</v>
      </c>
      <c r="M399" s="41" t="s">
        <v>10</v>
      </c>
      <c r="N399" s="41" t="s">
        <v>54</v>
      </c>
      <c r="O399" s="41" t="s">
        <v>55</v>
      </c>
      <c r="P399" s="57">
        <v>45322</v>
      </c>
      <c r="Q399" s="41">
        <f>+H399+L399</f>
        <v>482.94</v>
      </c>
      <c r="R399" s="41">
        <f>+J399+K399+L399</f>
        <v>192.59706875000001</v>
      </c>
      <c r="S399" s="41">
        <f>+MONTH(B399)</f>
        <v>1</v>
      </c>
      <c r="T399" s="41">
        <f>+YEAR(B399)</f>
        <v>2024</v>
      </c>
      <c r="U399" s="41" t="s">
        <v>364</v>
      </c>
    </row>
    <row r="400" spans="1:21" ht="15" customHeight="1" x14ac:dyDescent="0.3">
      <c r="A400" s="41"/>
      <c r="B400" s="20">
        <v>45256</v>
      </c>
      <c r="C400" s="41"/>
      <c r="D400" s="41" t="s">
        <v>658</v>
      </c>
      <c r="E400" s="41" t="s">
        <v>362</v>
      </c>
      <c r="F400" s="41" t="s">
        <v>363</v>
      </c>
      <c r="G400" s="41" t="s">
        <v>53</v>
      </c>
      <c r="H400" s="55">
        <v>140.22999999999999</v>
      </c>
      <c r="I400" s="56">
        <v>0.17499999999999999</v>
      </c>
      <c r="J400" s="55">
        <v>28.220499999999998</v>
      </c>
      <c r="K400" s="55">
        <v>13.778384999999997</v>
      </c>
      <c r="L400" s="55">
        <v>21.03</v>
      </c>
      <c r="M400" s="41" t="s">
        <v>10</v>
      </c>
      <c r="N400" s="41" t="s">
        <v>54</v>
      </c>
      <c r="O400" s="41" t="s">
        <v>55</v>
      </c>
      <c r="P400" s="57">
        <v>45260</v>
      </c>
      <c r="Q400" s="41">
        <f>+H400+L400</f>
        <v>161.26</v>
      </c>
      <c r="R400" s="41">
        <f>+J400+K400+L400</f>
        <v>63.028884999999995</v>
      </c>
      <c r="S400" s="41">
        <f>+MONTH(B400)</f>
        <v>11</v>
      </c>
      <c r="T400" s="41">
        <f>+YEAR(B400)</f>
        <v>2023</v>
      </c>
      <c r="U400" s="41" t="s">
        <v>364</v>
      </c>
    </row>
    <row r="401" spans="1:21" ht="15" customHeight="1" x14ac:dyDescent="0.3">
      <c r="A401" s="41"/>
      <c r="B401" s="20">
        <v>45473</v>
      </c>
      <c r="C401" s="41"/>
      <c r="D401" s="41" t="s">
        <v>659</v>
      </c>
      <c r="E401" s="41" t="s">
        <v>362</v>
      </c>
      <c r="F401" s="41" t="s">
        <v>363</v>
      </c>
      <c r="G401" s="41" t="s">
        <v>53</v>
      </c>
      <c r="H401" s="55">
        <v>86.96</v>
      </c>
      <c r="I401" s="56">
        <v>0.17499999999999999</v>
      </c>
      <c r="J401" s="55">
        <v>17.5</v>
      </c>
      <c r="K401" s="55">
        <v>9.3380299999999963</v>
      </c>
      <c r="L401" s="55">
        <v>13.04</v>
      </c>
      <c r="M401" s="41" t="s">
        <v>10</v>
      </c>
      <c r="N401" s="41" t="s">
        <v>54</v>
      </c>
      <c r="O401" s="41" t="s">
        <v>55</v>
      </c>
      <c r="P401" s="57">
        <v>45473</v>
      </c>
      <c r="Q401" s="41">
        <f>+H401+L401</f>
        <v>100</v>
      </c>
      <c r="R401" s="41">
        <f>+J401+K401+L401</f>
        <v>39.878029999999995</v>
      </c>
      <c r="S401" s="41">
        <f>+MONTH(B401)</f>
        <v>6</v>
      </c>
      <c r="T401" s="41">
        <f>+YEAR(B401)</f>
        <v>2024</v>
      </c>
      <c r="U401" s="41" t="s">
        <v>364</v>
      </c>
    </row>
    <row r="402" spans="1:21" ht="15" customHeight="1" x14ac:dyDescent="0.3">
      <c r="A402" s="41"/>
      <c r="B402" s="20">
        <v>44457</v>
      </c>
      <c r="C402" s="41"/>
      <c r="D402" s="41" t="s">
        <v>660</v>
      </c>
      <c r="E402" s="41" t="s">
        <v>661</v>
      </c>
      <c r="F402" s="41" t="s">
        <v>639</v>
      </c>
      <c r="G402" s="41" t="s">
        <v>53</v>
      </c>
      <c r="H402" s="55">
        <v>352.17</v>
      </c>
      <c r="I402" s="56">
        <v>0</v>
      </c>
      <c r="J402" s="55">
        <v>0</v>
      </c>
      <c r="K402" s="55">
        <v>103.71406500000001</v>
      </c>
      <c r="L402" s="55">
        <v>52.83</v>
      </c>
      <c r="M402" s="41" t="s">
        <v>10</v>
      </c>
      <c r="N402" s="41" t="s">
        <v>54</v>
      </c>
      <c r="O402" s="41" t="s">
        <v>55</v>
      </c>
      <c r="P402" s="57">
        <v>44469</v>
      </c>
      <c r="Q402" s="41">
        <f>+H402+L402</f>
        <v>405</v>
      </c>
      <c r="R402" s="41">
        <f>+J402+K402+L402</f>
        <v>156.54406499999999</v>
      </c>
      <c r="S402" s="41">
        <f>+MONTH(B402)</f>
        <v>9</v>
      </c>
      <c r="T402" s="41">
        <f>+YEAR(B402)</f>
        <v>2021</v>
      </c>
      <c r="U402" s="41" t="s">
        <v>364</v>
      </c>
    </row>
    <row r="403" spans="1:21" ht="15" customHeight="1" x14ac:dyDescent="0.3">
      <c r="A403" s="41"/>
      <c r="B403" s="20">
        <v>44822</v>
      </c>
      <c r="C403" s="41"/>
      <c r="D403" s="41" t="s">
        <v>662</v>
      </c>
      <c r="E403" s="41" t="s">
        <v>661</v>
      </c>
      <c r="F403" s="41" t="s">
        <v>639</v>
      </c>
      <c r="G403" s="41" t="s">
        <v>53</v>
      </c>
      <c r="H403" s="55">
        <v>352.17</v>
      </c>
      <c r="I403" s="56">
        <v>0</v>
      </c>
      <c r="J403" s="55">
        <v>0</v>
      </c>
      <c r="K403" s="55">
        <v>105.474915</v>
      </c>
      <c r="L403" s="55">
        <v>52.83</v>
      </c>
      <c r="M403" s="41" t="s">
        <v>10</v>
      </c>
      <c r="N403" s="41" t="s">
        <v>54</v>
      </c>
      <c r="O403" s="41" t="s">
        <v>55</v>
      </c>
      <c r="P403" s="57">
        <v>44834</v>
      </c>
      <c r="Q403" s="41">
        <f>+H403+L403</f>
        <v>405</v>
      </c>
      <c r="R403" s="41">
        <f>+J403+K403+L403</f>
        <v>158.30491499999999</v>
      </c>
      <c r="S403" s="41">
        <f>+MONTH(B403)</f>
        <v>9</v>
      </c>
      <c r="T403" s="41">
        <f>+YEAR(B403)</f>
        <v>2022</v>
      </c>
      <c r="U403" s="41" t="s">
        <v>364</v>
      </c>
    </row>
    <row r="404" spans="1:21" ht="15" customHeight="1" x14ac:dyDescent="0.3">
      <c r="A404" s="41"/>
      <c r="B404" s="20">
        <v>45187</v>
      </c>
      <c r="C404" s="41"/>
      <c r="D404" s="41" t="s">
        <v>663</v>
      </c>
      <c r="E404" s="41" t="s">
        <v>661</v>
      </c>
      <c r="F404" s="41" t="s">
        <v>639</v>
      </c>
      <c r="G404" s="41" t="s">
        <v>53</v>
      </c>
      <c r="H404" s="55">
        <v>352.17</v>
      </c>
      <c r="I404" s="56">
        <v>0</v>
      </c>
      <c r="J404" s="55">
        <v>0</v>
      </c>
      <c r="K404" s="55">
        <v>105.474915</v>
      </c>
      <c r="L404" s="55">
        <v>52.83</v>
      </c>
      <c r="M404" s="41" t="s">
        <v>10</v>
      </c>
      <c r="N404" s="41" t="s">
        <v>54</v>
      </c>
      <c r="O404" s="41" t="s">
        <v>55</v>
      </c>
      <c r="P404" s="57">
        <v>45199</v>
      </c>
      <c r="Q404" s="41">
        <f>+H404+L404</f>
        <v>405</v>
      </c>
      <c r="R404" s="41">
        <f>+J404+K404+L404</f>
        <v>158.30491499999999</v>
      </c>
      <c r="S404" s="41">
        <f>+MONTH(B404)</f>
        <v>9</v>
      </c>
      <c r="T404" s="41">
        <f>+YEAR(B404)</f>
        <v>2023</v>
      </c>
      <c r="U404" s="41" t="s">
        <v>364</v>
      </c>
    </row>
    <row r="405" spans="1:21" ht="15" customHeight="1" x14ac:dyDescent="0.3">
      <c r="A405" s="41"/>
      <c r="B405" s="20">
        <v>44091</v>
      </c>
      <c r="C405" s="41"/>
      <c r="D405" s="41" t="s">
        <v>664</v>
      </c>
      <c r="E405" s="41" t="s">
        <v>661</v>
      </c>
      <c r="F405" s="41" t="s">
        <v>639</v>
      </c>
      <c r="G405" s="41" t="s">
        <v>53</v>
      </c>
      <c r="H405" s="55">
        <v>352.17</v>
      </c>
      <c r="I405" s="56">
        <v>0</v>
      </c>
      <c r="J405" s="55">
        <v>0</v>
      </c>
      <c r="K405" s="55">
        <v>106.531425</v>
      </c>
      <c r="L405" s="55">
        <v>52.83</v>
      </c>
      <c r="M405" s="41" t="s">
        <v>10</v>
      </c>
      <c r="N405" s="41" t="s">
        <v>54</v>
      </c>
      <c r="O405" s="41" t="s">
        <v>55</v>
      </c>
      <c r="P405" s="57">
        <v>44104</v>
      </c>
      <c r="Q405" s="41">
        <f>+H405+L405</f>
        <v>405</v>
      </c>
      <c r="R405" s="41">
        <f>+J405+K405+L405</f>
        <v>159.361425</v>
      </c>
      <c r="S405" s="41">
        <f>+MONTH(B405)</f>
        <v>9</v>
      </c>
      <c r="T405" s="41">
        <f>+YEAR(B405)</f>
        <v>2020</v>
      </c>
      <c r="U405" s="41" t="s">
        <v>364</v>
      </c>
    </row>
    <row r="406" spans="1:21" ht="15" customHeight="1" x14ac:dyDescent="0.3">
      <c r="A406" s="41"/>
      <c r="B406" s="20">
        <v>43783</v>
      </c>
      <c r="C406" s="41"/>
      <c r="D406" s="41" t="s">
        <v>665</v>
      </c>
      <c r="E406" s="41" t="s">
        <v>666</v>
      </c>
      <c r="F406" s="41" t="s">
        <v>363</v>
      </c>
      <c r="G406" s="41" t="s">
        <v>53</v>
      </c>
      <c r="H406" s="55">
        <v>191.14</v>
      </c>
      <c r="I406" s="56">
        <v>0.17499999999999999</v>
      </c>
      <c r="J406" s="55">
        <v>38.466749999999998</v>
      </c>
      <c r="K406" s="55">
        <v>19.544239999999995</v>
      </c>
      <c r="L406" s="55">
        <v>28.67</v>
      </c>
      <c r="M406" s="41" t="s">
        <v>10</v>
      </c>
      <c r="N406" s="41" t="s">
        <v>54</v>
      </c>
      <c r="O406" s="41" t="s">
        <v>55</v>
      </c>
      <c r="P406" s="57">
        <v>43799</v>
      </c>
      <c r="Q406" s="41">
        <f>+H406+L406</f>
        <v>219.81</v>
      </c>
      <c r="R406" s="41">
        <f>+J406+K406+L406</f>
        <v>86.680989999999994</v>
      </c>
      <c r="S406" s="41">
        <f>+MONTH(B406)</f>
        <v>11</v>
      </c>
      <c r="T406" s="41">
        <f>+YEAR(B406)</f>
        <v>2019</v>
      </c>
      <c r="U406" s="41" t="s">
        <v>364</v>
      </c>
    </row>
    <row r="407" spans="1:21" ht="15" customHeight="1" x14ac:dyDescent="0.3">
      <c r="A407" s="41"/>
      <c r="B407" s="20">
        <v>44149</v>
      </c>
      <c r="C407" s="41"/>
      <c r="D407" s="41" t="s">
        <v>667</v>
      </c>
      <c r="E407" s="41" t="s">
        <v>666</v>
      </c>
      <c r="F407" s="41" t="s">
        <v>363</v>
      </c>
      <c r="G407" s="41" t="s">
        <v>53</v>
      </c>
      <c r="H407" s="55">
        <v>191.14</v>
      </c>
      <c r="I407" s="56">
        <v>0.17499999999999999</v>
      </c>
      <c r="J407" s="55">
        <v>38.466749999999998</v>
      </c>
      <c r="K407" s="55">
        <v>19.353099999999998</v>
      </c>
      <c r="L407" s="55">
        <v>28.67</v>
      </c>
      <c r="M407" s="41" t="s">
        <v>10</v>
      </c>
      <c r="N407" s="41" t="s">
        <v>54</v>
      </c>
      <c r="O407" s="41" t="s">
        <v>55</v>
      </c>
      <c r="P407" s="57">
        <v>44165</v>
      </c>
      <c r="Q407" s="41">
        <f>+H407+L407</f>
        <v>219.81</v>
      </c>
      <c r="R407" s="41">
        <f>+J407+K407+L407</f>
        <v>86.48984999999999</v>
      </c>
      <c r="S407" s="41">
        <f>+MONTH(B407)</f>
        <v>11</v>
      </c>
      <c r="T407" s="41">
        <f>+YEAR(B407)</f>
        <v>2020</v>
      </c>
      <c r="U407" s="41" t="s">
        <v>364</v>
      </c>
    </row>
    <row r="408" spans="1:21" ht="15" customHeight="1" x14ac:dyDescent="0.3">
      <c r="A408" s="41"/>
      <c r="B408" s="20">
        <v>43792</v>
      </c>
      <c r="C408" s="41"/>
      <c r="D408" s="41" t="s">
        <v>668</v>
      </c>
      <c r="E408" s="41" t="s">
        <v>666</v>
      </c>
      <c r="F408" s="41" t="s">
        <v>363</v>
      </c>
      <c r="G408" s="41" t="s">
        <v>53</v>
      </c>
      <c r="H408" s="55">
        <v>67.930000000000007</v>
      </c>
      <c r="I408" s="56">
        <v>0.17499999999999999</v>
      </c>
      <c r="J408" s="55">
        <v>13.670999999999999</v>
      </c>
      <c r="K408" s="55">
        <v>6.9457550000000019</v>
      </c>
      <c r="L408" s="55">
        <v>10.19</v>
      </c>
      <c r="M408" s="41" t="s">
        <v>10</v>
      </c>
      <c r="N408" s="41" t="s">
        <v>54</v>
      </c>
      <c r="O408" s="41" t="s">
        <v>55</v>
      </c>
      <c r="P408" s="57">
        <v>43799</v>
      </c>
      <c r="Q408" s="41">
        <f>+H408+L408</f>
        <v>78.12</v>
      </c>
      <c r="R408" s="41">
        <f>+J408+K408+L408</f>
        <v>30.806755000000003</v>
      </c>
      <c r="S408" s="41">
        <f>+MONTH(B408)</f>
        <v>11</v>
      </c>
      <c r="T408" s="41">
        <f>+YEAR(B408)</f>
        <v>2019</v>
      </c>
      <c r="U408" s="41" t="s">
        <v>364</v>
      </c>
    </row>
    <row r="409" spans="1:21" ht="15" customHeight="1" x14ac:dyDescent="0.3">
      <c r="A409" s="41"/>
      <c r="B409" s="20">
        <v>44514</v>
      </c>
      <c r="C409" s="41"/>
      <c r="D409" s="41" t="s">
        <v>669</v>
      </c>
      <c r="E409" s="41" t="s">
        <v>666</v>
      </c>
      <c r="F409" s="41" t="s">
        <v>363</v>
      </c>
      <c r="G409" s="41" t="s">
        <v>53</v>
      </c>
      <c r="H409" s="55">
        <v>191.14</v>
      </c>
      <c r="I409" s="56">
        <v>0.17499999999999999</v>
      </c>
      <c r="J409" s="55">
        <v>38.466749999999998</v>
      </c>
      <c r="K409" s="55">
        <v>17.823979999999999</v>
      </c>
      <c r="L409" s="55">
        <v>28.67</v>
      </c>
      <c r="M409" s="41" t="s">
        <v>10</v>
      </c>
      <c r="N409" s="41" t="s">
        <v>54</v>
      </c>
      <c r="O409" s="41" t="s">
        <v>55</v>
      </c>
      <c r="P409" s="57">
        <v>44530</v>
      </c>
      <c r="Q409" s="41">
        <f>+H409+L409</f>
        <v>219.81</v>
      </c>
      <c r="R409" s="41">
        <f>+J409+K409+L409</f>
        <v>84.960729999999998</v>
      </c>
      <c r="S409" s="41">
        <f>+MONTH(B409)</f>
        <v>11</v>
      </c>
      <c r="T409" s="41">
        <f>+YEAR(B409)</f>
        <v>2021</v>
      </c>
      <c r="U409" s="41" t="s">
        <v>364</v>
      </c>
    </row>
    <row r="410" spans="1:21" ht="15" customHeight="1" x14ac:dyDescent="0.3">
      <c r="A410" s="41"/>
      <c r="B410" s="20">
        <v>43788</v>
      </c>
      <c r="C410" s="41"/>
      <c r="D410" s="41" t="s">
        <v>670</v>
      </c>
      <c r="E410" s="41" t="s">
        <v>666</v>
      </c>
      <c r="F410" s="41" t="s">
        <v>363</v>
      </c>
      <c r="G410" s="41" t="s">
        <v>53</v>
      </c>
      <c r="H410" s="55">
        <v>180.26</v>
      </c>
      <c r="I410" s="56">
        <v>0.17499999999999999</v>
      </c>
      <c r="J410" s="55">
        <v>36.277499999999996</v>
      </c>
      <c r="K410" s="55">
        <v>18.43141</v>
      </c>
      <c r="L410" s="55">
        <v>27.04</v>
      </c>
      <c r="M410" s="41" t="s">
        <v>10</v>
      </c>
      <c r="N410" s="41" t="s">
        <v>54</v>
      </c>
      <c r="O410" s="41" t="s">
        <v>55</v>
      </c>
      <c r="P410" s="57">
        <v>43799</v>
      </c>
      <c r="Q410" s="41">
        <f>+H410+L410</f>
        <v>207.29999999999998</v>
      </c>
      <c r="R410" s="41">
        <f>+J410+K410+L410</f>
        <v>81.748909999999995</v>
      </c>
      <c r="S410" s="41">
        <f>+MONTH(B410)</f>
        <v>11</v>
      </c>
      <c r="T410" s="41">
        <f>+YEAR(B410)</f>
        <v>2019</v>
      </c>
      <c r="U410" s="41" t="s">
        <v>364</v>
      </c>
    </row>
    <row r="411" spans="1:21" ht="15" customHeight="1" x14ac:dyDescent="0.3">
      <c r="A411" s="41"/>
      <c r="B411" s="20">
        <v>44154</v>
      </c>
      <c r="C411" s="41"/>
      <c r="D411" s="41" t="s">
        <v>671</v>
      </c>
      <c r="E411" s="41" t="s">
        <v>666</v>
      </c>
      <c r="F411" s="41" t="s">
        <v>363</v>
      </c>
      <c r="G411" s="41" t="s">
        <v>53</v>
      </c>
      <c r="H411" s="55">
        <v>180.26</v>
      </c>
      <c r="I411" s="56">
        <v>0.17499999999999999</v>
      </c>
      <c r="J411" s="55">
        <v>36.277499999999996</v>
      </c>
      <c r="K411" s="55">
        <v>18.251150000000003</v>
      </c>
      <c r="L411" s="55">
        <v>27.04</v>
      </c>
      <c r="M411" s="41" t="s">
        <v>10</v>
      </c>
      <c r="N411" s="41" t="s">
        <v>54</v>
      </c>
      <c r="O411" s="41" t="s">
        <v>55</v>
      </c>
      <c r="P411" s="57">
        <v>44165</v>
      </c>
      <c r="Q411" s="41">
        <f>+H411+L411</f>
        <v>207.29999999999998</v>
      </c>
      <c r="R411" s="41">
        <f>+J411+K411+L411</f>
        <v>81.568649999999991</v>
      </c>
      <c r="S411" s="41">
        <f>+MONTH(B411)</f>
        <v>11</v>
      </c>
      <c r="T411" s="41">
        <f>+YEAR(B411)</f>
        <v>2020</v>
      </c>
      <c r="U411" s="41" t="s">
        <v>364</v>
      </c>
    </row>
    <row r="412" spans="1:21" ht="15" customHeight="1" x14ac:dyDescent="0.3">
      <c r="A412" s="41"/>
      <c r="B412" s="20">
        <v>44158</v>
      </c>
      <c r="C412" s="41"/>
      <c r="D412" s="41" t="s">
        <v>672</v>
      </c>
      <c r="E412" s="41" t="s">
        <v>666</v>
      </c>
      <c r="F412" s="41" t="s">
        <v>363</v>
      </c>
      <c r="G412" s="41" t="s">
        <v>53</v>
      </c>
      <c r="H412" s="55">
        <v>67.930000000000007</v>
      </c>
      <c r="I412" s="56">
        <v>0.17499999999999999</v>
      </c>
      <c r="J412" s="55">
        <v>13.670999999999999</v>
      </c>
      <c r="K412" s="55">
        <v>6.8778250000000014</v>
      </c>
      <c r="L412" s="55">
        <v>10.19</v>
      </c>
      <c r="M412" s="41" t="s">
        <v>10</v>
      </c>
      <c r="N412" s="41" t="s">
        <v>54</v>
      </c>
      <c r="O412" s="41" t="s">
        <v>55</v>
      </c>
      <c r="P412" s="57">
        <v>44165</v>
      </c>
      <c r="Q412" s="41">
        <f>+H412+L412</f>
        <v>78.12</v>
      </c>
      <c r="R412" s="41">
        <f>+J412+K412+L412</f>
        <v>30.738824999999999</v>
      </c>
      <c r="S412" s="41">
        <f>+MONTH(B412)</f>
        <v>11</v>
      </c>
      <c r="T412" s="41">
        <f>+YEAR(B412)</f>
        <v>2020</v>
      </c>
      <c r="U412" s="41" t="s">
        <v>364</v>
      </c>
    </row>
    <row r="413" spans="1:21" ht="15" customHeight="1" x14ac:dyDescent="0.3">
      <c r="A413" s="41"/>
      <c r="B413" s="20">
        <v>44523</v>
      </c>
      <c r="C413" s="41"/>
      <c r="D413" s="41" t="s">
        <v>673</v>
      </c>
      <c r="E413" s="41" t="s">
        <v>666</v>
      </c>
      <c r="F413" s="41" t="s">
        <v>363</v>
      </c>
      <c r="G413" s="41" t="s">
        <v>53</v>
      </c>
      <c r="H413" s="55">
        <v>86.96</v>
      </c>
      <c r="I413" s="56">
        <v>0.17499999999999999</v>
      </c>
      <c r="J413" s="55">
        <v>17.5</v>
      </c>
      <c r="K413" s="55">
        <v>8.1097199999999958</v>
      </c>
      <c r="L413" s="55">
        <v>13.04</v>
      </c>
      <c r="M413" s="41" t="s">
        <v>10</v>
      </c>
      <c r="N413" s="41" t="s">
        <v>54</v>
      </c>
      <c r="O413" s="41" t="s">
        <v>55</v>
      </c>
      <c r="P413" s="57">
        <v>44530</v>
      </c>
      <c r="Q413" s="41">
        <f>+H413+L413</f>
        <v>100</v>
      </c>
      <c r="R413" s="41">
        <f>+J413+K413+L413</f>
        <v>38.649719999999995</v>
      </c>
      <c r="S413" s="41">
        <f>+MONTH(B413)</f>
        <v>11</v>
      </c>
      <c r="T413" s="41">
        <f>+YEAR(B413)</f>
        <v>2021</v>
      </c>
      <c r="U413" s="41" t="s">
        <v>364</v>
      </c>
    </row>
    <row r="414" spans="1:21" ht="15" customHeight="1" x14ac:dyDescent="0.3">
      <c r="A414" s="41"/>
      <c r="B414" s="20">
        <v>44519</v>
      </c>
      <c r="C414" s="41"/>
      <c r="D414" s="41" t="s">
        <v>674</v>
      </c>
      <c r="E414" s="41" t="s">
        <v>666</v>
      </c>
      <c r="F414" s="41" t="s">
        <v>363</v>
      </c>
      <c r="G414" s="41" t="s">
        <v>53</v>
      </c>
      <c r="H414" s="55">
        <v>180.26</v>
      </c>
      <c r="I414" s="56">
        <v>0.17499999999999999</v>
      </c>
      <c r="J414" s="55">
        <v>36.277499999999996</v>
      </c>
      <c r="K414" s="55">
        <v>16.809069999999998</v>
      </c>
      <c r="L414" s="55">
        <v>27.04</v>
      </c>
      <c r="M414" s="41" t="s">
        <v>10</v>
      </c>
      <c r="N414" s="41" t="s">
        <v>54</v>
      </c>
      <c r="O414" s="41" t="s">
        <v>55</v>
      </c>
      <c r="P414" s="57">
        <v>44530</v>
      </c>
      <c r="Q414" s="41">
        <f>+H414+L414</f>
        <v>207.29999999999998</v>
      </c>
      <c r="R414" s="41">
        <f>+J414+K414+L414</f>
        <v>80.126569999999987</v>
      </c>
      <c r="S414" s="41">
        <f>+MONTH(B414)</f>
        <v>11</v>
      </c>
      <c r="T414" s="41">
        <f>+YEAR(B414)</f>
        <v>2021</v>
      </c>
      <c r="U414" s="41" t="s">
        <v>364</v>
      </c>
    </row>
    <row r="415" spans="1:21" ht="15" customHeight="1" x14ac:dyDescent="0.3">
      <c r="A415" s="41"/>
      <c r="B415" s="20">
        <v>43792</v>
      </c>
      <c r="C415" s="41"/>
      <c r="D415" s="41" t="s">
        <v>675</v>
      </c>
      <c r="E415" s="41" t="s">
        <v>666</v>
      </c>
      <c r="F415" s="41" t="s">
        <v>363</v>
      </c>
      <c r="G415" s="41" t="s">
        <v>53</v>
      </c>
      <c r="H415" s="55">
        <v>65</v>
      </c>
      <c r="I415" s="56">
        <v>0.17499999999999999</v>
      </c>
      <c r="J415" s="55">
        <v>11.375</v>
      </c>
      <c r="K415" s="55">
        <v>8.3524999999999991</v>
      </c>
      <c r="L415" s="55">
        <v>0</v>
      </c>
      <c r="M415" s="41" t="s">
        <v>10</v>
      </c>
      <c r="N415" s="41" t="s">
        <v>54</v>
      </c>
      <c r="O415" s="41" t="s">
        <v>55</v>
      </c>
      <c r="P415" s="57">
        <v>43799</v>
      </c>
      <c r="Q415" s="41">
        <f>+H415+L415</f>
        <v>65</v>
      </c>
      <c r="R415" s="41">
        <f>+J415+K415+L415</f>
        <v>19.727499999999999</v>
      </c>
      <c r="S415" s="41">
        <f>+MONTH(B415)</f>
        <v>11</v>
      </c>
      <c r="T415" s="41">
        <f>+YEAR(B415)</f>
        <v>2019</v>
      </c>
      <c r="U415" s="41" t="s">
        <v>364</v>
      </c>
    </row>
    <row r="416" spans="1:21" ht="15" customHeight="1" x14ac:dyDescent="0.3">
      <c r="A416" s="41"/>
      <c r="B416" s="20">
        <v>43792</v>
      </c>
      <c r="C416" s="41"/>
      <c r="D416" s="41" t="s">
        <v>676</v>
      </c>
      <c r="E416" s="41" t="s">
        <v>666</v>
      </c>
      <c r="F416" s="41" t="s">
        <v>363</v>
      </c>
      <c r="G416" s="41" t="s">
        <v>53</v>
      </c>
      <c r="H416" s="55">
        <v>65</v>
      </c>
      <c r="I416" s="56">
        <v>0.17499999999999999</v>
      </c>
      <c r="J416" s="55">
        <v>11.375</v>
      </c>
      <c r="K416" s="55">
        <v>8.3524999999999991</v>
      </c>
      <c r="L416" s="55">
        <v>0</v>
      </c>
      <c r="M416" s="41" t="s">
        <v>10</v>
      </c>
      <c r="N416" s="41" t="s">
        <v>54</v>
      </c>
      <c r="O416" s="41" t="s">
        <v>55</v>
      </c>
      <c r="P416" s="57">
        <v>43799</v>
      </c>
      <c r="Q416" s="41">
        <f>+H416+L416</f>
        <v>65</v>
      </c>
      <c r="R416" s="41">
        <f>+J416+K416+L416</f>
        <v>19.727499999999999</v>
      </c>
      <c r="S416" s="41">
        <f>+MONTH(B416)</f>
        <v>11</v>
      </c>
      <c r="T416" s="41">
        <f>+YEAR(B416)</f>
        <v>2019</v>
      </c>
      <c r="U416" s="41" t="s">
        <v>364</v>
      </c>
    </row>
    <row r="417" spans="1:21" ht="15" customHeight="1" x14ac:dyDescent="0.3">
      <c r="A417" s="41"/>
      <c r="B417" s="20">
        <v>44158</v>
      </c>
      <c r="C417" s="41"/>
      <c r="D417" s="41" t="s">
        <v>677</v>
      </c>
      <c r="E417" s="41" t="s">
        <v>666</v>
      </c>
      <c r="F417" s="41" t="s">
        <v>363</v>
      </c>
      <c r="G417" s="41" t="s">
        <v>53</v>
      </c>
      <c r="H417" s="55">
        <v>65</v>
      </c>
      <c r="I417" s="56">
        <v>0.17499999999999999</v>
      </c>
      <c r="J417" s="55">
        <v>11.375</v>
      </c>
      <c r="K417" s="55">
        <v>8.2874999999999979</v>
      </c>
      <c r="L417" s="55">
        <v>0</v>
      </c>
      <c r="M417" s="41" t="s">
        <v>10</v>
      </c>
      <c r="N417" s="41" t="s">
        <v>54</v>
      </c>
      <c r="O417" s="41" t="s">
        <v>55</v>
      </c>
      <c r="P417" s="57">
        <v>44165</v>
      </c>
      <c r="Q417" s="41">
        <f>+H417+L417</f>
        <v>65</v>
      </c>
      <c r="R417" s="41">
        <f>+J417+K417+L417</f>
        <v>19.662499999999998</v>
      </c>
      <c r="S417" s="41">
        <f>+MONTH(B417)</f>
        <v>11</v>
      </c>
      <c r="T417" s="41">
        <f>+YEAR(B417)</f>
        <v>2020</v>
      </c>
      <c r="U417" s="41" t="s">
        <v>364</v>
      </c>
    </row>
    <row r="418" spans="1:21" ht="15" customHeight="1" x14ac:dyDescent="0.3">
      <c r="A418" s="41"/>
      <c r="B418" s="20">
        <v>44158</v>
      </c>
      <c r="C418" s="41"/>
      <c r="D418" s="41" t="s">
        <v>678</v>
      </c>
      <c r="E418" s="41" t="s">
        <v>666</v>
      </c>
      <c r="F418" s="41" t="s">
        <v>363</v>
      </c>
      <c r="G418" s="41" t="s">
        <v>53</v>
      </c>
      <c r="H418" s="55">
        <v>65</v>
      </c>
      <c r="I418" s="56">
        <v>0.17499999999999999</v>
      </c>
      <c r="J418" s="55">
        <v>11.375</v>
      </c>
      <c r="K418" s="55">
        <v>8.2874999999999979</v>
      </c>
      <c r="L418" s="55">
        <v>0</v>
      </c>
      <c r="M418" s="41" t="s">
        <v>10</v>
      </c>
      <c r="N418" s="41" t="s">
        <v>54</v>
      </c>
      <c r="O418" s="41" t="s">
        <v>55</v>
      </c>
      <c r="P418" s="57">
        <v>44165</v>
      </c>
      <c r="Q418" s="41">
        <f>+H418+L418</f>
        <v>65</v>
      </c>
      <c r="R418" s="41">
        <f>+J418+K418+L418</f>
        <v>19.662499999999998</v>
      </c>
      <c r="S418" s="41">
        <f>+MONTH(B418)</f>
        <v>11</v>
      </c>
      <c r="T418" s="41">
        <f>+YEAR(B418)</f>
        <v>2020</v>
      </c>
      <c r="U418" s="41" t="s">
        <v>364</v>
      </c>
    </row>
    <row r="419" spans="1:21" ht="15" customHeight="1" x14ac:dyDescent="0.3">
      <c r="A419" s="41"/>
      <c r="B419" s="20">
        <v>44523</v>
      </c>
      <c r="C419" s="41"/>
      <c r="D419" s="41" t="s">
        <v>679</v>
      </c>
      <c r="E419" s="41" t="s">
        <v>666</v>
      </c>
      <c r="F419" s="41" t="s">
        <v>363</v>
      </c>
      <c r="G419" s="41" t="s">
        <v>53</v>
      </c>
      <c r="H419" s="55">
        <v>86.96</v>
      </c>
      <c r="I419" s="56">
        <v>0.17499999999999999</v>
      </c>
      <c r="J419" s="55">
        <v>17.5</v>
      </c>
      <c r="K419" s="55">
        <v>8.1097199999999958</v>
      </c>
      <c r="L419" s="55">
        <v>13.04</v>
      </c>
      <c r="M419" s="41" t="s">
        <v>10</v>
      </c>
      <c r="N419" s="41" t="s">
        <v>54</v>
      </c>
      <c r="O419" s="41" t="s">
        <v>55</v>
      </c>
      <c r="P419" s="57">
        <v>44530</v>
      </c>
      <c r="Q419" s="41">
        <f>+H419+L419</f>
        <v>100</v>
      </c>
      <c r="R419" s="41">
        <f>+J419+K419+L419</f>
        <v>38.649719999999995</v>
      </c>
      <c r="S419" s="41">
        <f>+MONTH(B419)</f>
        <v>11</v>
      </c>
      <c r="T419" s="41">
        <f>+YEAR(B419)</f>
        <v>2021</v>
      </c>
      <c r="U419" s="41" t="s">
        <v>364</v>
      </c>
    </row>
    <row r="420" spans="1:21" ht="15" customHeight="1" x14ac:dyDescent="0.3">
      <c r="A420" s="41"/>
      <c r="B420" s="20">
        <v>43792</v>
      </c>
      <c r="C420" s="41"/>
      <c r="D420" s="41" t="s">
        <v>680</v>
      </c>
      <c r="E420" s="41" t="s">
        <v>666</v>
      </c>
      <c r="F420" s="41" t="s">
        <v>363</v>
      </c>
      <c r="G420" s="41" t="s">
        <v>53</v>
      </c>
      <c r="H420" s="55">
        <v>65</v>
      </c>
      <c r="I420" s="56">
        <v>0.17499999999999999</v>
      </c>
      <c r="J420" s="55">
        <v>11.375</v>
      </c>
      <c r="K420" s="55">
        <v>8.3524999999999991</v>
      </c>
      <c r="L420" s="55">
        <v>0</v>
      </c>
      <c r="M420" s="41" t="s">
        <v>10</v>
      </c>
      <c r="N420" s="41" t="s">
        <v>54</v>
      </c>
      <c r="O420" s="41" t="s">
        <v>55</v>
      </c>
      <c r="P420" s="57">
        <v>43799</v>
      </c>
      <c r="Q420" s="41">
        <f>+H420+L420</f>
        <v>65</v>
      </c>
      <c r="R420" s="41">
        <f>+J420+K420+L420</f>
        <v>19.727499999999999</v>
      </c>
      <c r="S420" s="41">
        <f>+MONTH(B420)</f>
        <v>11</v>
      </c>
      <c r="T420" s="41">
        <f>+YEAR(B420)</f>
        <v>2019</v>
      </c>
      <c r="U420" s="41" t="s">
        <v>364</v>
      </c>
    </row>
    <row r="421" spans="1:21" ht="15" customHeight="1" x14ac:dyDescent="0.3">
      <c r="A421" s="41"/>
      <c r="B421" s="20">
        <v>43795</v>
      </c>
      <c r="C421" s="41"/>
      <c r="D421" s="41" t="s">
        <v>681</v>
      </c>
      <c r="E421" s="41" t="s">
        <v>666</v>
      </c>
      <c r="F421" s="41" t="s">
        <v>363</v>
      </c>
      <c r="G421" s="41" t="s">
        <v>53</v>
      </c>
      <c r="H421" s="55">
        <v>65</v>
      </c>
      <c r="I421" s="56">
        <v>0.17499999999999999</v>
      </c>
      <c r="J421" s="55">
        <v>11.375</v>
      </c>
      <c r="K421" s="55">
        <v>8.3524999999999991</v>
      </c>
      <c r="L421" s="55">
        <v>0</v>
      </c>
      <c r="M421" s="41" t="s">
        <v>10</v>
      </c>
      <c r="N421" s="41" t="s">
        <v>54</v>
      </c>
      <c r="O421" s="41" t="s">
        <v>55</v>
      </c>
      <c r="P421" s="57">
        <v>43799</v>
      </c>
      <c r="Q421" s="41">
        <f>+H421+L421</f>
        <v>65</v>
      </c>
      <c r="R421" s="41">
        <f>+J421+K421+L421</f>
        <v>19.727499999999999</v>
      </c>
      <c r="S421" s="41">
        <f>+MONTH(B421)</f>
        <v>11</v>
      </c>
      <c r="T421" s="41">
        <f>+YEAR(B421)</f>
        <v>2019</v>
      </c>
      <c r="U421" s="41" t="s">
        <v>364</v>
      </c>
    </row>
    <row r="422" spans="1:21" ht="15" customHeight="1" x14ac:dyDescent="0.3">
      <c r="A422" s="41"/>
      <c r="B422" s="20">
        <v>44158</v>
      </c>
      <c r="C422" s="41"/>
      <c r="D422" s="41" t="s">
        <v>682</v>
      </c>
      <c r="E422" s="41" t="s">
        <v>666</v>
      </c>
      <c r="F422" s="41" t="s">
        <v>363</v>
      </c>
      <c r="G422" s="41" t="s">
        <v>53</v>
      </c>
      <c r="H422" s="55">
        <v>65</v>
      </c>
      <c r="I422" s="56">
        <v>0.17499999999999999</v>
      </c>
      <c r="J422" s="55">
        <v>11.375</v>
      </c>
      <c r="K422" s="55">
        <v>8.2874999999999979</v>
      </c>
      <c r="L422" s="55">
        <v>0</v>
      </c>
      <c r="M422" s="41" t="s">
        <v>10</v>
      </c>
      <c r="N422" s="41" t="s">
        <v>54</v>
      </c>
      <c r="O422" s="41" t="s">
        <v>55</v>
      </c>
      <c r="P422" s="57">
        <v>44165</v>
      </c>
      <c r="Q422" s="41">
        <f>+H422+L422</f>
        <v>65</v>
      </c>
      <c r="R422" s="41">
        <f>+J422+K422+L422</f>
        <v>19.662499999999998</v>
      </c>
      <c r="S422" s="41">
        <f>+MONTH(B422)</f>
        <v>11</v>
      </c>
      <c r="T422" s="41">
        <f>+YEAR(B422)</f>
        <v>2020</v>
      </c>
      <c r="U422" s="41" t="s">
        <v>364</v>
      </c>
    </row>
    <row r="423" spans="1:21" ht="15" customHeight="1" x14ac:dyDescent="0.3">
      <c r="A423" s="41"/>
      <c r="B423" s="20">
        <v>44523</v>
      </c>
      <c r="C423" s="41"/>
      <c r="D423" s="41" t="s">
        <v>683</v>
      </c>
      <c r="E423" s="41" t="s">
        <v>666</v>
      </c>
      <c r="F423" s="41" t="s">
        <v>363</v>
      </c>
      <c r="G423" s="41" t="s">
        <v>53</v>
      </c>
      <c r="H423" s="55">
        <v>86.96</v>
      </c>
      <c r="I423" s="56">
        <v>0.17499999999999999</v>
      </c>
      <c r="J423" s="55">
        <v>17.5</v>
      </c>
      <c r="K423" s="55">
        <v>8.1097199999999958</v>
      </c>
      <c r="L423" s="55">
        <v>13.04</v>
      </c>
      <c r="M423" s="41" t="s">
        <v>10</v>
      </c>
      <c r="N423" s="41" t="s">
        <v>54</v>
      </c>
      <c r="O423" s="41" t="s">
        <v>55</v>
      </c>
      <c r="P423" s="57">
        <v>44530</v>
      </c>
      <c r="Q423" s="41">
        <f>+H423+L423</f>
        <v>100</v>
      </c>
      <c r="R423" s="41">
        <f>+J423+K423+L423</f>
        <v>38.649719999999995</v>
      </c>
      <c r="S423" s="41">
        <f>+MONTH(B423)</f>
        <v>11</v>
      </c>
      <c r="T423" s="41">
        <f>+YEAR(B423)</f>
        <v>2021</v>
      </c>
      <c r="U423" s="41" t="s">
        <v>364</v>
      </c>
    </row>
    <row r="424" spans="1:21" ht="15" customHeight="1" x14ac:dyDescent="0.3">
      <c r="A424" s="41"/>
      <c r="B424" s="20">
        <v>44161</v>
      </c>
      <c r="C424" s="41"/>
      <c r="D424" s="41" t="s">
        <v>684</v>
      </c>
      <c r="E424" s="41" t="s">
        <v>666</v>
      </c>
      <c r="F424" s="41" t="s">
        <v>363</v>
      </c>
      <c r="G424" s="41" t="s">
        <v>53</v>
      </c>
      <c r="H424" s="55">
        <v>65</v>
      </c>
      <c r="I424" s="56">
        <v>0.17499999999999999</v>
      </c>
      <c r="J424" s="55">
        <v>11.375</v>
      </c>
      <c r="K424" s="55">
        <v>8.2874999999999979</v>
      </c>
      <c r="L424" s="55">
        <v>0</v>
      </c>
      <c r="M424" s="41" t="s">
        <v>10</v>
      </c>
      <c r="N424" s="41" t="s">
        <v>54</v>
      </c>
      <c r="O424" s="41" t="s">
        <v>55</v>
      </c>
      <c r="P424" s="57">
        <v>44165</v>
      </c>
      <c r="Q424" s="41">
        <f>+H424+L424</f>
        <v>65</v>
      </c>
      <c r="R424" s="41">
        <f>+J424+K424+L424</f>
        <v>19.662499999999998</v>
      </c>
      <c r="S424" s="41">
        <f>+MONTH(B424)</f>
        <v>11</v>
      </c>
      <c r="T424" s="41">
        <f>+YEAR(B424)</f>
        <v>2020</v>
      </c>
      <c r="U424" s="41" t="s">
        <v>364</v>
      </c>
    </row>
    <row r="425" spans="1:21" ht="15" customHeight="1" x14ac:dyDescent="0.3">
      <c r="A425" s="41"/>
      <c r="B425" s="20">
        <v>44526</v>
      </c>
      <c r="C425" s="41"/>
      <c r="D425" s="41" t="s">
        <v>685</v>
      </c>
      <c r="E425" s="41" t="s">
        <v>666</v>
      </c>
      <c r="F425" s="41" t="s">
        <v>363</v>
      </c>
      <c r="G425" s="41" t="s">
        <v>53</v>
      </c>
      <c r="H425" s="55">
        <v>86.96</v>
      </c>
      <c r="I425" s="56">
        <v>0.17499999999999999</v>
      </c>
      <c r="J425" s="55">
        <v>17.5</v>
      </c>
      <c r="K425" s="55">
        <v>8.1097199999999958</v>
      </c>
      <c r="L425" s="55">
        <v>13.04</v>
      </c>
      <c r="M425" s="41" t="s">
        <v>10</v>
      </c>
      <c r="N425" s="41" t="s">
        <v>54</v>
      </c>
      <c r="O425" s="41" t="s">
        <v>55</v>
      </c>
      <c r="P425" s="57">
        <v>44530</v>
      </c>
      <c r="Q425" s="41">
        <f>+H425+L425</f>
        <v>100</v>
      </c>
      <c r="R425" s="41">
        <f>+J425+K425+L425</f>
        <v>38.649719999999995</v>
      </c>
      <c r="S425" s="41">
        <f>+MONTH(B425)</f>
        <v>11</v>
      </c>
      <c r="T425" s="41">
        <f>+YEAR(B425)</f>
        <v>2021</v>
      </c>
      <c r="U425" s="41" t="s">
        <v>364</v>
      </c>
    </row>
    <row r="426" spans="1:21" ht="15" customHeight="1" x14ac:dyDescent="0.3">
      <c r="A426" s="41"/>
      <c r="B426" s="20">
        <v>43792</v>
      </c>
      <c r="C426" s="41"/>
      <c r="D426" s="41" t="s">
        <v>686</v>
      </c>
      <c r="E426" s="41" t="s">
        <v>666</v>
      </c>
      <c r="F426" s="41" t="s">
        <v>363</v>
      </c>
      <c r="G426" s="41" t="s">
        <v>53</v>
      </c>
      <c r="H426" s="55">
        <v>65</v>
      </c>
      <c r="I426" s="56">
        <v>0.17499999999999999</v>
      </c>
      <c r="J426" s="55">
        <v>11.375</v>
      </c>
      <c r="K426" s="55">
        <v>8.3524999999999991</v>
      </c>
      <c r="L426" s="55">
        <v>0</v>
      </c>
      <c r="M426" s="41" t="s">
        <v>10</v>
      </c>
      <c r="N426" s="41" t="s">
        <v>54</v>
      </c>
      <c r="O426" s="41" t="s">
        <v>55</v>
      </c>
      <c r="P426" s="57">
        <v>43799</v>
      </c>
      <c r="Q426" s="41">
        <f>+H426+L426</f>
        <v>65</v>
      </c>
      <c r="R426" s="41">
        <f>+J426+K426+L426</f>
        <v>19.727499999999999</v>
      </c>
      <c r="S426" s="41">
        <f>+MONTH(B426)</f>
        <v>11</v>
      </c>
      <c r="T426" s="41">
        <f>+YEAR(B426)</f>
        <v>2019</v>
      </c>
      <c r="U426" s="41" t="s">
        <v>364</v>
      </c>
    </row>
    <row r="427" spans="1:21" ht="15" customHeight="1" x14ac:dyDescent="0.3">
      <c r="A427" s="41"/>
      <c r="B427" s="20">
        <v>43795</v>
      </c>
      <c r="C427" s="41"/>
      <c r="D427" s="41" t="s">
        <v>687</v>
      </c>
      <c r="E427" s="41" t="s">
        <v>666</v>
      </c>
      <c r="F427" s="41" t="s">
        <v>363</v>
      </c>
      <c r="G427" s="41" t="s">
        <v>53</v>
      </c>
      <c r="H427" s="55">
        <v>147.75</v>
      </c>
      <c r="I427" s="56">
        <v>0.17499999999999999</v>
      </c>
      <c r="J427" s="55">
        <v>29.734249999999996</v>
      </c>
      <c r="K427" s="55">
        <v>15.107875</v>
      </c>
      <c r="L427" s="55">
        <v>22.16</v>
      </c>
      <c r="M427" s="41" t="s">
        <v>10</v>
      </c>
      <c r="N427" s="41" t="s">
        <v>54</v>
      </c>
      <c r="O427" s="41" t="s">
        <v>55</v>
      </c>
      <c r="P427" s="57">
        <v>43799</v>
      </c>
      <c r="Q427" s="41">
        <f>+H427+L427</f>
        <v>169.91</v>
      </c>
      <c r="R427" s="41">
        <f>+J427+K427+L427</f>
        <v>67.002124999999992</v>
      </c>
      <c r="S427" s="41">
        <f>+MONTH(B427)</f>
        <v>11</v>
      </c>
      <c r="T427" s="41">
        <f>+YEAR(B427)</f>
        <v>2019</v>
      </c>
      <c r="U427" s="41" t="s">
        <v>364</v>
      </c>
    </row>
    <row r="428" spans="1:21" ht="15" customHeight="1" x14ac:dyDescent="0.3">
      <c r="A428" s="41"/>
      <c r="B428" s="20">
        <v>44158</v>
      </c>
      <c r="C428" s="41"/>
      <c r="D428" s="41" t="s">
        <v>688</v>
      </c>
      <c r="E428" s="41" t="s">
        <v>666</v>
      </c>
      <c r="F428" s="41" t="s">
        <v>363</v>
      </c>
      <c r="G428" s="41" t="s">
        <v>53</v>
      </c>
      <c r="H428" s="55">
        <v>65</v>
      </c>
      <c r="I428" s="56">
        <v>0.17499999999999999</v>
      </c>
      <c r="J428" s="55">
        <v>11.375</v>
      </c>
      <c r="K428" s="55">
        <v>8.2874999999999979</v>
      </c>
      <c r="L428" s="55">
        <v>0</v>
      </c>
      <c r="M428" s="41" t="s">
        <v>10</v>
      </c>
      <c r="N428" s="41" t="s">
        <v>54</v>
      </c>
      <c r="O428" s="41" t="s">
        <v>55</v>
      </c>
      <c r="P428" s="57">
        <v>44165</v>
      </c>
      <c r="Q428" s="41">
        <f>+H428+L428</f>
        <v>65</v>
      </c>
      <c r="R428" s="41">
        <f>+J428+K428+L428</f>
        <v>19.662499999999998</v>
      </c>
      <c r="S428" s="41">
        <f>+MONTH(B428)</f>
        <v>11</v>
      </c>
      <c r="T428" s="41">
        <f>+YEAR(B428)</f>
        <v>2020</v>
      </c>
      <c r="U428" s="41" t="s">
        <v>364</v>
      </c>
    </row>
    <row r="429" spans="1:21" ht="15" customHeight="1" x14ac:dyDescent="0.3">
      <c r="A429" s="41"/>
      <c r="B429" s="20">
        <v>44523</v>
      </c>
      <c r="C429" s="41"/>
      <c r="D429" s="41" t="s">
        <v>689</v>
      </c>
      <c r="E429" s="41" t="s">
        <v>666</v>
      </c>
      <c r="F429" s="41" t="s">
        <v>363</v>
      </c>
      <c r="G429" s="41" t="s">
        <v>53</v>
      </c>
      <c r="H429" s="55">
        <v>86.96</v>
      </c>
      <c r="I429" s="56">
        <v>0.17499999999999999</v>
      </c>
      <c r="J429" s="55">
        <v>17.5</v>
      </c>
      <c r="K429" s="55">
        <v>8.1097199999999958</v>
      </c>
      <c r="L429" s="55">
        <v>13.04</v>
      </c>
      <c r="M429" s="41" t="s">
        <v>10</v>
      </c>
      <c r="N429" s="41" t="s">
        <v>54</v>
      </c>
      <c r="O429" s="41" t="s">
        <v>55</v>
      </c>
      <c r="P429" s="57">
        <v>44530</v>
      </c>
      <c r="Q429" s="41">
        <f>+H429+L429</f>
        <v>100</v>
      </c>
      <c r="R429" s="41">
        <f>+J429+K429+L429</f>
        <v>38.649719999999995</v>
      </c>
      <c r="S429" s="41">
        <f>+MONTH(B429)</f>
        <v>11</v>
      </c>
      <c r="T429" s="41">
        <f>+YEAR(B429)</f>
        <v>2021</v>
      </c>
      <c r="U429" s="41" t="s">
        <v>364</v>
      </c>
    </row>
    <row r="430" spans="1:21" ht="15" customHeight="1" x14ac:dyDescent="0.3">
      <c r="A430" s="41"/>
      <c r="B430" s="20">
        <v>44161</v>
      </c>
      <c r="C430" s="41"/>
      <c r="D430" s="41" t="s">
        <v>690</v>
      </c>
      <c r="E430" s="41" t="s">
        <v>666</v>
      </c>
      <c r="F430" s="41" t="s">
        <v>363</v>
      </c>
      <c r="G430" s="41" t="s">
        <v>53</v>
      </c>
      <c r="H430" s="55">
        <v>147.75</v>
      </c>
      <c r="I430" s="56">
        <v>0.17499999999999999</v>
      </c>
      <c r="J430" s="55">
        <v>29.734249999999996</v>
      </c>
      <c r="K430" s="55">
        <v>14.960125000000005</v>
      </c>
      <c r="L430" s="55">
        <v>22.16</v>
      </c>
      <c r="M430" s="41" t="s">
        <v>10</v>
      </c>
      <c r="N430" s="41" t="s">
        <v>54</v>
      </c>
      <c r="O430" s="41" t="s">
        <v>55</v>
      </c>
      <c r="P430" s="57">
        <v>44165</v>
      </c>
      <c r="Q430" s="41">
        <f>+H430+L430</f>
        <v>169.91</v>
      </c>
      <c r="R430" s="41">
        <f>+J430+K430+L430</f>
        <v>66.854375000000005</v>
      </c>
      <c r="S430" s="41">
        <f>+MONTH(B430)</f>
        <v>11</v>
      </c>
      <c r="T430" s="41">
        <f>+YEAR(B430)</f>
        <v>2020</v>
      </c>
      <c r="U430" s="41" t="s">
        <v>364</v>
      </c>
    </row>
    <row r="431" spans="1:21" ht="15" customHeight="1" x14ac:dyDescent="0.3">
      <c r="A431" s="41"/>
      <c r="B431" s="20">
        <v>44526</v>
      </c>
      <c r="C431" s="41"/>
      <c r="D431" s="41" t="s">
        <v>691</v>
      </c>
      <c r="E431" s="41" t="s">
        <v>666</v>
      </c>
      <c r="F431" s="41" t="s">
        <v>363</v>
      </c>
      <c r="G431" s="41" t="s">
        <v>53</v>
      </c>
      <c r="H431" s="55">
        <v>147.75</v>
      </c>
      <c r="I431" s="56">
        <v>0.17499999999999999</v>
      </c>
      <c r="J431" s="55">
        <v>29.734249999999996</v>
      </c>
      <c r="K431" s="55">
        <v>13.778125000000003</v>
      </c>
      <c r="L431" s="55">
        <v>22.16</v>
      </c>
      <c r="M431" s="41" t="s">
        <v>10</v>
      </c>
      <c r="N431" s="41" t="s">
        <v>54</v>
      </c>
      <c r="O431" s="41" t="s">
        <v>55</v>
      </c>
      <c r="P431" s="57">
        <v>44530</v>
      </c>
      <c r="Q431" s="41">
        <f>+H431+L431</f>
        <v>169.91</v>
      </c>
      <c r="R431" s="41">
        <f>+J431+K431+L431</f>
        <v>65.672375000000002</v>
      </c>
      <c r="S431" s="41">
        <f>+MONTH(B431)</f>
        <v>11</v>
      </c>
      <c r="T431" s="41">
        <f>+YEAR(B431)</f>
        <v>2021</v>
      </c>
      <c r="U431" s="41" t="s">
        <v>364</v>
      </c>
    </row>
    <row r="432" spans="1:21" ht="15" customHeight="1" x14ac:dyDescent="0.3">
      <c r="A432" s="41"/>
      <c r="B432" s="20">
        <v>43792</v>
      </c>
      <c r="C432" s="41"/>
      <c r="D432" s="41" t="s">
        <v>692</v>
      </c>
      <c r="E432" s="41" t="s">
        <v>666</v>
      </c>
      <c r="F432" s="41" t="s">
        <v>363</v>
      </c>
      <c r="G432" s="41" t="s">
        <v>53</v>
      </c>
      <c r="H432" s="55">
        <v>65</v>
      </c>
      <c r="I432" s="56">
        <v>0.17499999999999999</v>
      </c>
      <c r="J432" s="55">
        <v>11.375</v>
      </c>
      <c r="K432" s="55">
        <v>8.3524999999999991</v>
      </c>
      <c r="L432" s="55">
        <v>0</v>
      </c>
      <c r="M432" s="41" t="s">
        <v>10</v>
      </c>
      <c r="N432" s="41" t="s">
        <v>54</v>
      </c>
      <c r="O432" s="41" t="s">
        <v>55</v>
      </c>
      <c r="P432" s="57">
        <v>43799</v>
      </c>
      <c r="Q432" s="41">
        <f>+H432+L432</f>
        <v>65</v>
      </c>
      <c r="R432" s="41">
        <f>+J432+K432+L432</f>
        <v>19.727499999999999</v>
      </c>
      <c r="S432" s="41">
        <f>+MONTH(B432)</f>
        <v>11</v>
      </c>
      <c r="T432" s="41">
        <f>+YEAR(B432)</f>
        <v>2019</v>
      </c>
      <c r="U432" s="41" t="s">
        <v>364</v>
      </c>
    </row>
    <row r="433" spans="1:21" ht="15" customHeight="1" x14ac:dyDescent="0.3">
      <c r="A433" s="41"/>
      <c r="B433" s="20">
        <v>43809</v>
      </c>
      <c r="C433" s="41"/>
      <c r="D433" s="41" t="s">
        <v>693</v>
      </c>
      <c r="E433" s="41" t="s">
        <v>666</v>
      </c>
      <c r="F433" s="41" t="s">
        <v>363</v>
      </c>
      <c r="G433" s="41" t="s">
        <v>53</v>
      </c>
      <c r="H433" s="55">
        <v>184.92</v>
      </c>
      <c r="I433" s="56">
        <v>0.17499999999999999</v>
      </c>
      <c r="J433" s="55">
        <v>37.215499999999999</v>
      </c>
      <c r="K433" s="55">
        <v>18.907719999999998</v>
      </c>
      <c r="L433" s="55">
        <v>27.74</v>
      </c>
      <c r="M433" s="41" t="s">
        <v>10</v>
      </c>
      <c r="N433" s="41" t="s">
        <v>54</v>
      </c>
      <c r="O433" s="41" t="s">
        <v>55</v>
      </c>
      <c r="P433" s="57">
        <v>43830</v>
      </c>
      <c r="Q433" s="41">
        <f>+H433+L433</f>
        <v>212.66</v>
      </c>
      <c r="R433" s="41">
        <f>+J433+K433+L433</f>
        <v>83.863219999999998</v>
      </c>
      <c r="S433" s="41">
        <f>+MONTH(B433)</f>
        <v>12</v>
      </c>
      <c r="T433" s="41">
        <f>+YEAR(B433)</f>
        <v>2019</v>
      </c>
      <c r="U433" s="41" t="s">
        <v>364</v>
      </c>
    </row>
    <row r="434" spans="1:21" ht="15" customHeight="1" x14ac:dyDescent="0.3">
      <c r="A434" s="41"/>
      <c r="B434" s="20">
        <v>44158</v>
      </c>
      <c r="C434" s="41"/>
      <c r="D434" s="41" t="s">
        <v>694</v>
      </c>
      <c r="E434" s="41" t="s">
        <v>666</v>
      </c>
      <c r="F434" s="41" t="s">
        <v>363</v>
      </c>
      <c r="G434" s="41" t="s">
        <v>53</v>
      </c>
      <c r="H434" s="55">
        <v>65</v>
      </c>
      <c r="I434" s="56">
        <v>0.17499999999999999</v>
      </c>
      <c r="J434" s="55">
        <v>11.375</v>
      </c>
      <c r="K434" s="55">
        <v>8.2874999999999979</v>
      </c>
      <c r="L434" s="55">
        <v>0</v>
      </c>
      <c r="M434" s="41" t="s">
        <v>10</v>
      </c>
      <c r="N434" s="41" t="s">
        <v>54</v>
      </c>
      <c r="O434" s="41" t="s">
        <v>55</v>
      </c>
      <c r="P434" s="57">
        <v>44165</v>
      </c>
      <c r="Q434" s="41">
        <f>+H434+L434</f>
        <v>65</v>
      </c>
      <c r="R434" s="41">
        <f>+J434+K434+L434</f>
        <v>19.662499999999998</v>
      </c>
      <c r="S434" s="41">
        <f>+MONTH(B434)</f>
        <v>11</v>
      </c>
      <c r="T434" s="41">
        <f>+YEAR(B434)</f>
        <v>2020</v>
      </c>
      <c r="U434" s="41" t="s">
        <v>364</v>
      </c>
    </row>
    <row r="435" spans="1:21" ht="15" customHeight="1" x14ac:dyDescent="0.3">
      <c r="A435" s="41"/>
      <c r="B435" s="20">
        <v>44523</v>
      </c>
      <c r="C435" s="41"/>
      <c r="D435" s="41" t="s">
        <v>695</v>
      </c>
      <c r="E435" s="41" t="s">
        <v>666</v>
      </c>
      <c r="F435" s="41" t="s">
        <v>363</v>
      </c>
      <c r="G435" s="41" t="s">
        <v>53</v>
      </c>
      <c r="H435" s="55">
        <v>86.96</v>
      </c>
      <c r="I435" s="56">
        <v>0.17499999999999999</v>
      </c>
      <c r="J435" s="55">
        <v>17.5</v>
      </c>
      <c r="K435" s="55">
        <v>8.1097199999999958</v>
      </c>
      <c r="L435" s="55">
        <v>13.04</v>
      </c>
      <c r="M435" s="41" t="s">
        <v>10</v>
      </c>
      <c r="N435" s="41" t="s">
        <v>54</v>
      </c>
      <c r="O435" s="41" t="s">
        <v>55</v>
      </c>
      <c r="P435" s="57">
        <v>44530</v>
      </c>
      <c r="Q435" s="41">
        <f>+H435+L435</f>
        <v>100</v>
      </c>
      <c r="R435" s="41">
        <f>+J435+K435+L435</f>
        <v>38.649719999999995</v>
      </c>
      <c r="S435" s="41">
        <f>+MONTH(B435)</f>
        <v>11</v>
      </c>
      <c r="T435" s="41">
        <f>+YEAR(B435)</f>
        <v>2021</v>
      </c>
      <c r="U435" s="41" t="s">
        <v>364</v>
      </c>
    </row>
    <row r="436" spans="1:21" ht="15" customHeight="1" x14ac:dyDescent="0.3">
      <c r="A436" s="41"/>
      <c r="B436" s="20">
        <v>44175</v>
      </c>
      <c r="C436" s="41"/>
      <c r="D436" s="41" t="s">
        <v>696</v>
      </c>
      <c r="E436" s="41" t="s">
        <v>666</v>
      </c>
      <c r="F436" s="41" t="s">
        <v>363</v>
      </c>
      <c r="G436" s="41" t="s">
        <v>53</v>
      </c>
      <c r="H436" s="55">
        <v>203.41</v>
      </c>
      <c r="I436" s="56">
        <v>0.17499999999999999</v>
      </c>
      <c r="J436" s="55">
        <v>40.935999999999993</v>
      </c>
      <c r="K436" s="55">
        <v>20.595525000000002</v>
      </c>
      <c r="L436" s="55">
        <v>30.51</v>
      </c>
      <c r="M436" s="41" t="s">
        <v>10</v>
      </c>
      <c r="N436" s="41" t="s">
        <v>54</v>
      </c>
      <c r="O436" s="41" t="s">
        <v>55</v>
      </c>
      <c r="P436" s="57">
        <v>44196</v>
      </c>
      <c r="Q436" s="41">
        <f>+H436+L436</f>
        <v>233.92</v>
      </c>
      <c r="R436" s="41">
        <f>+J436+K436+L436</f>
        <v>92.041524999999993</v>
      </c>
      <c r="S436" s="41">
        <f>+MONTH(B436)</f>
        <v>12</v>
      </c>
      <c r="T436" s="41">
        <f>+YEAR(B436)</f>
        <v>2020</v>
      </c>
      <c r="U436" s="41" t="s">
        <v>364</v>
      </c>
    </row>
    <row r="437" spans="1:21" ht="15" customHeight="1" x14ac:dyDescent="0.3">
      <c r="A437" s="41"/>
      <c r="B437" s="20">
        <v>44540</v>
      </c>
      <c r="C437" s="41"/>
      <c r="D437" s="41" t="s">
        <v>697</v>
      </c>
      <c r="E437" s="41" t="s">
        <v>666</v>
      </c>
      <c r="F437" s="41" t="s">
        <v>363</v>
      </c>
      <c r="G437" s="41" t="s">
        <v>53</v>
      </c>
      <c r="H437" s="55">
        <v>184.92</v>
      </c>
      <c r="I437" s="56">
        <v>0.17499999999999999</v>
      </c>
      <c r="J437" s="55">
        <v>37.215499999999999</v>
      </c>
      <c r="K437" s="55">
        <v>17.243439999999993</v>
      </c>
      <c r="L437" s="55">
        <v>27.74</v>
      </c>
      <c r="M437" s="41" t="s">
        <v>10</v>
      </c>
      <c r="N437" s="41" t="s">
        <v>54</v>
      </c>
      <c r="O437" s="41" t="s">
        <v>55</v>
      </c>
      <c r="P437" s="57">
        <v>44561</v>
      </c>
      <c r="Q437" s="41">
        <f>+H437+L437</f>
        <v>212.66</v>
      </c>
      <c r="R437" s="41">
        <f>+J437+K437+L437</f>
        <v>82.198939999999993</v>
      </c>
      <c r="S437" s="41">
        <f>+MONTH(B437)</f>
        <v>12</v>
      </c>
      <c r="T437" s="41">
        <f>+YEAR(B437)</f>
        <v>2021</v>
      </c>
      <c r="U437" s="41" t="s">
        <v>364</v>
      </c>
    </row>
    <row r="438" spans="1:21" ht="15" customHeight="1" x14ac:dyDescent="0.3">
      <c r="A438" s="41"/>
      <c r="B438" s="20">
        <v>43792</v>
      </c>
      <c r="C438" s="41"/>
      <c r="D438" s="41" t="s">
        <v>698</v>
      </c>
      <c r="E438" s="41" t="s">
        <v>666</v>
      </c>
      <c r="F438" s="41" t="s">
        <v>363</v>
      </c>
      <c r="G438" s="41" t="s">
        <v>53</v>
      </c>
      <c r="H438" s="55">
        <v>65</v>
      </c>
      <c r="I438" s="56">
        <v>0.17499999999999999</v>
      </c>
      <c r="J438" s="55">
        <v>11.375</v>
      </c>
      <c r="K438" s="55">
        <v>8.3524999999999991</v>
      </c>
      <c r="L438" s="55">
        <v>0</v>
      </c>
      <c r="M438" s="41" t="s">
        <v>10</v>
      </c>
      <c r="N438" s="41" t="s">
        <v>54</v>
      </c>
      <c r="O438" s="41" t="s">
        <v>55</v>
      </c>
      <c r="P438" s="57">
        <v>43799</v>
      </c>
      <c r="Q438" s="41">
        <f>+H438+L438</f>
        <v>65</v>
      </c>
      <c r="R438" s="41">
        <f>+J438+K438+L438</f>
        <v>19.727499999999999</v>
      </c>
      <c r="S438" s="41">
        <f>+MONTH(B438)</f>
        <v>11</v>
      </c>
      <c r="T438" s="41">
        <f>+YEAR(B438)</f>
        <v>2019</v>
      </c>
      <c r="U438" s="41" t="s">
        <v>364</v>
      </c>
    </row>
    <row r="439" spans="1:21" ht="15" customHeight="1" x14ac:dyDescent="0.3">
      <c r="A439" s="41"/>
      <c r="B439" s="20">
        <v>43809</v>
      </c>
      <c r="C439" s="41"/>
      <c r="D439" s="41" t="s">
        <v>699</v>
      </c>
      <c r="E439" s="41" t="s">
        <v>666</v>
      </c>
      <c r="F439" s="41" t="s">
        <v>363</v>
      </c>
      <c r="G439" s="41" t="s">
        <v>53</v>
      </c>
      <c r="H439" s="55">
        <v>114.24</v>
      </c>
      <c r="I439" s="56">
        <v>0.17499999999999999</v>
      </c>
      <c r="J439" s="55">
        <v>22.991499999999998</v>
      </c>
      <c r="K439" s="55">
        <v>11.680339999999998</v>
      </c>
      <c r="L439" s="55">
        <v>17.14</v>
      </c>
      <c r="M439" s="41" t="s">
        <v>10</v>
      </c>
      <c r="N439" s="41" t="s">
        <v>54</v>
      </c>
      <c r="O439" s="41" t="s">
        <v>55</v>
      </c>
      <c r="P439" s="57">
        <v>43830</v>
      </c>
      <c r="Q439" s="41">
        <f>+H439+L439</f>
        <v>131.38</v>
      </c>
      <c r="R439" s="41">
        <f>+J439+K439+L439</f>
        <v>51.811839999999997</v>
      </c>
      <c r="S439" s="41">
        <f>+MONTH(B439)</f>
        <v>12</v>
      </c>
      <c r="T439" s="41">
        <f>+YEAR(B439)</f>
        <v>2019</v>
      </c>
      <c r="U439" s="41" t="s">
        <v>364</v>
      </c>
    </row>
    <row r="440" spans="1:21" ht="15" customHeight="1" x14ac:dyDescent="0.3">
      <c r="A440" s="41"/>
      <c r="B440" s="20">
        <v>44158</v>
      </c>
      <c r="C440" s="41"/>
      <c r="D440" s="41" t="s">
        <v>700</v>
      </c>
      <c r="E440" s="41" t="s">
        <v>666</v>
      </c>
      <c r="F440" s="41" t="s">
        <v>363</v>
      </c>
      <c r="G440" s="41" t="s">
        <v>53</v>
      </c>
      <c r="H440" s="55">
        <v>65</v>
      </c>
      <c r="I440" s="56">
        <v>0.17499999999999999</v>
      </c>
      <c r="J440" s="55">
        <v>11.375</v>
      </c>
      <c r="K440" s="55">
        <v>8.2874999999999979</v>
      </c>
      <c r="L440" s="55">
        <v>0</v>
      </c>
      <c r="M440" s="41" t="s">
        <v>10</v>
      </c>
      <c r="N440" s="41" t="s">
        <v>54</v>
      </c>
      <c r="O440" s="41" t="s">
        <v>55</v>
      </c>
      <c r="P440" s="57">
        <v>44165</v>
      </c>
      <c r="Q440" s="41">
        <f>+H440+L440</f>
        <v>65</v>
      </c>
      <c r="R440" s="41">
        <f>+J440+K440+L440</f>
        <v>19.662499999999998</v>
      </c>
      <c r="S440" s="41">
        <f>+MONTH(B440)</f>
        <v>11</v>
      </c>
      <c r="T440" s="41">
        <f>+YEAR(B440)</f>
        <v>2020</v>
      </c>
      <c r="U440" s="41" t="s">
        <v>364</v>
      </c>
    </row>
    <row r="441" spans="1:21" ht="15" customHeight="1" x14ac:dyDescent="0.3">
      <c r="A441" s="41"/>
      <c r="B441" s="20">
        <v>44523</v>
      </c>
      <c r="C441" s="41"/>
      <c r="D441" s="41" t="s">
        <v>701</v>
      </c>
      <c r="E441" s="41" t="s">
        <v>666</v>
      </c>
      <c r="F441" s="41" t="s">
        <v>363</v>
      </c>
      <c r="G441" s="41" t="s">
        <v>53</v>
      </c>
      <c r="H441" s="55">
        <v>86.96</v>
      </c>
      <c r="I441" s="56">
        <v>0.17499999999999999</v>
      </c>
      <c r="J441" s="55">
        <v>17.5</v>
      </c>
      <c r="K441" s="55">
        <v>8.1097199999999958</v>
      </c>
      <c r="L441" s="55">
        <v>13.04</v>
      </c>
      <c r="M441" s="41" t="s">
        <v>10</v>
      </c>
      <c r="N441" s="41" t="s">
        <v>54</v>
      </c>
      <c r="O441" s="41" t="s">
        <v>55</v>
      </c>
      <c r="P441" s="57">
        <v>44530</v>
      </c>
      <c r="Q441" s="41">
        <f>+H441+L441</f>
        <v>100</v>
      </c>
      <c r="R441" s="41">
        <f>+J441+K441+L441</f>
        <v>38.649719999999995</v>
      </c>
      <c r="S441" s="41">
        <f>+MONTH(B441)</f>
        <v>11</v>
      </c>
      <c r="T441" s="41">
        <f>+YEAR(B441)</f>
        <v>2021</v>
      </c>
      <c r="U441" s="41" t="s">
        <v>364</v>
      </c>
    </row>
    <row r="442" spans="1:21" ht="15" customHeight="1" x14ac:dyDescent="0.3">
      <c r="A442" s="41"/>
      <c r="B442" s="20">
        <v>44175</v>
      </c>
      <c r="C442" s="41"/>
      <c r="D442" s="41" t="s">
        <v>702</v>
      </c>
      <c r="E442" s="41" t="s">
        <v>666</v>
      </c>
      <c r="F442" s="41" t="s">
        <v>363</v>
      </c>
      <c r="G442" s="41" t="s">
        <v>53</v>
      </c>
      <c r="H442" s="55">
        <v>125.67</v>
      </c>
      <c r="I442" s="56">
        <v>0.17499999999999999</v>
      </c>
      <c r="J442" s="55">
        <v>25.291</v>
      </c>
      <c r="K442" s="55">
        <v>12.724174999999999</v>
      </c>
      <c r="L442" s="55">
        <v>18.850000000000001</v>
      </c>
      <c r="M442" s="41" t="s">
        <v>10</v>
      </c>
      <c r="N442" s="41" t="s">
        <v>54</v>
      </c>
      <c r="O442" s="41" t="s">
        <v>55</v>
      </c>
      <c r="P442" s="57">
        <v>44196</v>
      </c>
      <c r="Q442" s="41">
        <f>+H442+L442</f>
        <v>144.52000000000001</v>
      </c>
      <c r="R442" s="41">
        <f>+J442+K442+L442</f>
        <v>56.865175000000001</v>
      </c>
      <c r="S442" s="41">
        <f>+MONTH(B442)</f>
        <v>12</v>
      </c>
      <c r="T442" s="41">
        <f>+YEAR(B442)</f>
        <v>2020</v>
      </c>
      <c r="U442" s="41" t="s">
        <v>364</v>
      </c>
    </row>
    <row r="443" spans="1:21" ht="15" customHeight="1" x14ac:dyDescent="0.3">
      <c r="A443" s="41"/>
      <c r="B443" s="20">
        <v>43792</v>
      </c>
      <c r="C443" s="41"/>
      <c r="D443" s="41" t="s">
        <v>703</v>
      </c>
      <c r="E443" s="41" t="s">
        <v>666</v>
      </c>
      <c r="F443" s="41" t="s">
        <v>363</v>
      </c>
      <c r="G443" s="41" t="s">
        <v>53</v>
      </c>
      <c r="H443" s="55">
        <v>65</v>
      </c>
      <c r="I443" s="56">
        <v>0.17499999999999999</v>
      </c>
      <c r="J443" s="55">
        <v>11.375</v>
      </c>
      <c r="K443" s="55">
        <v>8.3524999999999991</v>
      </c>
      <c r="L443" s="55">
        <v>0</v>
      </c>
      <c r="M443" s="41" t="s">
        <v>10</v>
      </c>
      <c r="N443" s="41" t="s">
        <v>54</v>
      </c>
      <c r="O443" s="41" t="s">
        <v>55</v>
      </c>
      <c r="P443" s="57">
        <v>43799</v>
      </c>
      <c r="Q443" s="41">
        <f>+H443+L443</f>
        <v>65</v>
      </c>
      <c r="R443" s="41">
        <f>+J443+K443+L443</f>
        <v>19.727499999999999</v>
      </c>
      <c r="S443" s="41">
        <f>+MONTH(B443)</f>
        <v>11</v>
      </c>
      <c r="T443" s="41">
        <f>+YEAR(B443)</f>
        <v>2019</v>
      </c>
      <c r="U443" s="41" t="s">
        <v>364</v>
      </c>
    </row>
    <row r="444" spans="1:21" ht="15" customHeight="1" x14ac:dyDescent="0.3">
      <c r="A444" s="41"/>
      <c r="B444" s="20">
        <v>43785</v>
      </c>
      <c r="C444" s="41"/>
      <c r="D444" s="41" t="s">
        <v>704</v>
      </c>
      <c r="E444" s="41" t="s">
        <v>666</v>
      </c>
      <c r="F444" s="41" t="s">
        <v>363</v>
      </c>
      <c r="G444" s="41" t="s">
        <v>53</v>
      </c>
      <c r="H444" s="55">
        <v>850.39</v>
      </c>
      <c r="I444" s="56">
        <v>0.17499999999999999</v>
      </c>
      <c r="J444" s="55">
        <v>171.14124999999999</v>
      </c>
      <c r="K444" s="55">
        <v>86.95211500000002</v>
      </c>
      <c r="L444" s="55">
        <v>127.56</v>
      </c>
      <c r="M444" s="41" t="s">
        <v>10</v>
      </c>
      <c r="N444" s="41" t="s">
        <v>54</v>
      </c>
      <c r="O444" s="41" t="s">
        <v>55</v>
      </c>
      <c r="P444" s="57">
        <v>43799</v>
      </c>
      <c r="Q444" s="41">
        <f>+H444+L444</f>
        <v>977.95</v>
      </c>
      <c r="R444" s="41">
        <f>+J444+K444+L444</f>
        <v>385.65336500000001</v>
      </c>
      <c r="S444" s="41">
        <f>+MONTH(B444)</f>
        <v>11</v>
      </c>
      <c r="T444" s="41">
        <f>+YEAR(B444)</f>
        <v>2019</v>
      </c>
      <c r="U444" s="41" t="s">
        <v>364</v>
      </c>
    </row>
    <row r="445" spans="1:21" ht="15" customHeight="1" x14ac:dyDescent="0.3">
      <c r="A445" s="41"/>
      <c r="B445" s="20">
        <v>44158</v>
      </c>
      <c r="C445" s="41"/>
      <c r="D445" s="41" t="s">
        <v>705</v>
      </c>
      <c r="E445" s="41" t="s">
        <v>666</v>
      </c>
      <c r="F445" s="41" t="s">
        <v>363</v>
      </c>
      <c r="G445" s="41" t="s">
        <v>53</v>
      </c>
      <c r="H445" s="55">
        <v>65</v>
      </c>
      <c r="I445" s="56">
        <v>0.17499999999999999</v>
      </c>
      <c r="J445" s="55">
        <v>11.375</v>
      </c>
      <c r="K445" s="55">
        <v>8.2874999999999979</v>
      </c>
      <c r="L445" s="55">
        <v>0</v>
      </c>
      <c r="M445" s="41" t="s">
        <v>10</v>
      </c>
      <c r="N445" s="41" t="s">
        <v>54</v>
      </c>
      <c r="O445" s="41" t="s">
        <v>55</v>
      </c>
      <c r="P445" s="57">
        <v>44165</v>
      </c>
      <c r="Q445" s="41">
        <f>+H445+L445</f>
        <v>65</v>
      </c>
      <c r="R445" s="41">
        <f>+J445+K445+L445</f>
        <v>19.662499999999998</v>
      </c>
      <c r="S445" s="41">
        <f>+MONTH(B445)</f>
        <v>11</v>
      </c>
      <c r="T445" s="41">
        <f>+YEAR(B445)</f>
        <v>2020</v>
      </c>
      <c r="U445" s="41" t="s">
        <v>364</v>
      </c>
    </row>
    <row r="446" spans="1:21" ht="15" customHeight="1" x14ac:dyDescent="0.3">
      <c r="A446" s="41"/>
      <c r="B446" s="20">
        <v>44523</v>
      </c>
      <c r="C446" s="41"/>
      <c r="D446" s="41" t="s">
        <v>706</v>
      </c>
      <c r="E446" s="41" t="s">
        <v>666</v>
      </c>
      <c r="F446" s="41" t="s">
        <v>363</v>
      </c>
      <c r="G446" s="41" t="s">
        <v>53</v>
      </c>
      <c r="H446" s="55">
        <v>86.96</v>
      </c>
      <c r="I446" s="56">
        <v>0.17499999999999999</v>
      </c>
      <c r="J446" s="55">
        <v>17.5</v>
      </c>
      <c r="K446" s="55">
        <v>8.1097199999999958</v>
      </c>
      <c r="L446" s="55">
        <v>13.04</v>
      </c>
      <c r="M446" s="41" t="s">
        <v>10</v>
      </c>
      <c r="N446" s="41" t="s">
        <v>54</v>
      </c>
      <c r="O446" s="41" t="s">
        <v>55</v>
      </c>
      <c r="P446" s="57">
        <v>44530</v>
      </c>
      <c r="Q446" s="41">
        <f>+H446+L446</f>
        <v>100</v>
      </c>
      <c r="R446" s="41">
        <f>+J446+K446+L446</f>
        <v>38.649719999999995</v>
      </c>
      <c r="S446" s="41">
        <f>+MONTH(B446)</f>
        <v>11</v>
      </c>
      <c r="T446" s="41">
        <f>+YEAR(B446)</f>
        <v>2021</v>
      </c>
      <c r="U446" s="41" t="s">
        <v>364</v>
      </c>
    </row>
    <row r="447" spans="1:21" ht="15" customHeight="1" x14ac:dyDescent="0.3">
      <c r="A447" s="41"/>
      <c r="B447" s="20">
        <v>44151</v>
      </c>
      <c r="C447" s="41"/>
      <c r="D447" s="41" t="s">
        <v>707</v>
      </c>
      <c r="E447" s="41" t="s">
        <v>666</v>
      </c>
      <c r="F447" s="41" t="s">
        <v>363</v>
      </c>
      <c r="G447" s="41" t="s">
        <v>53</v>
      </c>
      <c r="H447" s="55">
        <v>850.39</v>
      </c>
      <c r="I447" s="56">
        <v>0.17499999999999999</v>
      </c>
      <c r="J447" s="55">
        <v>171.14124999999999</v>
      </c>
      <c r="K447" s="55">
        <v>86.101725000000016</v>
      </c>
      <c r="L447" s="55">
        <v>127.56</v>
      </c>
      <c r="M447" s="41" t="s">
        <v>10</v>
      </c>
      <c r="N447" s="41" t="s">
        <v>54</v>
      </c>
      <c r="O447" s="41" t="s">
        <v>55</v>
      </c>
      <c r="P447" s="57">
        <v>44165</v>
      </c>
      <c r="Q447" s="41">
        <f>+H447+L447</f>
        <v>977.95</v>
      </c>
      <c r="R447" s="41">
        <f>+J447+K447+L447</f>
        <v>384.802975</v>
      </c>
      <c r="S447" s="41">
        <f>+MONTH(B447)</f>
        <v>11</v>
      </c>
      <c r="T447" s="41">
        <f>+YEAR(B447)</f>
        <v>2020</v>
      </c>
      <c r="U447" s="41" t="s">
        <v>364</v>
      </c>
    </row>
    <row r="448" spans="1:21" ht="15" customHeight="1" x14ac:dyDescent="0.3">
      <c r="A448" s="41"/>
      <c r="B448" s="20">
        <v>44157</v>
      </c>
      <c r="C448" s="41"/>
      <c r="D448" s="41" t="s">
        <v>708</v>
      </c>
      <c r="E448" s="41" t="s">
        <v>709</v>
      </c>
      <c r="F448" s="41" t="s">
        <v>615</v>
      </c>
      <c r="G448" s="41" t="s">
        <v>53</v>
      </c>
      <c r="H448" s="55">
        <v>904.35</v>
      </c>
      <c r="I448" s="56">
        <v>0.15</v>
      </c>
      <c r="J448" s="55">
        <v>156</v>
      </c>
      <c r="K448" s="55">
        <v>117.56587500000001</v>
      </c>
      <c r="L448" s="55">
        <v>135.65</v>
      </c>
      <c r="M448" s="41" t="s">
        <v>10</v>
      </c>
      <c r="N448" s="41" t="s">
        <v>54</v>
      </c>
      <c r="O448" s="41" t="s">
        <v>55</v>
      </c>
      <c r="P448" s="57">
        <v>44165</v>
      </c>
      <c r="Q448" s="41">
        <f>+H448+L448</f>
        <v>1040</v>
      </c>
      <c r="R448" s="41">
        <f>+J448+K448+L448</f>
        <v>409.21587499999998</v>
      </c>
      <c r="S448" s="41">
        <f>+MONTH(B448)</f>
        <v>11</v>
      </c>
      <c r="T448" s="41">
        <f>+YEAR(B448)</f>
        <v>2020</v>
      </c>
      <c r="U448" s="41" t="s">
        <v>364</v>
      </c>
    </row>
    <row r="449" spans="1:21" ht="15" customHeight="1" x14ac:dyDescent="0.3">
      <c r="A449" s="41"/>
      <c r="B449" s="20">
        <v>43966</v>
      </c>
      <c r="C449" s="41"/>
      <c r="D449" s="41" t="s">
        <v>710</v>
      </c>
      <c r="E449" s="41" t="s">
        <v>711</v>
      </c>
      <c r="F449" s="41" t="s">
        <v>363</v>
      </c>
      <c r="G449" s="41" t="s">
        <v>53</v>
      </c>
      <c r="H449" s="55">
        <v>65</v>
      </c>
      <c r="I449" s="56">
        <v>0.17499999999999999</v>
      </c>
      <c r="J449" s="55">
        <v>11.375</v>
      </c>
      <c r="K449" s="55">
        <v>8.2874999999999979</v>
      </c>
      <c r="L449" s="55">
        <v>0</v>
      </c>
      <c r="M449" s="41" t="s">
        <v>10</v>
      </c>
      <c r="N449" s="41" t="s">
        <v>54</v>
      </c>
      <c r="O449" s="41" t="s">
        <v>55</v>
      </c>
      <c r="P449" s="57">
        <v>43982</v>
      </c>
      <c r="Q449" s="41">
        <f>+H449+L449</f>
        <v>65</v>
      </c>
      <c r="R449" s="41">
        <f>+J449+K449+L449</f>
        <v>19.662499999999998</v>
      </c>
      <c r="S449" s="41">
        <f>+MONTH(B449)</f>
        <v>5</v>
      </c>
      <c r="T449" s="41">
        <f>+YEAR(B449)</f>
        <v>2020</v>
      </c>
      <c r="U449" s="41" t="s">
        <v>364</v>
      </c>
    </row>
    <row r="450" spans="1:21" ht="15" customHeight="1" x14ac:dyDescent="0.3">
      <c r="A450" s="41"/>
      <c r="B450" s="20">
        <v>43966</v>
      </c>
      <c r="C450" s="41"/>
      <c r="D450" s="41" t="s">
        <v>712</v>
      </c>
      <c r="E450" s="41" t="s">
        <v>711</v>
      </c>
      <c r="F450" s="41" t="s">
        <v>363</v>
      </c>
      <c r="G450" s="41" t="s">
        <v>53</v>
      </c>
      <c r="H450" s="55">
        <v>65</v>
      </c>
      <c r="I450" s="56">
        <v>0.17499999999999999</v>
      </c>
      <c r="J450" s="55">
        <v>11.375</v>
      </c>
      <c r="K450" s="55">
        <v>8.2874999999999979</v>
      </c>
      <c r="L450" s="55">
        <v>0</v>
      </c>
      <c r="M450" s="41" t="s">
        <v>10</v>
      </c>
      <c r="N450" s="41" t="s">
        <v>54</v>
      </c>
      <c r="O450" s="41" t="s">
        <v>55</v>
      </c>
      <c r="P450" s="57">
        <v>43982</v>
      </c>
      <c r="Q450" s="41">
        <f>+H450+L450</f>
        <v>65</v>
      </c>
      <c r="R450" s="41">
        <f>+J450+K450+L450</f>
        <v>19.662499999999998</v>
      </c>
      <c r="S450" s="41">
        <f>+MONTH(B450)</f>
        <v>5</v>
      </c>
      <c r="T450" s="41">
        <f>+YEAR(B450)</f>
        <v>2020</v>
      </c>
      <c r="U450" s="41" t="s">
        <v>364</v>
      </c>
    </row>
    <row r="451" spans="1:21" ht="15" customHeight="1" x14ac:dyDescent="0.3">
      <c r="A451" s="41"/>
      <c r="B451" s="20">
        <v>44332</v>
      </c>
      <c r="C451" s="41"/>
      <c r="D451" s="41" t="s">
        <v>713</v>
      </c>
      <c r="E451" s="41" t="s">
        <v>711</v>
      </c>
      <c r="F451" s="41" t="s">
        <v>363</v>
      </c>
      <c r="G451" s="41" t="s">
        <v>53</v>
      </c>
      <c r="H451" s="55">
        <v>86.96</v>
      </c>
      <c r="I451" s="56">
        <v>0.17499999999999999</v>
      </c>
      <c r="J451" s="55">
        <v>17.5</v>
      </c>
      <c r="K451" s="55">
        <v>8.1097199999999958</v>
      </c>
      <c r="L451" s="55">
        <v>13.04</v>
      </c>
      <c r="M451" s="41" t="s">
        <v>10</v>
      </c>
      <c r="N451" s="41" t="s">
        <v>54</v>
      </c>
      <c r="O451" s="41" t="s">
        <v>55</v>
      </c>
      <c r="P451" s="57">
        <v>44347</v>
      </c>
      <c r="Q451" s="41">
        <f>+H451+L451</f>
        <v>100</v>
      </c>
      <c r="R451" s="41">
        <f>+J451+K451+L451</f>
        <v>38.649719999999995</v>
      </c>
      <c r="S451" s="41">
        <f>+MONTH(B451)</f>
        <v>5</v>
      </c>
      <c r="T451" s="41">
        <f>+YEAR(B451)</f>
        <v>2021</v>
      </c>
      <c r="U451" s="41" t="s">
        <v>364</v>
      </c>
    </row>
    <row r="452" spans="1:21" ht="15" customHeight="1" x14ac:dyDescent="0.3">
      <c r="A452" s="41"/>
      <c r="B452" s="20">
        <v>44697</v>
      </c>
      <c r="C452" s="41"/>
      <c r="D452" s="41" t="s">
        <v>714</v>
      </c>
      <c r="E452" s="41" t="s">
        <v>711</v>
      </c>
      <c r="F452" s="41" t="s">
        <v>363</v>
      </c>
      <c r="G452" s="41" t="s">
        <v>53</v>
      </c>
      <c r="H452" s="55">
        <v>86.96</v>
      </c>
      <c r="I452" s="56">
        <v>0.17499999999999999</v>
      </c>
      <c r="J452" s="55">
        <v>17.5</v>
      </c>
      <c r="K452" s="55">
        <v>8.5445199999999986</v>
      </c>
      <c r="L452" s="55">
        <v>13.04</v>
      </c>
      <c r="M452" s="41" t="s">
        <v>10</v>
      </c>
      <c r="N452" s="41" t="s">
        <v>54</v>
      </c>
      <c r="O452" s="41" t="s">
        <v>55</v>
      </c>
      <c r="P452" s="57">
        <v>44712</v>
      </c>
      <c r="Q452" s="41">
        <f>+H452+L452</f>
        <v>100</v>
      </c>
      <c r="R452" s="41">
        <f>+J452+K452+L452</f>
        <v>39.084519999999998</v>
      </c>
      <c r="S452" s="41">
        <f>+MONTH(B452)</f>
        <v>5</v>
      </c>
      <c r="T452" s="41">
        <f>+YEAR(B452)</f>
        <v>2022</v>
      </c>
      <c r="U452" s="41" t="s">
        <v>364</v>
      </c>
    </row>
    <row r="453" spans="1:21" ht="15" customHeight="1" x14ac:dyDescent="0.3">
      <c r="A453" s="41"/>
      <c r="B453" s="20">
        <v>43966</v>
      </c>
      <c r="C453" s="41"/>
      <c r="D453" s="41" t="s">
        <v>715</v>
      </c>
      <c r="E453" s="41" t="s">
        <v>711</v>
      </c>
      <c r="F453" s="41" t="s">
        <v>363</v>
      </c>
      <c r="G453" s="41" t="s">
        <v>53</v>
      </c>
      <c r="H453" s="55">
        <v>65</v>
      </c>
      <c r="I453" s="56">
        <v>0.17499999999999999</v>
      </c>
      <c r="J453" s="55">
        <v>11.375</v>
      </c>
      <c r="K453" s="55">
        <v>8.2874999999999979</v>
      </c>
      <c r="L453" s="55">
        <v>0</v>
      </c>
      <c r="M453" s="41" t="s">
        <v>10</v>
      </c>
      <c r="N453" s="41" t="s">
        <v>54</v>
      </c>
      <c r="O453" s="41" t="s">
        <v>55</v>
      </c>
      <c r="P453" s="57">
        <v>43982</v>
      </c>
      <c r="Q453" s="41">
        <f>+H453+L453</f>
        <v>65</v>
      </c>
      <c r="R453" s="41">
        <f>+J453+K453+L453</f>
        <v>19.662499999999998</v>
      </c>
      <c r="S453" s="41">
        <f>+MONTH(B453)</f>
        <v>5</v>
      </c>
      <c r="T453" s="41">
        <f>+YEAR(B453)</f>
        <v>2020</v>
      </c>
      <c r="U453" s="41" t="s">
        <v>364</v>
      </c>
    </row>
    <row r="454" spans="1:21" ht="15" customHeight="1" x14ac:dyDescent="0.3">
      <c r="A454" s="41"/>
      <c r="B454" s="20">
        <v>44332</v>
      </c>
      <c r="C454" s="41"/>
      <c r="D454" s="41" t="s">
        <v>716</v>
      </c>
      <c r="E454" s="41" t="s">
        <v>711</v>
      </c>
      <c r="F454" s="41" t="s">
        <v>363</v>
      </c>
      <c r="G454" s="41" t="s">
        <v>53</v>
      </c>
      <c r="H454" s="55">
        <v>86.96</v>
      </c>
      <c r="I454" s="56">
        <v>0.17499999999999999</v>
      </c>
      <c r="J454" s="55">
        <v>17.5</v>
      </c>
      <c r="K454" s="55">
        <v>8.1097199999999958</v>
      </c>
      <c r="L454" s="55">
        <v>13.04</v>
      </c>
      <c r="M454" s="41" t="s">
        <v>10</v>
      </c>
      <c r="N454" s="41" t="s">
        <v>54</v>
      </c>
      <c r="O454" s="41" t="s">
        <v>55</v>
      </c>
      <c r="P454" s="57">
        <v>44347</v>
      </c>
      <c r="Q454" s="41">
        <f>+H454+L454</f>
        <v>100</v>
      </c>
      <c r="R454" s="41">
        <f>+J454+K454+L454</f>
        <v>38.649719999999995</v>
      </c>
      <c r="S454" s="41">
        <f>+MONTH(B454)</f>
        <v>5</v>
      </c>
      <c r="T454" s="41">
        <f>+YEAR(B454)</f>
        <v>2021</v>
      </c>
      <c r="U454" s="41" t="s">
        <v>364</v>
      </c>
    </row>
    <row r="455" spans="1:21" ht="15" customHeight="1" x14ac:dyDescent="0.3">
      <c r="A455" s="41"/>
      <c r="B455" s="20">
        <v>44697</v>
      </c>
      <c r="C455" s="41"/>
      <c r="D455" s="41" t="s">
        <v>717</v>
      </c>
      <c r="E455" s="41" t="s">
        <v>711</v>
      </c>
      <c r="F455" s="41" t="s">
        <v>363</v>
      </c>
      <c r="G455" s="41" t="s">
        <v>53</v>
      </c>
      <c r="H455" s="55">
        <v>86.96</v>
      </c>
      <c r="I455" s="56">
        <v>0.17499999999999999</v>
      </c>
      <c r="J455" s="55">
        <v>17.5</v>
      </c>
      <c r="K455" s="55">
        <v>8.5445199999999986</v>
      </c>
      <c r="L455" s="55">
        <v>13.04</v>
      </c>
      <c r="M455" s="41" t="s">
        <v>10</v>
      </c>
      <c r="N455" s="41" t="s">
        <v>54</v>
      </c>
      <c r="O455" s="41" t="s">
        <v>55</v>
      </c>
      <c r="P455" s="57">
        <v>44712</v>
      </c>
      <c r="Q455" s="41">
        <f>+H455+L455</f>
        <v>100</v>
      </c>
      <c r="R455" s="41">
        <f>+J455+K455+L455</f>
        <v>39.084519999999998</v>
      </c>
      <c r="S455" s="41">
        <f>+MONTH(B455)</f>
        <v>5</v>
      </c>
      <c r="T455" s="41">
        <f>+YEAR(B455)</f>
        <v>2022</v>
      </c>
      <c r="U455" s="41" t="s">
        <v>364</v>
      </c>
    </row>
    <row r="456" spans="1:21" ht="15" customHeight="1" x14ac:dyDescent="0.3">
      <c r="A456" s="41"/>
      <c r="B456" s="20">
        <v>43966</v>
      </c>
      <c r="C456" s="41"/>
      <c r="D456" s="41" t="s">
        <v>718</v>
      </c>
      <c r="E456" s="41" t="s">
        <v>711</v>
      </c>
      <c r="F456" s="41" t="s">
        <v>363</v>
      </c>
      <c r="G456" s="41" t="s">
        <v>53</v>
      </c>
      <c r="H456" s="55">
        <v>65</v>
      </c>
      <c r="I456" s="56">
        <v>0.17499999999999999</v>
      </c>
      <c r="J456" s="55">
        <v>11.375</v>
      </c>
      <c r="K456" s="55">
        <v>8.2874999999999979</v>
      </c>
      <c r="L456" s="55">
        <v>0</v>
      </c>
      <c r="M456" s="41" t="s">
        <v>10</v>
      </c>
      <c r="N456" s="41" t="s">
        <v>54</v>
      </c>
      <c r="O456" s="41" t="s">
        <v>55</v>
      </c>
      <c r="P456" s="57">
        <v>43982</v>
      </c>
      <c r="Q456" s="41">
        <f>+H456+L456</f>
        <v>65</v>
      </c>
      <c r="R456" s="41">
        <f>+J456+K456+L456</f>
        <v>19.662499999999998</v>
      </c>
      <c r="S456" s="41">
        <f>+MONTH(B456)</f>
        <v>5</v>
      </c>
      <c r="T456" s="41">
        <f>+YEAR(B456)</f>
        <v>2020</v>
      </c>
      <c r="U456" s="41" t="s">
        <v>364</v>
      </c>
    </row>
    <row r="457" spans="1:21" ht="15" customHeight="1" x14ac:dyDescent="0.3">
      <c r="A457" s="41"/>
      <c r="B457" s="20">
        <v>44332</v>
      </c>
      <c r="C457" s="41"/>
      <c r="D457" s="41" t="s">
        <v>719</v>
      </c>
      <c r="E457" s="41" t="s">
        <v>711</v>
      </c>
      <c r="F457" s="41" t="s">
        <v>363</v>
      </c>
      <c r="G457" s="41" t="s">
        <v>53</v>
      </c>
      <c r="H457" s="55">
        <v>86.96</v>
      </c>
      <c r="I457" s="56">
        <v>0.17499999999999999</v>
      </c>
      <c r="J457" s="55">
        <v>17.5</v>
      </c>
      <c r="K457" s="55">
        <v>8.1097199999999958</v>
      </c>
      <c r="L457" s="55">
        <v>13.04</v>
      </c>
      <c r="M457" s="41" t="s">
        <v>10</v>
      </c>
      <c r="N457" s="41" t="s">
        <v>54</v>
      </c>
      <c r="O457" s="41" t="s">
        <v>55</v>
      </c>
      <c r="P457" s="57">
        <v>44347</v>
      </c>
      <c r="Q457" s="41">
        <f>+H457+L457</f>
        <v>100</v>
      </c>
      <c r="R457" s="41">
        <f>+J457+K457+L457</f>
        <v>38.649719999999995</v>
      </c>
      <c r="S457" s="41">
        <f>+MONTH(B457)</f>
        <v>5</v>
      </c>
      <c r="T457" s="41">
        <f>+YEAR(B457)</f>
        <v>2021</v>
      </c>
      <c r="U457" s="41" t="s">
        <v>364</v>
      </c>
    </row>
    <row r="458" spans="1:21" ht="15" customHeight="1" x14ac:dyDescent="0.3">
      <c r="A458" s="41"/>
      <c r="B458" s="20">
        <v>44697</v>
      </c>
      <c r="C458" s="41"/>
      <c r="D458" s="41" t="s">
        <v>720</v>
      </c>
      <c r="E458" s="41" t="s">
        <v>711</v>
      </c>
      <c r="F458" s="41" t="s">
        <v>363</v>
      </c>
      <c r="G458" s="41" t="s">
        <v>53</v>
      </c>
      <c r="H458" s="55">
        <v>86.96</v>
      </c>
      <c r="I458" s="56">
        <v>0.17499999999999999</v>
      </c>
      <c r="J458" s="55">
        <v>17.5</v>
      </c>
      <c r="K458" s="55">
        <v>8.5445199999999986</v>
      </c>
      <c r="L458" s="55">
        <v>13.04</v>
      </c>
      <c r="M458" s="41" t="s">
        <v>10</v>
      </c>
      <c r="N458" s="41" t="s">
        <v>54</v>
      </c>
      <c r="O458" s="41" t="s">
        <v>55</v>
      </c>
      <c r="P458" s="57">
        <v>44712</v>
      </c>
      <c r="Q458" s="41">
        <f>+H458+L458</f>
        <v>100</v>
      </c>
      <c r="R458" s="41">
        <f>+J458+K458+L458</f>
        <v>39.084519999999998</v>
      </c>
      <c r="S458" s="41">
        <f>+MONTH(B458)</f>
        <v>5</v>
      </c>
      <c r="T458" s="41">
        <f>+YEAR(B458)</f>
        <v>2022</v>
      </c>
      <c r="U458" s="41" t="s">
        <v>364</v>
      </c>
    </row>
    <row r="459" spans="1:21" ht="15" customHeight="1" x14ac:dyDescent="0.3">
      <c r="A459" s="41"/>
      <c r="B459" s="20">
        <v>44522</v>
      </c>
      <c r="C459" s="41"/>
      <c r="D459" s="41" t="s">
        <v>721</v>
      </c>
      <c r="E459" s="41" t="s">
        <v>709</v>
      </c>
      <c r="F459" s="41" t="s">
        <v>615</v>
      </c>
      <c r="G459" s="41" t="s">
        <v>53</v>
      </c>
      <c r="H459" s="55">
        <v>904.35</v>
      </c>
      <c r="I459" s="56">
        <v>0.15</v>
      </c>
      <c r="J459" s="55">
        <v>156</v>
      </c>
      <c r="K459" s="55">
        <v>110.331075</v>
      </c>
      <c r="L459" s="55">
        <v>135.65</v>
      </c>
      <c r="M459" s="41" t="s">
        <v>10</v>
      </c>
      <c r="N459" s="41" t="s">
        <v>54</v>
      </c>
      <c r="O459" s="41" t="s">
        <v>55</v>
      </c>
      <c r="P459" s="57">
        <v>44530</v>
      </c>
      <c r="Q459" s="41">
        <f>+H459+L459</f>
        <v>1040</v>
      </c>
      <c r="R459" s="41">
        <f>+J459+K459+L459</f>
        <v>401.98107500000003</v>
      </c>
      <c r="S459" s="41">
        <f>+MONTH(B459)</f>
        <v>11</v>
      </c>
      <c r="T459" s="41">
        <f>+YEAR(B459)</f>
        <v>2021</v>
      </c>
      <c r="U459" s="41" t="s">
        <v>364</v>
      </c>
    </row>
    <row r="460" spans="1:21" ht="15" customHeight="1" x14ac:dyDescent="0.3">
      <c r="A460" s="41"/>
      <c r="B460" s="20">
        <v>43816</v>
      </c>
      <c r="C460" s="41"/>
      <c r="D460" s="41" t="s">
        <v>722</v>
      </c>
      <c r="E460" s="41" t="s">
        <v>709</v>
      </c>
      <c r="F460" s="41" t="s">
        <v>615</v>
      </c>
      <c r="G460" s="41" t="s">
        <v>53</v>
      </c>
      <c r="H460" s="55">
        <v>904.35</v>
      </c>
      <c r="I460" s="56">
        <v>0.15</v>
      </c>
      <c r="J460" s="55">
        <v>156</v>
      </c>
      <c r="K460" s="55">
        <v>118.47022500000003</v>
      </c>
      <c r="L460" s="55">
        <v>135.65</v>
      </c>
      <c r="M460" s="41" t="s">
        <v>10</v>
      </c>
      <c r="N460" s="41" t="s">
        <v>54</v>
      </c>
      <c r="O460" s="41" t="s">
        <v>55</v>
      </c>
      <c r="P460" s="57">
        <v>43830</v>
      </c>
      <c r="Q460" s="41">
        <f>+H460+L460</f>
        <v>1040</v>
      </c>
      <c r="R460" s="41">
        <f>+J460+K460+L460</f>
        <v>410.120225</v>
      </c>
      <c r="S460" s="41">
        <f>+MONTH(B460)</f>
        <v>12</v>
      </c>
      <c r="T460" s="41">
        <f>+YEAR(B460)</f>
        <v>2019</v>
      </c>
      <c r="U460" s="41" t="s">
        <v>364</v>
      </c>
    </row>
    <row r="461" spans="1:21" ht="15" customHeight="1" x14ac:dyDescent="0.3">
      <c r="A461" s="41"/>
      <c r="B461" s="20">
        <v>44182</v>
      </c>
      <c r="C461" s="41"/>
      <c r="D461" s="41" t="s">
        <v>723</v>
      </c>
      <c r="E461" s="41" t="s">
        <v>709</v>
      </c>
      <c r="F461" s="41" t="s">
        <v>615</v>
      </c>
      <c r="G461" s="41" t="s">
        <v>53</v>
      </c>
      <c r="H461" s="55">
        <v>994.78</v>
      </c>
      <c r="I461" s="56">
        <v>0.15</v>
      </c>
      <c r="J461" s="55">
        <v>171.6</v>
      </c>
      <c r="K461" s="55">
        <v>129.32095000000001</v>
      </c>
      <c r="L461" s="55">
        <v>149.22</v>
      </c>
      <c r="M461" s="41" t="s">
        <v>10</v>
      </c>
      <c r="N461" s="41" t="s">
        <v>54</v>
      </c>
      <c r="O461" s="41" t="s">
        <v>55</v>
      </c>
      <c r="P461" s="57">
        <v>44196</v>
      </c>
      <c r="Q461" s="41">
        <f>+H461+L461</f>
        <v>1144</v>
      </c>
      <c r="R461" s="41">
        <f>+J461+K461+L461</f>
        <v>450.14094999999998</v>
      </c>
      <c r="S461" s="41">
        <f>+MONTH(B461)</f>
        <v>12</v>
      </c>
      <c r="T461" s="41">
        <f>+YEAR(B461)</f>
        <v>2020</v>
      </c>
      <c r="U461" s="41" t="s">
        <v>364</v>
      </c>
    </row>
    <row r="462" spans="1:21" ht="15" customHeight="1" x14ac:dyDescent="0.3">
      <c r="A462" s="41"/>
      <c r="B462" s="20">
        <v>44547</v>
      </c>
      <c r="C462" s="41"/>
      <c r="D462" s="41" t="s">
        <v>724</v>
      </c>
      <c r="E462" s="41" t="s">
        <v>709</v>
      </c>
      <c r="F462" s="41" t="s">
        <v>615</v>
      </c>
      <c r="G462" s="41" t="s">
        <v>53</v>
      </c>
      <c r="H462" s="55">
        <v>904.35</v>
      </c>
      <c r="I462" s="56">
        <v>0.15</v>
      </c>
      <c r="J462" s="55">
        <v>156</v>
      </c>
      <c r="K462" s="55">
        <v>110.331075</v>
      </c>
      <c r="L462" s="55">
        <v>135.65</v>
      </c>
      <c r="M462" s="41" t="s">
        <v>10</v>
      </c>
      <c r="N462" s="41" t="s">
        <v>54</v>
      </c>
      <c r="O462" s="41" t="s">
        <v>55</v>
      </c>
      <c r="P462" s="57">
        <v>44561</v>
      </c>
      <c r="Q462" s="41">
        <f>+H462+L462</f>
        <v>1040</v>
      </c>
      <c r="R462" s="41">
        <f>+J462+K462+L462</f>
        <v>401.98107500000003</v>
      </c>
      <c r="S462" s="41">
        <f>+MONTH(B462)</f>
        <v>12</v>
      </c>
      <c r="T462" s="41">
        <f>+YEAR(B462)</f>
        <v>2021</v>
      </c>
      <c r="U462" s="41" t="s">
        <v>364</v>
      </c>
    </row>
    <row r="463" spans="1:21" ht="15" customHeight="1" x14ac:dyDescent="0.3">
      <c r="A463" s="41"/>
      <c r="B463" s="20">
        <v>44254</v>
      </c>
      <c r="C463" s="41"/>
      <c r="D463" s="41" t="s">
        <v>725</v>
      </c>
      <c r="E463" s="41" t="s">
        <v>709</v>
      </c>
      <c r="F463" s="41" t="s">
        <v>615</v>
      </c>
      <c r="G463" s="41" t="s">
        <v>53</v>
      </c>
      <c r="H463" s="55">
        <v>497.39</v>
      </c>
      <c r="I463" s="56">
        <v>0.15</v>
      </c>
      <c r="J463" s="55">
        <v>85.8</v>
      </c>
      <c r="K463" s="55">
        <v>60.681354999999982</v>
      </c>
      <c r="L463" s="55">
        <v>74.61</v>
      </c>
      <c r="M463" s="41" t="s">
        <v>10</v>
      </c>
      <c r="N463" s="41" t="s">
        <v>54</v>
      </c>
      <c r="O463" s="41" t="s">
        <v>55</v>
      </c>
      <c r="P463" s="57">
        <v>44255</v>
      </c>
      <c r="Q463" s="41">
        <f>+H463+L463</f>
        <v>572</v>
      </c>
      <c r="R463" s="41">
        <f>+J463+K463+L463</f>
        <v>221.09135499999996</v>
      </c>
      <c r="S463" s="41">
        <f>+MONTH(B463)</f>
        <v>2</v>
      </c>
      <c r="T463" s="41">
        <f>+YEAR(B463)</f>
        <v>2021</v>
      </c>
      <c r="U463" s="41" t="s">
        <v>364</v>
      </c>
    </row>
    <row r="464" spans="1:21" ht="15" customHeight="1" x14ac:dyDescent="0.3">
      <c r="A464" s="41"/>
      <c r="B464" s="20">
        <v>44619</v>
      </c>
      <c r="C464" s="41"/>
      <c r="D464" s="41" t="s">
        <v>726</v>
      </c>
      <c r="E464" s="41" t="s">
        <v>709</v>
      </c>
      <c r="F464" s="41" t="s">
        <v>615</v>
      </c>
      <c r="G464" s="41" t="s">
        <v>53</v>
      </c>
      <c r="H464" s="55">
        <v>452.17</v>
      </c>
      <c r="I464" s="56">
        <v>0.15</v>
      </c>
      <c r="J464" s="55">
        <v>78</v>
      </c>
      <c r="K464" s="55">
        <v>57.424914999999999</v>
      </c>
      <c r="L464" s="55">
        <v>67.83</v>
      </c>
      <c r="M464" s="41" t="s">
        <v>10</v>
      </c>
      <c r="N464" s="41" t="s">
        <v>54</v>
      </c>
      <c r="O464" s="41" t="s">
        <v>55</v>
      </c>
      <c r="P464" s="57">
        <v>44620</v>
      </c>
      <c r="Q464" s="41">
        <f>+H464+L464</f>
        <v>520</v>
      </c>
      <c r="R464" s="41">
        <f>+J464+K464+L464</f>
        <v>203.25491499999998</v>
      </c>
      <c r="S464" s="41">
        <f>+MONTH(B464)</f>
        <v>2</v>
      </c>
      <c r="T464" s="41">
        <f>+YEAR(B464)</f>
        <v>2022</v>
      </c>
      <c r="U464" s="41" t="s">
        <v>364</v>
      </c>
    </row>
    <row r="465" spans="1:21" ht="15" customHeight="1" x14ac:dyDescent="0.3">
      <c r="A465" s="41"/>
      <c r="B465" s="20">
        <v>44984</v>
      </c>
      <c r="C465" s="41"/>
      <c r="D465" s="41" t="s">
        <v>727</v>
      </c>
      <c r="E465" s="41" t="s">
        <v>709</v>
      </c>
      <c r="F465" s="41" t="s">
        <v>615</v>
      </c>
      <c r="G465" s="41" t="s">
        <v>53</v>
      </c>
      <c r="H465" s="55">
        <v>452.17</v>
      </c>
      <c r="I465" s="56">
        <v>0.15</v>
      </c>
      <c r="J465" s="55">
        <v>78</v>
      </c>
      <c r="K465" s="55">
        <v>57.424914999999999</v>
      </c>
      <c r="L465" s="55">
        <v>67.83</v>
      </c>
      <c r="M465" s="41" t="s">
        <v>10</v>
      </c>
      <c r="N465" s="41" t="s">
        <v>54</v>
      </c>
      <c r="O465" s="41" t="s">
        <v>55</v>
      </c>
      <c r="P465" s="57">
        <v>44985</v>
      </c>
      <c r="Q465" s="41">
        <f>+H465+L465</f>
        <v>520</v>
      </c>
      <c r="R465" s="41">
        <f>+J465+K465+L465</f>
        <v>203.25491499999998</v>
      </c>
      <c r="S465" s="41">
        <f>+MONTH(B465)</f>
        <v>2</v>
      </c>
      <c r="T465" s="41">
        <f>+YEAR(B465)</f>
        <v>2023</v>
      </c>
      <c r="U465" s="41" t="s">
        <v>364</v>
      </c>
    </row>
    <row r="466" spans="1:21" ht="15" customHeight="1" x14ac:dyDescent="0.3">
      <c r="A466" s="41"/>
      <c r="B466" s="20">
        <v>44332</v>
      </c>
      <c r="C466" s="41"/>
      <c r="D466" s="41" t="s">
        <v>728</v>
      </c>
      <c r="E466" s="41" t="s">
        <v>711</v>
      </c>
      <c r="F466" s="41" t="s">
        <v>363</v>
      </c>
      <c r="G466" s="41" t="s">
        <v>53</v>
      </c>
      <c r="H466" s="55">
        <v>86.96</v>
      </c>
      <c r="I466" s="56">
        <v>0.17499999999999999</v>
      </c>
      <c r="J466" s="55">
        <v>17.5</v>
      </c>
      <c r="K466" s="55">
        <v>8.1097199999999958</v>
      </c>
      <c r="L466" s="55">
        <v>13.04</v>
      </c>
      <c r="M466" s="41" t="s">
        <v>10</v>
      </c>
      <c r="N466" s="41" t="s">
        <v>54</v>
      </c>
      <c r="O466" s="41" t="s">
        <v>55</v>
      </c>
      <c r="P466" s="57">
        <v>44347</v>
      </c>
      <c r="Q466" s="41">
        <f>+H466+L466</f>
        <v>100</v>
      </c>
      <c r="R466" s="41">
        <f>+J466+K466+L466</f>
        <v>38.649719999999995</v>
      </c>
      <c r="S466" s="41">
        <f>+MONTH(B466)</f>
        <v>5</v>
      </c>
      <c r="T466" s="41">
        <f>+YEAR(B466)</f>
        <v>2021</v>
      </c>
      <c r="U466" s="41" t="s">
        <v>364</v>
      </c>
    </row>
    <row r="467" spans="1:21" ht="15" customHeight="1" x14ac:dyDescent="0.3">
      <c r="A467" s="41"/>
      <c r="B467" s="20">
        <v>44697</v>
      </c>
      <c r="C467" s="41"/>
      <c r="D467" s="41" t="s">
        <v>729</v>
      </c>
      <c r="E467" s="41" t="s">
        <v>711</v>
      </c>
      <c r="F467" s="41" t="s">
        <v>363</v>
      </c>
      <c r="G467" s="41" t="s">
        <v>53</v>
      </c>
      <c r="H467" s="55">
        <v>86.96</v>
      </c>
      <c r="I467" s="56">
        <v>0.17499999999999999</v>
      </c>
      <c r="J467" s="55">
        <v>17.5</v>
      </c>
      <c r="K467" s="55">
        <v>8.5445199999999986</v>
      </c>
      <c r="L467" s="55">
        <v>13.04</v>
      </c>
      <c r="M467" s="41" t="s">
        <v>10</v>
      </c>
      <c r="N467" s="41" t="s">
        <v>54</v>
      </c>
      <c r="O467" s="41" t="s">
        <v>55</v>
      </c>
      <c r="P467" s="57">
        <v>44712</v>
      </c>
      <c r="Q467" s="41">
        <f>+H467+L467</f>
        <v>100</v>
      </c>
      <c r="R467" s="41">
        <f>+J467+K467+L467</f>
        <v>39.084519999999998</v>
      </c>
      <c r="S467" s="41">
        <f>+MONTH(B467)</f>
        <v>5</v>
      </c>
      <c r="T467" s="41">
        <f>+YEAR(B467)</f>
        <v>2022</v>
      </c>
      <c r="U467" s="41" t="s">
        <v>364</v>
      </c>
    </row>
    <row r="468" spans="1:21" ht="15" customHeight="1" x14ac:dyDescent="0.3">
      <c r="A468" s="41"/>
      <c r="B468" s="20">
        <v>45306</v>
      </c>
      <c r="C468" s="41"/>
      <c r="D468" s="41" t="s">
        <v>730</v>
      </c>
      <c r="E468" s="41" t="s">
        <v>412</v>
      </c>
      <c r="F468" s="41" t="s">
        <v>363</v>
      </c>
      <c r="G468" s="41" t="s">
        <v>53</v>
      </c>
      <c r="H468" s="55">
        <v>1490.87</v>
      </c>
      <c r="I468" s="56">
        <v>0.17499999999999999</v>
      </c>
      <c r="J468" s="55">
        <v>300.03749999999997</v>
      </c>
      <c r="K468" s="55">
        <v>160.08225374999995</v>
      </c>
      <c r="L468" s="55">
        <v>223.63</v>
      </c>
      <c r="M468" s="41" t="s">
        <v>10</v>
      </c>
      <c r="N468" s="41" t="s">
        <v>54</v>
      </c>
      <c r="O468" s="41" t="s">
        <v>55</v>
      </c>
      <c r="P468" s="57">
        <v>45322</v>
      </c>
      <c r="Q468" s="41">
        <f>+H468+L468</f>
        <v>1714.5</v>
      </c>
      <c r="R468" s="41">
        <f>+J468+K468+L468</f>
        <v>683.74975374999985</v>
      </c>
      <c r="S468" s="41">
        <f>+MONTH(B468)</f>
        <v>1</v>
      </c>
      <c r="T468" s="41">
        <f>+YEAR(B468)</f>
        <v>2024</v>
      </c>
      <c r="U468" s="41" t="s">
        <v>364</v>
      </c>
    </row>
    <row r="469" spans="1:21" ht="15" customHeight="1" x14ac:dyDescent="0.3">
      <c r="A469" s="41"/>
      <c r="B469" s="20">
        <v>43826</v>
      </c>
      <c r="C469" s="41"/>
      <c r="D469" s="41" t="s">
        <v>731</v>
      </c>
      <c r="E469" s="41" t="s">
        <v>732</v>
      </c>
      <c r="F469" s="41" t="s">
        <v>363</v>
      </c>
      <c r="G469" s="41" t="s">
        <v>53</v>
      </c>
      <c r="H469" s="55">
        <v>1069.58</v>
      </c>
      <c r="I469" s="56">
        <v>0.17499999999999999</v>
      </c>
      <c r="J469" s="55">
        <v>215.25349999999997</v>
      </c>
      <c r="K469" s="55">
        <v>109.36403000000001</v>
      </c>
      <c r="L469" s="55">
        <v>160.44</v>
      </c>
      <c r="M469" s="41" t="s">
        <v>10</v>
      </c>
      <c r="N469" s="41" t="s">
        <v>54</v>
      </c>
      <c r="O469" s="41" t="s">
        <v>55</v>
      </c>
      <c r="P469" s="57">
        <v>43830</v>
      </c>
      <c r="Q469" s="41">
        <f>+H469+L469</f>
        <v>1230.02</v>
      </c>
      <c r="R469" s="41">
        <f>+J469+K469+L469</f>
        <v>485.05752999999999</v>
      </c>
      <c r="S469" s="41">
        <f>+MONTH(B469)</f>
        <v>12</v>
      </c>
      <c r="T469" s="41">
        <f>+YEAR(B469)</f>
        <v>2019</v>
      </c>
      <c r="U469" s="41" t="s">
        <v>364</v>
      </c>
    </row>
    <row r="470" spans="1:21" ht="15" customHeight="1" x14ac:dyDescent="0.3">
      <c r="A470" s="41"/>
      <c r="B470" s="20">
        <v>44192</v>
      </c>
      <c r="C470" s="41"/>
      <c r="D470" s="41" t="s">
        <v>733</v>
      </c>
      <c r="E470" s="41" t="s">
        <v>732</v>
      </c>
      <c r="F470" s="41" t="s">
        <v>363</v>
      </c>
      <c r="G470" s="41" t="s">
        <v>53</v>
      </c>
      <c r="H470" s="55">
        <v>1176.54</v>
      </c>
      <c r="I470" s="56">
        <v>0.17499999999999999</v>
      </c>
      <c r="J470" s="55">
        <v>236.77849999999998</v>
      </c>
      <c r="K470" s="55">
        <v>119.12485000000001</v>
      </c>
      <c r="L470" s="55">
        <v>176.48</v>
      </c>
      <c r="M470" s="41" t="s">
        <v>10</v>
      </c>
      <c r="N470" s="41" t="s">
        <v>54</v>
      </c>
      <c r="O470" s="41" t="s">
        <v>55</v>
      </c>
      <c r="P470" s="57">
        <v>44196</v>
      </c>
      <c r="Q470" s="41">
        <f>+H470+L470</f>
        <v>1353.02</v>
      </c>
      <c r="R470" s="41">
        <f>+J470+K470+L470</f>
        <v>532.38334999999995</v>
      </c>
      <c r="S470" s="41">
        <f>+MONTH(B470)</f>
        <v>12</v>
      </c>
      <c r="T470" s="41">
        <f>+YEAR(B470)</f>
        <v>2020</v>
      </c>
      <c r="U470" s="41" t="s">
        <v>364</v>
      </c>
    </row>
    <row r="471" spans="1:21" ht="15" customHeight="1" x14ac:dyDescent="0.3">
      <c r="A471" s="41"/>
      <c r="B471" s="20">
        <v>44557</v>
      </c>
      <c r="C471" s="41"/>
      <c r="D471" s="41" t="s">
        <v>734</v>
      </c>
      <c r="E471" s="41" t="s">
        <v>732</v>
      </c>
      <c r="F471" s="41" t="s">
        <v>363</v>
      </c>
      <c r="G471" s="41" t="s">
        <v>53</v>
      </c>
      <c r="H471" s="55">
        <v>1069.58</v>
      </c>
      <c r="I471" s="56">
        <v>0.17499999999999999</v>
      </c>
      <c r="J471" s="55">
        <v>215.25349999999997</v>
      </c>
      <c r="K471" s="55">
        <v>99.737809999999968</v>
      </c>
      <c r="L471" s="55">
        <v>160.44</v>
      </c>
      <c r="M471" s="41" t="s">
        <v>10</v>
      </c>
      <c r="N471" s="41" t="s">
        <v>54</v>
      </c>
      <c r="O471" s="41" t="s">
        <v>55</v>
      </c>
      <c r="P471" s="57">
        <v>44561</v>
      </c>
      <c r="Q471" s="41">
        <f>+H471+L471</f>
        <v>1230.02</v>
      </c>
      <c r="R471" s="41">
        <f>+J471+K471+L471</f>
        <v>475.43130999999994</v>
      </c>
      <c r="S471" s="41">
        <f>+MONTH(B471)</f>
        <v>12</v>
      </c>
      <c r="T471" s="41">
        <f>+YEAR(B471)</f>
        <v>2021</v>
      </c>
      <c r="U471" s="41" t="s">
        <v>364</v>
      </c>
    </row>
    <row r="472" spans="1:21" ht="15" customHeight="1" x14ac:dyDescent="0.3">
      <c r="A472" s="41"/>
      <c r="B472" s="20">
        <v>43916</v>
      </c>
      <c r="C472" s="41"/>
      <c r="D472" s="41" t="s">
        <v>735</v>
      </c>
      <c r="E472" s="41" t="s">
        <v>732</v>
      </c>
      <c r="F472" s="41" t="s">
        <v>363</v>
      </c>
      <c r="G472" s="41" t="s">
        <v>53</v>
      </c>
      <c r="H472" s="55">
        <v>75.14</v>
      </c>
      <c r="I472" s="56">
        <v>0.17499999999999999</v>
      </c>
      <c r="J472" s="55">
        <v>15.121749999999999</v>
      </c>
      <c r="K472" s="55">
        <v>7.6081000000000003</v>
      </c>
      <c r="L472" s="55">
        <v>11.27</v>
      </c>
      <c r="M472" s="41" t="s">
        <v>10</v>
      </c>
      <c r="N472" s="41" t="s">
        <v>54</v>
      </c>
      <c r="O472" s="41" t="s">
        <v>55</v>
      </c>
      <c r="P472" s="57">
        <v>43921</v>
      </c>
      <c r="Q472" s="41">
        <f>+H472+L472</f>
        <v>86.41</v>
      </c>
      <c r="R472" s="41">
        <f>+J472+K472+L472</f>
        <v>33.999849999999995</v>
      </c>
      <c r="S472" s="41">
        <f>+MONTH(B472)</f>
        <v>3</v>
      </c>
      <c r="T472" s="41">
        <f>+YEAR(B472)</f>
        <v>2020</v>
      </c>
      <c r="U472" s="41" t="s">
        <v>364</v>
      </c>
    </row>
    <row r="473" spans="1:21" ht="15" customHeight="1" x14ac:dyDescent="0.3">
      <c r="A473" s="41"/>
      <c r="B473" s="20">
        <v>44282</v>
      </c>
      <c r="C473" s="41"/>
      <c r="D473" s="41" t="s">
        <v>736</v>
      </c>
      <c r="E473" s="41" t="s">
        <v>732</v>
      </c>
      <c r="F473" s="41" t="s">
        <v>363</v>
      </c>
      <c r="G473" s="41" t="s">
        <v>53</v>
      </c>
      <c r="H473" s="55">
        <v>82.65</v>
      </c>
      <c r="I473" s="56">
        <v>0.17499999999999999</v>
      </c>
      <c r="J473" s="55">
        <v>16.633750000000003</v>
      </c>
      <c r="K473" s="55">
        <v>7.7066749999999971</v>
      </c>
      <c r="L473" s="55">
        <v>12.4</v>
      </c>
      <c r="M473" s="41" t="s">
        <v>10</v>
      </c>
      <c r="N473" s="41" t="s">
        <v>54</v>
      </c>
      <c r="O473" s="41" t="s">
        <v>55</v>
      </c>
      <c r="P473" s="57">
        <v>44286</v>
      </c>
      <c r="Q473" s="41">
        <f>+H473+L473</f>
        <v>95.050000000000011</v>
      </c>
      <c r="R473" s="41">
        <f>+J473+K473+L473</f>
        <v>36.740425000000002</v>
      </c>
      <c r="S473" s="41">
        <f>+MONTH(B473)</f>
        <v>3</v>
      </c>
      <c r="T473" s="41">
        <f>+YEAR(B473)</f>
        <v>2021</v>
      </c>
      <c r="U473" s="41" t="s">
        <v>364</v>
      </c>
    </row>
    <row r="474" spans="1:21" ht="15" customHeight="1" x14ac:dyDescent="0.3">
      <c r="A474" s="41"/>
      <c r="B474" s="20">
        <v>44647</v>
      </c>
      <c r="C474" s="41"/>
      <c r="D474" s="41" t="s">
        <v>737</v>
      </c>
      <c r="E474" s="41" t="s">
        <v>732</v>
      </c>
      <c r="F474" s="41" t="s">
        <v>363</v>
      </c>
      <c r="G474" s="41" t="s">
        <v>53</v>
      </c>
      <c r="H474" s="55">
        <v>86.96</v>
      </c>
      <c r="I474" s="56">
        <v>0.17499999999999999</v>
      </c>
      <c r="J474" s="55">
        <v>17.5</v>
      </c>
      <c r="K474" s="55">
        <v>8.5445199999999986</v>
      </c>
      <c r="L474" s="55">
        <v>13.04</v>
      </c>
      <c r="M474" s="41" t="s">
        <v>10</v>
      </c>
      <c r="N474" s="41" t="s">
        <v>54</v>
      </c>
      <c r="O474" s="41" t="s">
        <v>55</v>
      </c>
      <c r="P474" s="57">
        <v>44651</v>
      </c>
      <c r="Q474" s="41">
        <f>+H474+L474</f>
        <v>100</v>
      </c>
      <c r="R474" s="41">
        <f>+J474+K474+L474</f>
        <v>39.084519999999998</v>
      </c>
      <c r="S474" s="41">
        <f>+MONTH(B474)</f>
        <v>3</v>
      </c>
      <c r="T474" s="41">
        <f>+YEAR(B474)</f>
        <v>2022</v>
      </c>
      <c r="U474" s="41" t="s">
        <v>364</v>
      </c>
    </row>
    <row r="475" spans="1:21" ht="15" customHeight="1" x14ac:dyDescent="0.3">
      <c r="A475" s="41"/>
      <c r="B475" s="20">
        <v>45012</v>
      </c>
      <c r="C475" s="41"/>
      <c r="D475" s="41" t="s">
        <v>738</v>
      </c>
      <c r="E475" s="41" t="s">
        <v>732</v>
      </c>
      <c r="F475" s="41" t="s">
        <v>363</v>
      </c>
      <c r="G475" s="41" t="s">
        <v>53</v>
      </c>
      <c r="H475" s="55">
        <v>86.96</v>
      </c>
      <c r="I475" s="56">
        <v>0.17499999999999999</v>
      </c>
      <c r="J475" s="55">
        <v>17.5</v>
      </c>
      <c r="K475" s="55">
        <v>8.5445199999999986</v>
      </c>
      <c r="L475" s="55">
        <v>13.04</v>
      </c>
      <c r="M475" s="41" t="s">
        <v>10</v>
      </c>
      <c r="N475" s="41" t="s">
        <v>54</v>
      </c>
      <c r="O475" s="41" t="s">
        <v>55</v>
      </c>
      <c r="P475" s="57">
        <v>45016</v>
      </c>
      <c r="Q475" s="41">
        <f>+H475+L475</f>
        <v>100</v>
      </c>
      <c r="R475" s="41">
        <f>+J475+K475+L475</f>
        <v>39.084519999999998</v>
      </c>
      <c r="S475" s="41">
        <f>+MONTH(B475)</f>
        <v>3</v>
      </c>
      <c r="T475" s="41">
        <f>+YEAR(B475)</f>
        <v>2023</v>
      </c>
      <c r="U475" s="41" t="s">
        <v>364</v>
      </c>
    </row>
    <row r="476" spans="1:21" ht="15" customHeight="1" x14ac:dyDescent="0.3">
      <c r="A476" s="41"/>
      <c r="B476" s="20">
        <v>43913</v>
      </c>
      <c r="C476" s="41"/>
      <c r="D476" s="41" t="s">
        <v>739</v>
      </c>
      <c r="E476" s="41" t="s">
        <v>732</v>
      </c>
      <c r="F476" s="41" t="s">
        <v>363</v>
      </c>
      <c r="G476" s="41" t="s">
        <v>53</v>
      </c>
      <c r="H476" s="55">
        <v>75.14</v>
      </c>
      <c r="I476" s="56">
        <v>0.17499999999999999</v>
      </c>
      <c r="J476" s="55">
        <v>15.121749999999999</v>
      </c>
      <c r="K476" s="55">
        <v>7.6081000000000003</v>
      </c>
      <c r="L476" s="55">
        <v>11.27</v>
      </c>
      <c r="M476" s="41" t="s">
        <v>10</v>
      </c>
      <c r="N476" s="41" t="s">
        <v>54</v>
      </c>
      <c r="O476" s="41" t="s">
        <v>55</v>
      </c>
      <c r="P476" s="57">
        <v>43921</v>
      </c>
      <c r="Q476" s="41">
        <f>+H476+L476</f>
        <v>86.41</v>
      </c>
      <c r="R476" s="41">
        <f>+J476+K476+L476</f>
        <v>33.999849999999995</v>
      </c>
      <c r="S476" s="41">
        <f>+MONTH(B476)</f>
        <v>3</v>
      </c>
      <c r="T476" s="41">
        <f>+YEAR(B476)</f>
        <v>2020</v>
      </c>
      <c r="U476" s="41" t="s">
        <v>364</v>
      </c>
    </row>
    <row r="477" spans="1:21" ht="15" customHeight="1" x14ac:dyDescent="0.3">
      <c r="A477" s="41"/>
      <c r="B477" s="20">
        <v>44279</v>
      </c>
      <c r="C477" s="41"/>
      <c r="D477" s="41" t="s">
        <v>740</v>
      </c>
      <c r="E477" s="41" t="s">
        <v>732</v>
      </c>
      <c r="F477" s="41" t="s">
        <v>363</v>
      </c>
      <c r="G477" s="41" t="s">
        <v>53</v>
      </c>
      <c r="H477" s="55">
        <v>82.65</v>
      </c>
      <c r="I477" s="56">
        <v>0.17499999999999999</v>
      </c>
      <c r="J477" s="55">
        <v>16.633750000000003</v>
      </c>
      <c r="K477" s="55">
        <v>7.7066749999999971</v>
      </c>
      <c r="L477" s="55">
        <v>12.4</v>
      </c>
      <c r="M477" s="41" t="s">
        <v>10</v>
      </c>
      <c r="N477" s="41" t="s">
        <v>54</v>
      </c>
      <c r="O477" s="41" t="s">
        <v>55</v>
      </c>
      <c r="P477" s="57">
        <v>44286</v>
      </c>
      <c r="Q477" s="41">
        <f>+H477+L477</f>
        <v>95.050000000000011</v>
      </c>
      <c r="R477" s="41">
        <f>+J477+K477+L477</f>
        <v>36.740425000000002</v>
      </c>
      <c r="S477" s="41">
        <f>+MONTH(B477)</f>
        <v>3</v>
      </c>
      <c r="T477" s="41">
        <f>+YEAR(B477)</f>
        <v>2021</v>
      </c>
      <c r="U477" s="41" t="s">
        <v>364</v>
      </c>
    </row>
    <row r="478" spans="1:21" ht="15" customHeight="1" x14ac:dyDescent="0.3">
      <c r="A478" s="41"/>
      <c r="B478" s="20">
        <v>44644</v>
      </c>
      <c r="C478" s="41"/>
      <c r="D478" s="41" t="s">
        <v>741</v>
      </c>
      <c r="E478" s="41" t="s">
        <v>732</v>
      </c>
      <c r="F478" s="41" t="s">
        <v>363</v>
      </c>
      <c r="G478" s="41" t="s">
        <v>53</v>
      </c>
      <c r="H478" s="55">
        <v>86.96</v>
      </c>
      <c r="I478" s="56">
        <v>0.17499999999999999</v>
      </c>
      <c r="J478" s="55">
        <v>17.5</v>
      </c>
      <c r="K478" s="55">
        <v>8.5445199999999986</v>
      </c>
      <c r="L478" s="55">
        <v>13.04</v>
      </c>
      <c r="M478" s="41" t="s">
        <v>10</v>
      </c>
      <c r="N478" s="41" t="s">
        <v>54</v>
      </c>
      <c r="O478" s="41" t="s">
        <v>55</v>
      </c>
      <c r="P478" s="57">
        <v>44651</v>
      </c>
      <c r="Q478" s="41">
        <f>+H478+L478</f>
        <v>100</v>
      </c>
      <c r="R478" s="41">
        <f>+J478+K478+L478</f>
        <v>39.084519999999998</v>
      </c>
      <c r="S478" s="41">
        <f>+MONTH(B478)</f>
        <v>3</v>
      </c>
      <c r="T478" s="41">
        <f>+YEAR(B478)</f>
        <v>2022</v>
      </c>
      <c r="U478" s="41" t="s">
        <v>364</v>
      </c>
    </row>
    <row r="479" spans="1:21" ht="15" customHeight="1" x14ac:dyDescent="0.3">
      <c r="A479" s="41"/>
      <c r="B479" s="20">
        <v>45009</v>
      </c>
      <c r="C479" s="41"/>
      <c r="D479" s="41" t="s">
        <v>742</v>
      </c>
      <c r="E479" s="41" t="s">
        <v>732</v>
      </c>
      <c r="F479" s="41" t="s">
        <v>363</v>
      </c>
      <c r="G479" s="41" t="s">
        <v>53</v>
      </c>
      <c r="H479" s="55">
        <v>86.96</v>
      </c>
      <c r="I479" s="56">
        <v>0.17499999999999999</v>
      </c>
      <c r="J479" s="55">
        <v>17.5</v>
      </c>
      <c r="K479" s="55">
        <v>8.5445199999999986</v>
      </c>
      <c r="L479" s="55">
        <v>13.04</v>
      </c>
      <c r="M479" s="41" t="s">
        <v>10</v>
      </c>
      <c r="N479" s="41" t="s">
        <v>54</v>
      </c>
      <c r="O479" s="41" t="s">
        <v>55</v>
      </c>
      <c r="P479" s="57">
        <v>45016</v>
      </c>
      <c r="Q479" s="41">
        <f>+H479+L479</f>
        <v>100</v>
      </c>
      <c r="R479" s="41">
        <f>+J479+K479+L479</f>
        <v>39.084519999999998</v>
      </c>
      <c r="S479" s="41">
        <f>+MONTH(B479)</f>
        <v>3</v>
      </c>
      <c r="T479" s="41">
        <f>+YEAR(B479)</f>
        <v>2023</v>
      </c>
      <c r="U479" s="41" t="s">
        <v>364</v>
      </c>
    </row>
    <row r="480" spans="1:21" ht="15" customHeight="1" x14ac:dyDescent="0.3">
      <c r="A480" s="41"/>
      <c r="B480" s="20">
        <v>44936</v>
      </c>
      <c r="C480" s="41"/>
      <c r="D480" s="41" t="s">
        <v>743</v>
      </c>
      <c r="E480" s="41" t="s">
        <v>614</v>
      </c>
      <c r="F480" s="41" t="s">
        <v>615</v>
      </c>
      <c r="G480" s="41" t="s">
        <v>53</v>
      </c>
      <c r="H480" s="55">
        <v>538.59</v>
      </c>
      <c r="I480" s="56">
        <v>0.15</v>
      </c>
      <c r="J480" s="55">
        <v>92.906999999999996</v>
      </c>
      <c r="K480" s="55">
        <v>68.400705000000002</v>
      </c>
      <c r="L480" s="55">
        <v>80.790000000000006</v>
      </c>
      <c r="M480" s="41" t="s">
        <v>10</v>
      </c>
      <c r="N480" s="41" t="s">
        <v>54</v>
      </c>
      <c r="O480" s="41" t="s">
        <v>55</v>
      </c>
      <c r="P480" s="57">
        <v>44957</v>
      </c>
      <c r="Q480" s="41">
        <f>+H480+L480</f>
        <v>619.38</v>
      </c>
      <c r="R480" s="41">
        <f>+J480+K480+L480</f>
        <v>242.09770500000002</v>
      </c>
      <c r="S480" s="41">
        <f>+MONTH(B480)</f>
        <v>1</v>
      </c>
      <c r="T480" s="41">
        <f>+YEAR(B480)</f>
        <v>2023</v>
      </c>
      <c r="U480" s="41" t="s">
        <v>364</v>
      </c>
    </row>
    <row r="481" spans="1:21" ht="15" customHeight="1" x14ac:dyDescent="0.3">
      <c r="A481" s="41"/>
      <c r="B481" s="20">
        <v>43859</v>
      </c>
      <c r="C481" s="41"/>
      <c r="D481" s="41" t="s">
        <v>744</v>
      </c>
      <c r="E481" s="41" t="s">
        <v>745</v>
      </c>
      <c r="F481" s="41" t="s">
        <v>746</v>
      </c>
      <c r="G481" s="41" t="s">
        <v>53</v>
      </c>
      <c r="H481" s="55">
        <v>1454.43</v>
      </c>
      <c r="I481" s="56">
        <v>0.15</v>
      </c>
      <c r="J481" s="55">
        <v>250.88850000000002</v>
      </c>
      <c r="K481" s="55">
        <v>189.07657499999999</v>
      </c>
      <c r="L481" s="55">
        <v>218.16</v>
      </c>
      <c r="M481" s="41" t="s">
        <v>10</v>
      </c>
      <c r="N481" s="41" t="s">
        <v>54</v>
      </c>
      <c r="O481" s="41" t="s">
        <v>55</v>
      </c>
      <c r="P481" s="57">
        <v>43861</v>
      </c>
      <c r="Q481" s="41">
        <f>+H481+L481</f>
        <v>1672.5900000000001</v>
      </c>
      <c r="R481" s="41">
        <f>+J481+K481+L481</f>
        <v>658.12507500000004</v>
      </c>
      <c r="S481" s="41">
        <f>+MONTH(B481)</f>
        <v>1</v>
      </c>
      <c r="T481" s="41">
        <f>+YEAR(B481)</f>
        <v>2020</v>
      </c>
      <c r="U481" s="41" t="s">
        <v>364</v>
      </c>
    </row>
    <row r="482" spans="1:21" ht="15" customHeight="1" x14ac:dyDescent="0.3">
      <c r="A482" s="41"/>
      <c r="B482" s="20">
        <v>44219</v>
      </c>
      <c r="C482" s="41"/>
      <c r="D482" s="41" t="s">
        <v>747</v>
      </c>
      <c r="E482" s="41" t="s">
        <v>745</v>
      </c>
      <c r="F482" s="41" t="s">
        <v>746</v>
      </c>
      <c r="G482" s="41" t="s">
        <v>53</v>
      </c>
      <c r="H482" s="55">
        <v>1599.87</v>
      </c>
      <c r="I482" s="56">
        <v>0.15</v>
      </c>
      <c r="J482" s="55">
        <v>275.97749999999996</v>
      </c>
      <c r="K482" s="55">
        <v>195.18421499999999</v>
      </c>
      <c r="L482" s="55">
        <v>239.98</v>
      </c>
      <c r="M482" s="41" t="s">
        <v>10</v>
      </c>
      <c r="N482" s="41" t="s">
        <v>54</v>
      </c>
      <c r="O482" s="41" t="s">
        <v>55</v>
      </c>
      <c r="P482" s="57">
        <v>44227</v>
      </c>
      <c r="Q482" s="41">
        <f>+H482+L482</f>
        <v>1839.85</v>
      </c>
      <c r="R482" s="41">
        <f>+J482+K482+L482</f>
        <v>711.14171499999998</v>
      </c>
      <c r="S482" s="41">
        <f>+MONTH(B482)</f>
        <v>1</v>
      </c>
      <c r="T482" s="41">
        <f>+YEAR(B482)</f>
        <v>2021</v>
      </c>
      <c r="U482" s="41" t="s">
        <v>364</v>
      </c>
    </row>
    <row r="483" spans="1:21" ht="15" customHeight="1" x14ac:dyDescent="0.3">
      <c r="A483" s="41"/>
      <c r="B483" s="20">
        <v>44584</v>
      </c>
      <c r="C483" s="41"/>
      <c r="D483" s="41" t="s">
        <v>748</v>
      </c>
      <c r="E483" s="41" t="s">
        <v>745</v>
      </c>
      <c r="F483" s="41" t="s">
        <v>746</v>
      </c>
      <c r="G483" s="41" t="s">
        <v>53</v>
      </c>
      <c r="H483" s="55">
        <v>1454.43</v>
      </c>
      <c r="I483" s="56">
        <v>0.15</v>
      </c>
      <c r="J483" s="55">
        <v>250.88850000000002</v>
      </c>
      <c r="K483" s="55">
        <v>184.71328499999998</v>
      </c>
      <c r="L483" s="55">
        <v>218.16</v>
      </c>
      <c r="M483" s="41" t="s">
        <v>10</v>
      </c>
      <c r="N483" s="41" t="s">
        <v>54</v>
      </c>
      <c r="O483" s="41" t="s">
        <v>55</v>
      </c>
      <c r="P483" s="57">
        <v>44592</v>
      </c>
      <c r="Q483" s="41">
        <f>+H483+L483</f>
        <v>1672.5900000000001</v>
      </c>
      <c r="R483" s="41">
        <f>+J483+K483+L483</f>
        <v>653.76178500000003</v>
      </c>
      <c r="S483" s="41">
        <f>+MONTH(B483)</f>
        <v>1</v>
      </c>
      <c r="T483" s="41">
        <f>+YEAR(B483)</f>
        <v>2022</v>
      </c>
      <c r="U483" s="41" t="s">
        <v>364</v>
      </c>
    </row>
    <row r="484" spans="1:21" ht="15" customHeight="1" x14ac:dyDescent="0.3">
      <c r="A484" s="41"/>
      <c r="B484" s="20">
        <v>44949</v>
      </c>
      <c r="C484" s="41"/>
      <c r="D484" s="41" t="s">
        <v>749</v>
      </c>
      <c r="E484" s="41" t="s">
        <v>745</v>
      </c>
      <c r="F484" s="41" t="s">
        <v>746</v>
      </c>
      <c r="G484" s="41" t="s">
        <v>53</v>
      </c>
      <c r="H484" s="55">
        <v>1454.43</v>
      </c>
      <c r="I484" s="56">
        <v>0.15</v>
      </c>
      <c r="J484" s="55">
        <v>250.88850000000002</v>
      </c>
      <c r="K484" s="55">
        <v>184.71328499999998</v>
      </c>
      <c r="L484" s="55">
        <v>218.16</v>
      </c>
      <c r="M484" s="41" t="s">
        <v>10</v>
      </c>
      <c r="N484" s="41" t="s">
        <v>54</v>
      </c>
      <c r="O484" s="41" t="s">
        <v>55</v>
      </c>
      <c r="P484" s="57">
        <v>44957</v>
      </c>
      <c r="Q484" s="41">
        <f>+H484+L484</f>
        <v>1672.5900000000001</v>
      </c>
      <c r="R484" s="41">
        <f>+J484+K484+L484</f>
        <v>653.76178500000003</v>
      </c>
      <c r="S484" s="41">
        <f>+MONTH(B484)</f>
        <v>1</v>
      </c>
      <c r="T484" s="41">
        <f>+YEAR(B484)</f>
        <v>2023</v>
      </c>
      <c r="U484" s="41" t="s">
        <v>364</v>
      </c>
    </row>
    <row r="485" spans="1:21" ht="15" customHeight="1" x14ac:dyDescent="0.3">
      <c r="A485" s="41"/>
      <c r="B485" s="20">
        <v>43859</v>
      </c>
      <c r="C485" s="41"/>
      <c r="D485" s="41" t="s">
        <v>750</v>
      </c>
      <c r="E485" s="41" t="s">
        <v>745</v>
      </c>
      <c r="F485" s="41" t="s">
        <v>746</v>
      </c>
      <c r="G485" s="41" t="s">
        <v>53</v>
      </c>
      <c r="H485" s="55">
        <v>991.31</v>
      </c>
      <c r="I485" s="56">
        <v>0.15</v>
      </c>
      <c r="J485" s="55">
        <v>171</v>
      </c>
      <c r="K485" s="55">
        <v>128.87127499999997</v>
      </c>
      <c r="L485" s="55">
        <v>148.69</v>
      </c>
      <c r="M485" s="41" t="s">
        <v>10</v>
      </c>
      <c r="N485" s="41" t="s">
        <v>54</v>
      </c>
      <c r="O485" s="41" t="s">
        <v>55</v>
      </c>
      <c r="P485" s="57">
        <v>43861</v>
      </c>
      <c r="Q485" s="41">
        <f>+H485+L485</f>
        <v>1140</v>
      </c>
      <c r="R485" s="41">
        <f>+J485+K485+L485</f>
        <v>448.56127499999997</v>
      </c>
      <c r="S485" s="41">
        <f>+MONTH(B485)</f>
        <v>1</v>
      </c>
      <c r="T485" s="41">
        <f>+YEAR(B485)</f>
        <v>2020</v>
      </c>
      <c r="U485" s="41" t="s">
        <v>364</v>
      </c>
    </row>
    <row r="486" spans="1:21" ht="15" customHeight="1" x14ac:dyDescent="0.3">
      <c r="A486" s="41"/>
      <c r="B486" s="20">
        <v>44219</v>
      </c>
      <c r="C486" s="41"/>
      <c r="D486" s="41" t="s">
        <v>751</v>
      </c>
      <c r="E486" s="41" t="s">
        <v>745</v>
      </c>
      <c r="F486" s="41" t="s">
        <v>746</v>
      </c>
      <c r="G486" s="41" t="s">
        <v>53</v>
      </c>
      <c r="H486" s="55">
        <v>1090.43</v>
      </c>
      <c r="I486" s="56">
        <v>0.15</v>
      </c>
      <c r="J486" s="55">
        <v>188.1</v>
      </c>
      <c r="K486" s="55">
        <v>133.03163500000002</v>
      </c>
      <c r="L486" s="55">
        <v>163.57</v>
      </c>
      <c r="M486" s="41" t="s">
        <v>10</v>
      </c>
      <c r="N486" s="41" t="s">
        <v>54</v>
      </c>
      <c r="O486" s="41" t="s">
        <v>55</v>
      </c>
      <c r="P486" s="57">
        <v>44227</v>
      </c>
      <c r="Q486" s="41">
        <f>+H486+L486</f>
        <v>1254</v>
      </c>
      <c r="R486" s="41">
        <f>+J486+K486+L486</f>
        <v>484.70163500000001</v>
      </c>
      <c r="S486" s="41">
        <f>+MONTH(B486)</f>
        <v>1</v>
      </c>
      <c r="T486" s="41">
        <f>+YEAR(B486)</f>
        <v>2021</v>
      </c>
      <c r="U486" s="41" t="s">
        <v>364</v>
      </c>
    </row>
    <row r="487" spans="1:21" ht="15" customHeight="1" x14ac:dyDescent="0.3">
      <c r="A487" s="41"/>
      <c r="B487" s="20">
        <v>44584</v>
      </c>
      <c r="C487" s="41"/>
      <c r="D487" s="41" t="s">
        <v>752</v>
      </c>
      <c r="E487" s="41" t="s">
        <v>745</v>
      </c>
      <c r="F487" s="41" t="s">
        <v>746</v>
      </c>
      <c r="G487" s="41" t="s">
        <v>53</v>
      </c>
      <c r="H487" s="55">
        <v>991.3</v>
      </c>
      <c r="I487" s="56">
        <v>0.15</v>
      </c>
      <c r="J487" s="55">
        <v>171</v>
      </c>
      <c r="K487" s="55">
        <v>125.89434999999997</v>
      </c>
      <c r="L487" s="55">
        <v>148.69999999999999</v>
      </c>
      <c r="M487" s="41" t="s">
        <v>10</v>
      </c>
      <c r="N487" s="41" t="s">
        <v>54</v>
      </c>
      <c r="O487" s="41" t="s">
        <v>55</v>
      </c>
      <c r="P487" s="57">
        <v>44592</v>
      </c>
      <c r="Q487" s="41">
        <f>+H487+L487</f>
        <v>1140</v>
      </c>
      <c r="R487" s="41">
        <f>+J487+K487+L487</f>
        <v>445.59434999999996</v>
      </c>
      <c r="S487" s="41">
        <f>+MONTH(B487)</f>
        <v>1</v>
      </c>
      <c r="T487" s="41">
        <f>+YEAR(B487)</f>
        <v>2022</v>
      </c>
      <c r="U487" s="41" t="s">
        <v>364</v>
      </c>
    </row>
    <row r="488" spans="1:21" ht="15" customHeight="1" x14ac:dyDescent="0.3">
      <c r="A488" s="41"/>
      <c r="B488" s="20">
        <v>44949</v>
      </c>
      <c r="C488" s="41"/>
      <c r="D488" s="41" t="s">
        <v>753</v>
      </c>
      <c r="E488" s="41" t="s">
        <v>745</v>
      </c>
      <c r="F488" s="41" t="s">
        <v>746</v>
      </c>
      <c r="G488" s="41" t="s">
        <v>53</v>
      </c>
      <c r="H488" s="55">
        <v>991.3</v>
      </c>
      <c r="I488" s="56">
        <v>0.15</v>
      </c>
      <c r="J488" s="55">
        <v>171</v>
      </c>
      <c r="K488" s="55">
        <v>125.89434999999997</v>
      </c>
      <c r="L488" s="55">
        <v>148.69999999999999</v>
      </c>
      <c r="M488" s="41" t="s">
        <v>10</v>
      </c>
      <c r="N488" s="41" t="s">
        <v>54</v>
      </c>
      <c r="O488" s="41" t="s">
        <v>55</v>
      </c>
      <c r="P488" s="57">
        <v>44957</v>
      </c>
      <c r="Q488" s="41">
        <f>+H488+L488</f>
        <v>1140</v>
      </c>
      <c r="R488" s="41">
        <f>+J488+K488+L488</f>
        <v>445.59434999999996</v>
      </c>
      <c r="S488" s="41">
        <f>+MONTH(B488)</f>
        <v>1</v>
      </c>
      <c r="T488" s="41">
        <f>+YEAR(B488)</f>
        <v>2023</v>
      </c>
      <c r="U488" s="41" t="s">
        <v>364</v>
      </c>
    </row>
    <row r="489" spans="1:21" ht="15" customHeight="1" x14ac:dyDescent="0.3">
      <c r="A489" s="41"/>
      <c r="B489" s="20">
        <v>45256</v>
      </c>
      <c r="C489" s="41"/>
      <c r="D489" s="41" t="s">
        <v>754</v>
      </c>
      <c r="E489" s="41" t="s">
        <v>755</v>
      </c>
      <c r="F489" s="41" t="s">
        <v>756</v>
      </c>
      <c r="G489" s="41" t="s">
        <v>53</v>
      </c>
      <c r="H489" s="55">
        <v>173.91</v>
      </c>
      <c r="I489" s="56">
        <v>0.16</v>
      </c>
      <c r="J489" s="55">
        <v>32</v>
      </c>
      <c r="K489" s="55">
        <v>20.086044999999999</v>
      </c>
      <c r="L489" s="55">
        <v>26.09</v>
      </c>
      <c r="M489" s="41" t="s">
        <v>10</v>
      </c>
      <c r="N489" s="41" t="s">
        <v>54</v>
      </c>
      <c r="O489" s="41" t="s">
        <v>55</v>
      </c>
      <c r="P489" s="57">
        <v>45260</v>
      </c>
      <c r="Q489" s="41">
        <f>+H489+L489</f>
        <v>200</v>
      </c>
      <c r="R489" s="41">
        <f>+J489+K489+L489</f>
        <v>78.176045000000002</v>
      </c>
      <c r="S489" s="41">
        <f>+MONTH(B489)</f>
        <v>11</v>
      </c>
      <c r="T489" s="41">
        <f>+YEAR(B489)</f>
        <v>2023</v>
      </c>
      <c r="U489" s="41" t="s">
        <v>364</v>
      </c>
    </row>
    <row r="490" spans="1:21" ht="15" customHeight="1" x14ac:dyDescent="0.3">
      <c r="A490" s="41"/>
      <c r="B490" s="20">
        <v>45365</v>
      </c>
      <c r="C490" s="41"/>
      <c r="D490" s="41" t="s">
        <v>757</v>
      </c>
      <c r="E490" s="41" t="s">
        <v>755</v>
      </c>
      <c r="F490" s="41" t="s">
        <v>756</v>
      </c>
      <c r="G490" s="41" t="s">
        <v>53</v>
      </c>
      <c r="H490" s="55">
        <v>173.91</v>
      </c>
      <c r="I490" s="56">
        <v>0.16</v>
      </c>
      <c r="J490" s="55">
        <v>32</v>
      </c>
      <c r="K490" s="55">
        <v>21.672973749999997</v>
      </c>
      <c r="L490" s="55">
        <v>26.09</v>
      </c>
      <c r="M490" s="41" t="s">
        <v>10</v>
      </c>
      <c r="N490" s="41" t="s">
        <v>54</v>
      </c>
      <c r="O490" s="41" t="s">
        <v>55</v>
      </c>
      <c r="P490" s="57">
        <v>45382</v>
      </c>
      <c r="Q490" s="41">
        <f>+H490+L490</f>
        <v>200</v>
      </c>
      <c r="R490" s="41">
        <f>+J490+K490+L490</f>
        <v>79.76297375</v>
      </c>
      <c r="S490" s="41">
        <f>+MONTH(B490)</f>
        <v>3</v>
      </c>
      <c r="T490" s="41">
        <f>+YEAR(B490)</f>
        <v>2024</v>
      </c>
      <c r="U490" s="41" t="s">
        <v>364</v>
      </c>
    </row>
    <row r="491" spans="1:21" ht="15" customHeight="1" x14ac:dyDescent="0.3">
      <c r="A491" s="41"/>
      <c r="B491" s="20">
        <v>43897</v>
      </c>
      <c r="C491" s="41"/>
      <c r="D491" s="41" t="s">
        <v>758</v>
      </c>
      <c r="E491" s="41" t="s">
        <v>759</v>
      </c>
      <c r="F491" s="41" t="s">
        <v>363</v>
      </c>
      <c r="G491" s="41" t="s">
        <v>53</v>
      </c>
      <c r="H491" s="55">
        <v>65</v>
      </c>
      <c r="I491" s="56">
        <v>0.17499999999999999</v>
      </c>
      <c r="J491" s="55">
        <v>11.375</v>
      </c>
      <c r="K491" s="55">
        <v>8.2874999999999979</v>
      </c>
      <c r="L491" s="55">
        <v>0</v>
      </c>
      <c r="M491" s="41" t="s">
        <v>10</v>
      </c>
      <c r="N491" s="41" t="s">
        <v>54</v>
      </c>
      <c r="O491" s="41" t="s">
        <v>55</v>
      </c>
      <c r="P491" s="57">
        <v>43921</v>
      </c>
      <c r="Q491" s="41">
        <f>+H491+L491</f>
        <v>65</v>
      </c>
      <c r="R491" s="41">
        <f>+J491+K491+L491</f>
        <v>19.662499999999998</v>
      </c>
      <c r="S491" s="41">
        <f>+MONTH(B491)</f>
        <v>3</v>
      </c>
      <c r="T491" s="41">
        <f>+YEAR(B491)</f>
        <v>2020</v>
      </c>
      <c r="U491" s="41" t="s">
        <v>364</v>
      </c>
    </row>
    <row r="492" spans="1:21" ht="15" customHeight="1" x14ac:dyDescent="0.3">
      <c r="A492" s="41"/>
      <c r="B492" s="20">
        <v>44263</v>
      </c>
      <c r="C492" s="41"/>
      <c r="D492" s="41" t="s">
        <v>760</v>
      </c>
      <c r="E492" s="41" t="s">
        <v>759</v>
      </c>
      <c r="F492" s="41" t="s">
        <v>363</v>
      </c>
      <c r="G492" s="41" t="s">
        <v>53</v>
      </c>
      <c r="H492" s="55">
        <v>65</v>
      </c>
      <c r="I492" s="56">
        <v>0.17499999999999999</v>
      </c>
      <c r="J492" s="55">
        <v>11.375</v>
      </c>
      <c r="K492" s="55">
        <v>7.7674999999999983</v>
      </c>
      <c r="L492" s="55">
        <v>0</v>
      </c>
      <c r="M492" s="41" t="s">
        <v>10</v>
      </c>
      <c r="N492" s="41" t="s">
        <v>54</v>
      </c>
      <c r="O492" s="41" t="s">
        <v>55</v>
      </c>
      <c r="P492" s="57">
        <v>44286</v>
      </c>
      <c r="Q492" s="41">
        <f>+H492+L492</f>
        <v>65</v>
      </c>
      <c r="R492" s="41">
        <f>+J492+K492+L492</f>
        <v>19.142499999999998</v>
      </c>
      <c r="S492" s="41">
        <f>+MONTH(B492)</f>
        <v>3</v>
      </c>
      <c r="T492" s="41">
        <f>+YEAR(B492)</f>
        <v>2021</v>
      </c>
      <c r="U492" s="41" t="s">
        <v>364</v>
      </c>
    </row>
    <row r="493" spans="1:21" ht="15" customHeight="1" x14ac:dyDescent="0.3">
      <c r="A493" s="41"/>
      <c r="B493" s="20">
        <v>44628</v>
      </c>
      <c r="C493" s="41"/>
      <c r="D493" s="41" t="s">
        <v>761</v>
      </c>
      <c r="E493" s="41" t="s">
        <v>759</v>
      </c>
      <c r="F493" s="41" t="s">
        <v>363</v>
      </c>
      <c r="G493" s="41" t="s">
        <v>53</v>
      </c>
      <c r="H493" s="55">
        <v>86.96</v>
      </c>
      <c r="I493" s="56">
        <v>0.17499999999999999</v>
      </c>
      <c r="J493" s="55">
        <v>17.5</v>
      </c>
      <c r="K493" s="55">
        <v>8.5445199999999986</v>
      </c>
      <c r="L493" s="55">
        <v>13.04</v>
      </c>
      <c r="M493" s="41" t="s">
        <v>10</v>
      </c>
      <c r="N493" s="41" t="s">
        <v>54</v>
      </c>
      <c r="O493" s="41" t="s">
        <v>55</v>
      </c>
      <c r="P493" s="57">
        <v>44651</v>
      </c>
      <c r="Q493" s="41">
        <f>+H493+L493</f>
        <v>100</v>
      </c>
      <c r="R493" s="41">
        <f>+J493+K493+L493</f>
        <v>39.084519999999998</v>
      </c>
      <c r="S493" s="41">
        <f>+MONTH(B493)</f>
        <v>3</v>
      </c>
      <c r="T493" s="41">
        <f>+YEAR(B493)</f>
        <v>2022</v>
      </c>
      <c r="U493" s="41" t="s">
        <v>364</v>
      </c>
    </row>
    <row r="494" spans="1:21" ht="15" customHeight="1" x14ac:dyDescent="0.3">
      <c r="A494" s="41"/>
      <c r="B494" s="20">
        <v>44993</v>
      </c>
      <c r="C494" s="41"/>
      <c r="D494" s="41" t="s">
        <v>762</v>
      </c>
      <c r="E494" s="41" t="s">
        <v>759</v>
      </c>
      <c r="F494" s="41" t="s">
        <v>363</v>
      </c>
      <c r="G494" s="41" t="s">
        <v>53</v>
      </c>
      <c r="H494" s="55">
        <v>86.96</v>
      </c>
      <c r="I494" s="56">
        <v>0.17499999999999999</v>
      </c>
      <c r="J494" s="55">
        <v>17.5</v>
      </c>
      <c r="K494" s="55">
        <v>8.5445199999999986</v>
      </c>
      <c r="L494" s="55">
        <v>13.04</v>
      </c>
      <c r="M494" s="41" t="s">
        <v>10</v>
      </c>
      <c r="N494" s="41" t="s">
        <v>54</v>
      </c>
      <c r="O494" s="41" t="s">
        <v>55</v>
      </c>
      <c r="P494" s="57">
        <v>45016</v>
      </c>
      <c r="Q494" s="41">
        <f>+H494+L494</f>
        <v>100</v>
      </c>
      <c r="R494" s="41">
        <f>+J494+K494+L494</f>
        <v>39.084519999999998</v>
      </c>
      <c r="S494" s="41">
        <f>+MONTH(B494)</f>
        <v>3</v>
      </c>
      <c r="T494" s="41">
        <f>+YEAR(B494)</f>
        <v>2023</v>
      </c>
      <c r="U494" s="41" t="s">
        <v>364</v>
      </c>
    </row>
    <row r="495" spans="1:21" ht="15" customHeight="1" x14ac:dyDescent="0.3">
      <c r="A495" s="41"/>
      <c r="B495" s="20">
        <v>43888</v>
      </c>
      <c r="C495" s="41"/>
      <c r="D495" s="41" t="s">
        <v>763</v>
      </c>
      <c r="E495" s="41" t="s">
        <v>764</v>
      </c>
      <c r="F495" s="41" t="s">
        <v>363</v>
      </c>
      <c r="G495" s="41" t="s">
        <v>53</v>
      </c>
      <c r="H495" s="55">
        <v>65</v>
      </c>
      <c r="I495" s="56">
        <v>0.17499999999999999</v>
      </c>
      <c r="J495" s="55">
        <v>11.375</v>
      </c>
      <c r="K495" s="55">
        <v>8.2874999999999979</v>
      </c>
      <c r="L495" s="55">
        <v>0</v>
      </c>
      <c r="M495" s="41" t="s">
        <v>10</v>
      </c>
      <c r="N495" s="41" t="s">
        <v>54</v>
      </c>
      <c r="O495" s="41" t="s">
        <v>55</v>
      </c>
      <c r="P495" s="57">
        <v>43890</v>
      </c>
      <c r="Q495" s="41">
        <f>+H495+L495</f>
        <v>65</v>
      </c>
      <c r="R495" s="41">
        <f>+J495+K495+L495</f>
        <v>19.662499999999998</v>
      </c>
      <c r="S495" s="41">
        <f>+MONTH(B495)</f>
        <v>2</v>
      </c>
      <c r="T495" s="41">
        <f>+YEAR(B495)</f>
        <v>2020</v>
      </c>
      <c r="U495" s="41" t="s">
        <v>364</v>
      </c>
    </row>
    <row r="496" spans="1:21" ht="15" customHeight="1" x14ac:dyDescent="0.3">
      <c r="A496" s="41"/>
      <c r="B496" s="20">
        <v>44254</v>
      </c>
      <c r="C496" s="41"/>
      <c r="D496" s="41" t="s">
        <v>765</v>
      </c>
      <c r="E496" s="41" t="s">
        <v>764</v>
      </c>
      <c r="F496" s="41" t="s">
        <v>363</v>
      </c>
      <c r="G496" s="41" t="s">
        <v>53</v>
      </c>
      <c r="H496" s="55">
        <v>65</v>
      </c>
      <c r="I496" s="56">
        <v>0.17499999999999999</v>
      </c>
      <c r="J496" s="55">
        <v>11.375</v>
      </c>
      <c r="K496" s="55">
        <v>7.7674999999999983</v>
      </c>
      <c r="L496" s="55">
        <v>0</v>
      </c>
      <c r="M496" s="41" t="s">
        <v>10</v>
      </c>
      <c r="N496" s="41" t="s">
        <v>54</v>
      </c>
      <c r="O496" s="41" t="s">
        <v>55</v>
      </c>
      <c r="P496" s="57">
        <v>44255</v>
      </c>
      <c r="Q496" s="41">
        <f>+H496+L496</f>
        <v>65</v>
      </c>
      <c r="R496" s="41">
        <f>+J496+K496+L496</f>
        <v>19.142499999999998</v>
      </c>
      <c r="S496" s="41">
        <f>+MONTH(B496)</f>
        <v>2</v>
      </c>
      <c r="T496" s="41">
        <f>+YEAR(B496)</f>
        <v>2021</v>
      </c>
      <c r="U496" s="41" t="s">
        <v>364</v>
      </c>
    </row>
    <row r="497" spans="1:21" ht="15" customHeight="1" x14ac:dyDescent="0.3">
      <c r="A497" s="41"/>
      <c r="B497" s="20">
        <v>44619</v>
      </c>
      <c r="C497" s="41"/>
      <c r="D497" s="41" t="s">
        <v>766</v>
      </c>
      <c r="E497" s="41" t="s">
        <v>764</v>
      </c>
      <c r="F497" s="41" t="s">
        <v>363</v>
      </c>
      <c r="G497" s="41" t="s">
        <v>53</v>
      </c>
      <c r="H497" s="55">
        <v>86.96</v>
      </c>
      <c r="I497" s="56">
        <v>0.17499999999999999</v>
      </c>
      <c r="J497" s="55">
        <v>17.5</v>
      </c>
      <c r="K497" s="55">
        <v>8.5445199999999986</v>
      </c>
      <c r="L497" s="55">
        <v>13.04</v>
      </c>
      <c r="M497" s="41" t="s">
        <v>10</v>
      </c>
      <c r="N497" s="41" t="s">
        <v>54</v>
      </c>
      <c r="O497" s="41" t="s">
        <v>55</v>
      </c>
      <c r="P497" s="57">
        <v>44620</v>
      </c>
      <c r="Q497" s="41">
        <f>+H497+L497</f>
        <v>100</v>
      </c>
      <c r="R497" s="41">
        <f>+J497+K497+L497</f>
        <v>39.084519999999998</v>
      </c>
      <c r="S497" s="41">
        <f>+MONTH(B497)</f>
        <v>2</v>
      </c>
      <c r="T497" s="41">
        <f>+YEAR(B497)</f>
        <v>2022</v>
      </c>
      <c r="U497" s="41" t="s">
        <v>364</v>
      </c>
    </row>
    <row r="498" spans="1:21" ht="15" customHeight="1" x14ac:dyDescent="0.3">
      <c r="A498" s="41"/>
      <c r="B498" s="20">
        <v>44984</v>
      </c>
      <c r="C498" s="41"/>
      <c r="D498" s="41" t="s">
        <v>767</v>
      </c>
      <c r="E498" s="41" t="s">
        <v>764</v>
      </c>
      <c r="F498" s="41" t="s">
        <v>363</v>
      </c>
      <c r="G498" s="41" t="s">
        <v>53</v>
      </c>
      <c r="H498" s="55">
        <v>86.96</v>
      </c>
      <c r="I498" s="56">
        <v>0.17499999999999999</v>
      </c>
      <c r="J498" s="55">
        <v>17.5</v>
      </c>
      <c r="K498" s="55">
        <v>8.5445199999999986</v>
      </c>
      <c r="L498" s="55">
        <v>13.04</v>
      </c>
      <c r="M498" s="41" t="s">
        <v>10</v>
      </c>
      <c r="N498" s="41" t="s">
        <v>54</v>
      </c>
      <c r="O498" s="41" t="s">
        <v>55</v>
      </c>
      <c r="P498" s="57">
        <v>44985</v>
      </c>
      <c r="Q498" s="41">
        <f>+H498+L498</f>
        <v>100</v>
      </c>
      <c r="R498" s="41">
        <f>+J498+K498+L498</f>
        <v>39.084519999999998</v>
      </c>
      <c r="S498" s="41">
        <f>+MONTH(B498)</f>
        <v>2</v>
      </c>
      <c r="T498" s="41">
        <f>+YEAR(B498)</f>
        <v>2023</v>
      </c>
      <c r="U498" s="41" t="s">
        <v>364</v>
      </c>
    </row>
    <row r="499" spans="1:21" ht="15" customHeight="1" x14ac:dyDescent="0.3">
      <c r="A499" s="41"/>
      <c r="B499" s="20">
        <v>43888</v>
      </c>
      <c r="C499" s="41"/>
      <c r="D499" s="41" t="s">
        <v>768</v>
      </c>
      <c r="E499" s="41" t="s">
        <v>764</v>
      </c>
      <c r="F499" s="41" t="s">
        <v>363</v>
      </c>
      <c r="G499" s="41" t="s">
        <v>53</v>
      </c>
      <c r="H499" s="55">
        <v>65</v>
      </c>
      <c r="I499" s="56">
        <v>0.17499999999999999</v>
      </c>
      <c r="J499" s="55">
        <v>11.375</v>
      </c>
      <c r="K499" s="55">
        <v>8.2874999999999979</v>
      </c>
      <c r="L499" s="55">
        <v>0</v>
      </c>
      <c r="M499" s="41" t="s">
        <v>10</v>
      </c>
      <c r="N499" s="41" t="s">
        <v>54</v>
      </c>
      <c r="O499" s="41" t="s">
        <v>55</v>
      </c>
      <c r="P499" s="57">
        <v>43890</v>
      </c>
      <c r="Q499" s="41">
        <f>+H499+L499</f>
        <v>65</v>
      </c>
      <c r="R499" s="41">
        <f>+J499+K499+L499</f>
        <v>19.662499999999998</v>
      </c>
      <c r="S499" s="41">
        <f>+MONTH(B499)</f>
        <v>2</v>
      </c>
      <c r="T499" s="41">
        <f>+YEAR(B499)</f>
        <v>2020</v>
      </c>
      <c r="U499" s="41" t="s">
        <v>364</v>
      </c>
    </row>
    <row r="500" spans="1:21" ht="15" customHeight="1" x14ac:dyDescent="0.3">
      <c r="A500" s="41"/>
      <c r="B500" s="20">
        <v>44254</v>
      </c>
      <c r="C500" s="41"/>
      <c r="D500" s="41" t="s">
        <v>769</v>
      </c>
      <c r="E500" s="41" t="s">
        <v>764</v>
      </c>
      <c r="F500" s="41" t="s">
        <v>363</v>
      </c>
      <c r="G500" s="41" t="s">
        <v>53</v>
      </c>
      <c r="H500" s="55">
        <v>65</v>
      </c>
      <c r="I500" s="56">
        <v>0.17499999999999999</v>
      </c>
      <c r="J500" s="55">
        <v>11.375</v>
      </c>
      <c r="K500" s="55">
        <v>7.7674999999999983</v>
      </c>
      <c r="L500" s="55">
        <v>0</v>
      </c>
      <c r="M500" s="41" t="s">
        <v>10</v>
      </c>
      <c r="N500" s="41" t="s">
        <v>54</v>
      </c>
      <c r="O500" s="41" t="s">
        <v>55</v>
      </c>
      <c r="P500" s="57">
        <v>44255</v>
      </c>
      <c r="Q500" s="41">
        <f>+H500+L500</f>
        <v>65</v>
      </c>
      <c r="R500" s="41">
        <f>+J500+K500+L500</f>
        <v>19.142499999999998</v>
      </c>
      <c r="S500" s="41">
        <f>+MONTH(B500)</f>
        <v>2</v>
      </c>
      <c r="T500" s="41">
        <f>+YEAR(B500)</f>
        <v>2021</v>
      </c>
      <c r="U500" s="41" t="s">
        <v>364</v>
      </c>
    </row>
    <row r="501" spans="1:21" ht="15" customHeight="1" x14ac:dyDescent="0.3">
      <c r="A501" s="41"/>
      <c r="B501" s="20">
        <v>44619</v>
      </c>
      <c r="C501" s="41"/>
      <c r="D501" s="41" t="s">
        <v>770</v>
      </c>
      <c r="E501" s="41" t="s">
        <v>764</v>
      </c>
      <c r="F501" s="41" t="s">
        <v>363</v>
      </c>
      <c r="G501" s="41" t="s">
        <v>53</v>
      </c>
      <c r="H501" s="55">
        <v>86.96</v>
      </c>
      <c r="I501" s="56">
        <v>0.17499999999999999</v>
      </c>
      <c r="J501" s="55">
        <v>17.5</v>
      </c>
      <c r="K501" s="55">
        <v>8.5445199999999986</v>
      </c>
      <c r="L501" s="55">
        <v>13.04</v>
      </c>
      <c r="M501" s="41" t="s">
        <v>10</v>
      </c>
      <c r="N501" s="41" t="s">
        <v>54</v>
      </c>
      <c r="O501" s="41" t="s">
        <v>55</v>
      </c>
      <c r="P501" s="57">
        <v>44620</v>
      </c>
      <c r="Q501" s="41">
        <f>+H501+L501</f>
        <v>100</v>
      </c>
      <c r="R501" s="41">
        <f>+J501+K501+L501</f>
        <v>39.084519999999998</v>
      </c>
      <c r="S501" s="41">
        <f>+MONTH(B501)</f>
        <v>2</v>
      </c>
      <c r="T501" s="41">
        <f>+YEAR(B501)</f>
        <v>2022</v>
      </c>
      <c r="U501" s="41" t="s">
        <v>364</v>
      </c>
    </row>
    <row r="502" spans="1:21" ht="15" customHeight="1" x14ac:dyDescent="0.3">
      <c r="A502" s="41"/>
      <c r="B502" s="20">
        <v>44984</v>
      </c>
      <c r="C502" s="41"/>
      <c r="D502" s="41" t="s">
        <v>771</v>
      </c>
      <c r="E502" s="41" t="s">
        <v>764</v>
      </c>
      <c r="F502" s="41" t="s">
        <v>363</v>
      </c>
      <c r="G502" s="41" t="s">
        <v>53</v>
      </c>
      <c r="H502" s="55">
        <v>86.96</v>
      </c>
      <c r="I502" s="56">
        <v>0.17499999999999999</v>
      </c>
      <c r="J502" s="55">
        <v>17.5</v>
      </c>
      <c r="K502" s="55">
        <v>8.5445199999999986</v>
      </c>
      <c r="L502" s="55">
        <v>13.04</v>
      </c>
      <c r="M502" s="41" t="s">
        <v>10</v>
      </c>
      <c r="N502" s="41" t="s">
        <v>54</v>
      </c>
      <c r="O502" s="41" t="s">
        <v>55</v>
      </c>
      <c r="P502" s="57">
        <v>44985</v>
      </c>
      <c r="Q502" s="41">
        <f>+H502+L502</f>
        <v>100</v>
      </c>
      <c r="R502" s="41">
        <f>+J502+K502+L502</f>
        <v>39.084519999999998</v>
      </c>
      <c r="S502" s="41">
        <f>+MONTH(B502)</f>
        <v>2</v>
      </c>
      <c r="T502" s="41">
        <f>+YEAR(B502)</f>
        <v>2023</v>
      </c>
      <c r="U502" s="41" t="s">
        <v>364</v>
      </c>
    </row>
    <row r="503" spans="1:21" ht="15" customHeight="1" x14ac:dyDescent="0.3">
      <c r="A503" s="41"/>
      <c r="B503" s="20">
        <v>44581</v>
      </c>
      <c r="C503" s="41"/>
      <c r="D503" s="41" t="s">
        <v>772</v>
      </c>
      <c r="E503" s="41" t="s">
        <v>373</v>
      </c>
      <c r="F503" s="41" t="s">
        <v>363</v>
      </c>
      <c r="G503" s="41" t="s">
        <v>53</v>
      </c>
      <c r="H503" s="55">
        <v>40000</v>
      </c>
      <c r="I503" s="56">
        <v>0.17499999999999999</v>
      </c>
      <c r="J503" s="55">
        <v>8049.9999999999991</v>
      </c>
      <c r="K503" s="55">
        <v>3930.0000000000009</v>
      </c>
      <c r="L503" s="55">
        <v>6000</v>
      </c>
      <c r="M503" s="41" t="s">
        <v>10</v>
      </c>
      <c r="N503" s="41" t="s">
        <v>54</v>
      </c>
      <c r="O503" s="41" t="s">
        <v>55</v>
      </c>
      <c r="P503" s="57">
        <v>44592</v>
      </c>
      <c r="Q503" s="41">
        <f>+H503+L503</f>
        <v>46000</v>
      </c>
      <c r="R503" s="41">
        <f>+J503+K503+L503</f>
        <v>17980</v>
      </c>
      <c r="S503" s="41">
        <f>+MONTH(B503)</f>
        <v>1</v>
      </c>
      <c r="T503" s="41">
        <f>+YEAR(B503)</f>
        <v>2022</v>
      </c>
      <c r="U503" s="41" t="s">
        <v>364</v>
      </c>
    </row>
    <row r="504" spans="1:21" ht="15" customHeight="1" x14ac:dyDescent="0.3">
      <c r="A504" s="41"/>
      <c r="B504" s="20">
        <v>44946</v>
      </c>
      <c r="C504" s="41"/>
      <c r="D504" s="41" t="s">
        <v>773</v>
      </c>
      <c r="E504" s="41" t="s">
        <v>373</v>
      </c>
      <c r="F504" s="41" t="s">
        <v>363</v>
      </c>
      <c r="G504" s="41" t="s">
        <v>53</v>
      </c>
      <c r="H504" s="55">
        <v>40000</v>
      </c>
      <c r="I504" s="56">
        <v>0.17499999999999999</v>
      </c>
      <c r="J504" s="55">
        <v>8049.9999999999991</v>
      </c>
      <c r="K504" s="55">
        <v>3930.0000000000009</v>
      </c>
      <c r="L504" s="55">
        <v>6000</v>
      </c>
      <c r="M504" s="41" t="s">
        <v>10</v>
      </c>
      <c r="N504" s="41" t="s">
        <v>54</v>
      </c>
      <c r="O504" s="41" t="s">
        <v>55</v>
      </c>
      <c r="P504" s="57">
        <v>44957</v>
      </c>
      <c r="Q504" s="41">
        <f>+H504+L504</f>
        <v>46000</v>
      </c>
      <c r="R504" s="41">
        <f>+J504+K504+L504</f>
        <v>17980</v>
      </c>
      <c r="S504" s="41">
        <f>+MONTH(B504)</f>
        <v>1</v>
      </c>
      <c r="T504" s="41">
        <f>+YEAR(B504)</f>
        <v>2023</v>
      </c>
      <c r="U504" s="41" t="s">
        <v>364</v>
      </c>
    </row>
    <row r="505" spans="1:21" ht="15" customHeight="1" x14ac:dyDescent="0.3">
      <c r="A505" s="41"/>
      <c r="B505" s="20">
        <v>45311</v>
      </c>
      <c r="C505" s="41"/>
      <c r="D505" s="41" t="s">
        <v>774</v>
      </c>
      <c r="E505" s="41" t="s">
        <v>373</v>
      </c>
      <c r="F505" s="41" t="s">
        <v>363</v>
      </c>
      <c r="G505" s="41" t="s">
        <v>53</v>
      </c>
      <c r="H505" s="55">
        <v>40000</v>
      </c>
      <c r="I505" s="56">
        <v>0.17499999999999999</v>
      </c>
      <c r="J505" s="55">
        <v>8049.9999999999991</v>
      </c>
      <c r="K505" s="55">
        <v>4295.0000000000009</v>
      </c>
      <c r="L505" s="55">
        <v>6000</v>
      </c>
      <c r="M505" s="41" t="s">
        <v>10</v>
      </c>
      <c r="N505" s="41" t="s">
        <v>54</v>
      </c>
      <c r="O505" s="41" t="s">
        <v>55</v>
      </c>
      <c r="P505" s="57">
        <v>45322</v>
      </c>
      <c r="Q505" s="41">
        <f>+H505+L505</f>
        <v>46000</v>
      </c>
      <c r="R505" s="41">
        <f>+J505+K505+L505</f>
        <v>18345</v>
      </c>
      <c r="S505" s="41">
        <f>+MONTH(B505)</f>
        <v>1</v>
      </c>
      <c r="T505" s="41">
        <f>+YEAR(B505)</f>
        <v>2024</v>
      </c>
      <c r="U505" s="41" t="s">
        <v>364</v>
      </c>
    </row>
    <row r="506" spans="1:21" ht="15" customHeight="1" x14ac:dyDescent="0.3">
      <c r="A506" s="41"/>
      <c r="B506" s="20">
        <v>45418</v>
      </c>
      <c r="C506" s="41"/>
      <c r="D506" s="41" t="s">
        <v>775</v>
      </c>
      <c r="E506" s="41" t="s">
        <v>776</v>
      </c>
      <c r="F506" s="41" t="s">
        <v>363</v>
      </c>
      <c r="G506" s="41" t="s">
        <v>53</v>
      </c>
      <c r="H506" s="55">
        <v>197.65</v>
      </c>
      <c r="I506" s="56">
        <v>0.17499999999999999</v>
      </c>
      <c r="J506" s="55">
        <v>39.777499999999996</v>
      </c>
      <c r="K506" s="55">
        <v>21.22223125</v>
      </c>
      <c r="L506" s="55">
        <v>29.65</v>
      </c>
      <c r="M506" s="41" t="s">
        <v>10</v>
      </c>
      <c r="N506" s="41" t="s">
        <v>54</v>
      </c>
      <c r="O506" s="41" t="s">
        <v>55</v>
      </c>
      <c r="P506" s="57">
        <v>45443</v>
      </c>
      <c r="Q506" s="41">
        <f>+H506+L506</f>
        <v>227.3</v>
      </c>
      <c r="R506" s="41">
        <f>+J506+K506+L506</f>
        <v>90.649731250000002</v>
      </c>
      <c r="S506" s="41">
        <f>+MONTH(B506)</f>
        <v>5</v>
      </c>
      <c r="T506" s="41">
        <f>+YEAR(B506)</f>
        <v>2024</v>
      </c>
      <c r="U506" s="41" t="s">
        <v>364</v>
      </c>
    </row>
    <row r="507" spans="1:21" ht="15" customHeight="1" x14ac:dyDescent="0.3">
      <c r="A507" s="41"/>
      <c r="B507" s="20">
        <v>45468</v>
      </c>
      <c r="C507" s="41"/>
      <c r="D507" s="41" t="s">
        <v>777</v>
      </c>
      <c r="E507" s="41" t="s">
        <v>776</v>
      </c>
      <c r="F507" s="41" t="s">
        <v>363</v>
      </c>
      <c r="G507" s="41" t="s">
        <v>53</v>
      </c>
      <c r="H507" s="55">
        <v>106.36</v>
      </c>
      <c r="I507" s="56">
        <v>0.17499999999999999</v>
      </c>
      <c r="J507" s="55">
        <v>21.404249999999998</v>
      </c>
      <c r="K507" s="55">
        <v>11.421104999999997</v>
      </c>
      <c r="L507" s="55">
        <v>15.95</v>
      </c>
      <c r="M507" s="41" t="s">
        <v>10</v>
      </c>
      <c r="N507" s="41" t="s">
        <v>54</v>
      </c>
      <c r="O507" s="41" t="s">
        <v>55</v>
      </c>
      <c r="P507" s="57">
        <v>45473</v>
      </c>
      <c r="Q507" s="41">
        <f>+H507+L507</f>
        <v>122.31</v>
      </c>
      <c r="R507" s="41">
        <f>+J507+K507+L507</f>
        <v>48.77535499999999</v>
      </c>
      <c r="S507" s="41">
        <f>+MONTH(B507)</f>
        <v>6</v>
      </c>
      <c r="T507" s="41">
        <f>+YEAR(B507)</f>
        <v>2024</v>
      </c>
      <c r="U507" s="41" t="s">
        <v>364</v>
      </c>
    </row>
    <row r="508" spans="1:21" ht="15" customHeight="1" x14ac:dyDescent="0.3">
      <c r="A508" s="41"/>
      <c r="B508" s="20">
        <v>45432</v>
      </c>
      <c r="C508" s="41"/>
      <c r="D508" s="41" t="s">
        <v>778</v>
      </c>
      <c r="E508" s="41" t="s">
        <v>776</v>
      </c>
      <c r="F508" s="41" t="s">
        <v>363</v>
      </c>
      <c r="G508" s="41" t="s">
        <v>53</v>
      </c>
      <c r="H508" s="55">
        <v>86.96</v>
      </c>
      <c r="I508" s="56">
        <v>0.17499999999999999</v>
      </c>
      <c r="J508" s="55">
        <v>17.5</v>
      </c>
      <c r="K508" s="55">
        <v>9.3380299999999963</v>
      </c>
      <c r="L508" s="55">
        <v>13.04</v>
      </c>
      <c r="M508" s="41" t="s">
        <v>10</v>
      </c>
      <c r="N508" s="41" t="s">
        <v>54</v>
      </c>
      <c r="O508" s="41" t="s">
        <v>55</v>
      </c>
      <c r="P508" s="57">
        <v>45443</v>
      </c>
      <c r="Q508" s="41">
        <f>+H508+L508</f>
        <v>100</v>
      </c>
      <c r="R508" s="41">
        <f>+J508+K508+L508</f>
        <v>39.878029999999995</v>
      </c>
      <c r="S508" s="41">
        <f>+MONTH(B508)</f>
        <v>5</v>
      </c>
      <c r="T508" s="41">
        <f>+YEAR(B508)</f>
        <v>2024</v>
      </c>
      <c r="U508" s="41" t="s">
        <v>364</v>
      </c>
    </row>
    <row r="509" spans="1:21" ht="15" customHeight="1" x14ac:dyDescent="0.3">
      <c r="A509" s="41"/>
      <c r="B509" s="20">
        <v>44283</v>
      </c>
      <c r="C509" s="41"/>
      <c r="D509" s="41" t="s">
        <v>779</v>
      </c>
      <c r="E509" s="41" t="s">
        <v>780</v>
      </c>
      <c r="F509" s="41" t="s">
        <v>363</v>
      </c>
      <c r="G509" s="41" t="s">
        <v>53</v>
      </c>
      <c r="H509" s="55">
        <v>714.19</v>
      </c>
      <c r="I509" s="56">
        <v>0.17499999999999999</v>
      </c>
      <c r="J509" s="55">
        <v>143.73099999999999</v>
      </c>
      <c r="K509" s="55">
        <v>66.597955000000013</v>
      </c>
      <c r="L509" s="55">
        <v>107.13</v>
      </c>
      <c r="M509" s="41" t="s">
        <v>10</v>
      </c>
      <c r="N509" s="41" t="s">
        <v>54</v>
      </c>
      <c r="O509" s="41" t="s">
        <v>55</v>
      </c>
      <c r="P509" s="57">
        <v>44286</v>
      </c>
      <c r="Q509" s="41">
        <f>+H509+L509</f>
        <v>821.32</v>
      </c>
      <c r="R509" s="41">
        <f>+J509+K509+L509</f>
        <v>317.458955</v>
      </c>
      <c r="S509" s="41">
        <f>+MONTH(B509)</f>
        <v>3</v>
      </c>
      <c r="T509" s="41">
        <f>+YEAR(B509)</f>
        <v>2021</v>
      </c>
      <c r="U509" s="41" t="s">
        <v>364</v>
      </c>
    </row>
    <row r="510" spans="1:21" ht="15" customHeight="1" x14ac:dyDescent="0.3">
      <c r="A510" s="41"/>
      <c r="B510" s="20">
        <v>44648</v>
      </c>
      <c r="C510" s="41"/>
      <c r="D510" s="41" t="s">
        <v>781</v>
      </c>
      <c r="E510" s="41" t="s">
        <v>780</v>
      </c>
      <c r="F510" s="41" t="s">
        <v>363</v>
      </c>
      <c r="G510" s="41" t="s">
        <v>53</v>
      </c>
      <c r="H510" s="55">
        <v>649.27</v>
      </c>
      <c r="I510" s="56">
        <v>0.17499999999999999</v>
      </c>
      <c r="J510" s="55">
        <v>130.66549999999998</v>
      </c>
      <c r="K510" s="55">
        <v>63.790864999999997</v>
      </c>
      <c r="L510" s="55">
        <v>97.39</v>
      </c>
      <c r="M510" s="41" t="s">
        <v>10</v>
      </c>
      <c r="N510" s="41" t="s">
        <v>54</v>
      </c>
      <c r="O510" s="41" t="s">
        <v>55</v>
      </c>
      <c r="P510" s="57">
        <v>44651</v>
      </c>
      <c r="Q510" s="41">
        <f>+H510+L510</f>
        <v>746.66</v>
      </c>
      <c r="R510" s="41">
        <f>+J510+K510+L510</f>
        <v>291.84636499999999</v>
      </c>
      <c r="S510" s="41">
        <f>+MONTH(B510)</f>
        <v>3</v>
      </c>
      <c r="T510" s="41">
        <f>+YEAR(B510)</f>
        <v>2022</v>
      </c>
      <c r="U510" s="41" t="s">
        <v>364</v>
      </c>
    </row>
    <row r="511" spans="1:21" ht="15" customHeight="1" x14ac:dyDescent="0.3">
      <c r="A511" s="41"/>
      <c r="B511" s="20">
        <v>45013</v>
      </c>
      <c r="C511" s="41"/>
      <c r="D511" s="41" t="s">
        <v>782</v>
      </c>
      <c r="E511" s="41" t="s">
        <v>780</v>
      </c>
      <c r="F511" s="41" t="s">
        <v>363</v>
      </c>
      <c r="G511" s="41" t="s">
        <v>53</v>
      </c>
      <c r="H511" s="55">
        <v>649.27</v>
      </c>
      <c r="I511" s="56">
        <v>0.17499999999999999</v>
      </c>
      <c r="J511" s="55">
        <v>130.66549999999998</v>
      </c>
      <c r="K511" s="55">
        <v>63.790864999999997</v>
      </c>
      <c r="L511" s="55">
        <v>97.39</v>
      </c>
      <c r="M511" s="41" t="s">
        <v>10</v>
      </c>
      <c r="N511" s="41" t="s">
        <v>54</v>
      </c>
      <c r="O511" s="41" t="s">
        <v>55</v>
      </c>
      <c r="P511" s="57">
        <v>45016</v>
      </c>
      <c r="Q511" s="41">
        <f>+H511+L511</f>
        <v>746.66</v>
      </c>
      <c r="R511" s="41">
        <f>+J511+K511+L511</f>
        <v>291.84636499999999</v>
      </c>
      <c r="S511" s="41">
        <f>+MONTH(B511)</f>
        <v>3</v>
      </c>
      <c r="T511" s="41">
        <f>+YEAR(B511)</f>
        <v>2023</v>
      </c>
      <c r="U511" s="41" t="s">
        <v>364</v>
      </c>
    </row>
    <row r="512" spans="1:21" ht="15" customHeight="1" x14ac:dyDescent="0.3">
      <c r="A512" s="41"/>
      <c r="B512" s="20">
        <v>45379</v>
      </c>
      <c r="C512" s="41"/>
      <c r="D512" s="41" t="s">
        <v>783</v>
      </c>
      <c r="E512" s="41" t="s">
        <v>780</v>
      </c>
      <c r="F512" s="41" t="s">
        <v>363</v>
      </c>
      <c r="G512" s="41" t="s">
        <v>53</v>
      </c>
      <c r="H512" s="55">
        <v>649.27</v>
      </c>
      <c r="I512" s="56">
        <v>0.17499999999999999</v>
      </c>
      <c r="J512" s="55">
        <v>130.66549999999998</v>
      </c>
      <c r="K512" s="55">
        <v>69.715453749999995</v>
      </c>
      <c r="L512" s="55">
        <v>97.39</v>
      </c>
      <c r="M512" s="41" t="s">
        <v>10</v>
      </c>
      <c r="N512" s="41" t="s">
        <v>54</v>
      </c>
      <c r="O512" s="41" t="s">
        <v>55</v>
      </c>
      <c r="P512" s="57">
        <v>45382</v>
      </c>
      <c r="Q512" s="41">
        <f>+H512+L512</f>
        <v>746.66</v>
      </c>
      <c r="R512" s="41">
        <f>+J512+K512+L512</f>
        <v>297.77095374999999</v>
      </c>
      <c r="S512" s="41">
        <f>+MONTH(B512)</f>
        <v>3</v>
      </c>
      <c r="T512" s="41">
        <f>+YEAR(B512)</f>
        <v>2024</v>
      </c>
      <c r="U512" s="41" t="s">
        <v>364</v>
      </c>
    </row>
    <row r="513" spans="1:21" ht="15" customHeight="1" x14ac:dyDescent="0.3">
      <c r="A513" s="41"/>
      <c r="B513" s="20">
        <v>45432</v>
      </c>
      <c r="C513" s="41"/>
      <c r="D513" s="41" t="s">
        <v>784</v>
      </c>
      <c r="E513" s="41" t="s">
        <v>776</v>
      </c>
      <c r="F513" s="41" t="s">
        <v>363</v>
      </c>
      <c r="G513" s="41" t="s">
        <v>53</v>
      </c>
      <c r="H513" s="55">
        <v>86.96</v>
      </c>
      <c r="I513" s="56">
        <v>0.17499999999999999</v>
      </c>
      <c r="J513" s="55">
        <v>17.5</v>
      </c>
      <c r="K513" s="55">
        <v>9.3380299999999963</v>
      </c>
      <c r="L513" s="55">
        <v>13.04</v>
      </c>
      <c r="M513" s="41" t="s">
        <v>10</v>
      </c>
      <c r="N513" s="41" t="s">
        <v>54</v>
      </c>
      <c r="O513" s="41" t="s">
        <v>55</v>
      </c>
      <c r="P513" s="57">
        <v>45443</v>
      </c>
      <c r="Q513" s="41">
        <f>+H513+L513</f>
        <v>100</v>
      </c>
      <c r="R513" s="41">
        <f>+J513+K513+L513</f>
        <v>39.878029999999995</v>
      </c>
      <c r="S513" s="41">
        <f>+MONTH(B513)</f>
        <v>5</v>
      </c>
      <c r="T513" s="41">
        <f>+YEAR(B513)</f>
        <v>2024</v>
      </c>
      <c r="U513" s="41" t="s">
        <v>364</v>
      </c>
    </row>
    <row r="514" spans="1:21" ht="15" customHeight="1" x14ac:dyDescent="0.3">
      <c r="A514" s="41"/>
      <c r="B514" s="20">
        <v>45013</v>
      </c>
      <c r="C514" s="41"/>
      <c r="D514" s="41" t="s">
        <v>785</v>
      </c>
      <c r="E514" s="41" t="s">
        <v>786</v>
      </c>
      <c r="F514" s="41" t="s">
        <v>363</v>
      </c>
      <c r="G514" s="41" t="s">
        <v>53</v>
      </c>
      <c r="H514" s="55">
        <v>791.3</v>
      </c>
      <c r="I514" s="56">
        <v>0.17499999999999999</v>
      </c>
      <c r="J514" s="55">
        <v>159.25</v>
      </c>
      <c r="K514" s="55">
        <v>77.744349999999969</v>
      </c>
      <c r="L514" s="55">
        <v>118.7</v>
      </c>
      <c r="M514" s="41" t="s">
        <v>10</v>
      </c>
      <c r="N514" s="41" t="s">
        <v>54</v>
      </c>
      <c r="O514" s="41" t="s">
        <v>55</v>
      </c>
      <c r="P514" s="57">
        <v>45016</v>
      </c>
      <c r="Q514" s="41">
        <f>+H514+L514</f>
        <v>910</v>
      </c>
      <c r="R514" s="41">
        <f>+J514+K514+L514</f>
        <v>355.69434999999999</v>
      </c>
      <c r="S514" s="41">
        <f>+MONTH(B514)</f>
        <v>3</v>
      </c>
      <c r="T514" s="41">
        <f>+YEAR(B514)</f>
        <v>2023</v>
      </c>
      <c r="U514" s="41" t="s">
        <v>364</v>
      </c>
    </row>
    <row r="515" spans="1:21" ht="15" customHeight="1" x14ac:dyDescent="0.3">
      <c r="A515" s="41"/>
      <c r="B515" s="20">
        <v>45379</v>
      </c>
      <c r="C515" s="41"/>
      <c r="D515" s="41" t="s">
        <v>787</v>
      </c>
      <c r="E515" s="41" t="s">
        <v>786</v>
      </c>
      <c r="F515" s="41" t="s">
        <v>363</v>
      </c>
      <c r="G515" s="41" t="s">
        <v>53</v>
      </c>
      <c r="H515" s="55">
        <v>791.3</v>
      </c>
      <c r="I515" s="56">
        <v>0.17499999999999999</v>
      </c>
      <c r="J515" s="55">
        <v>159.25</v>
      </c>
      <c r="K515" s="55">
        <v>84.964962499999984</v>
      </c>
      <c r="L515" s="55">
        <v>118.7</v>
      </c>
      <c r="M515" s="41" t="s">
        <v>10</v>
      </c>
      <c r="N515" s="41" t="s">
        <v>54</v>
      </c>
      <c r="O515" s="41" t="s">
        <v>55</v>
      </c>
      <c r="P515" s="57">
        <v>45382</v>
      </c>
      <c r="Q515" s="41">
        <f>+H515+L515</f>
        <v>910</v>
      </c>
      <c r="R515" s="41">
        <f>+J515+K515+L515</f>
        <v>362.9149625</v>
      </c>
      <c r="S515" s="41">
        <f>+MONTH(B515)</f>
        <v>3</v>
      </c>
      <c r="T515" s="41">
        <f>+YEAR(B515)</f>
        <v>2024</v>
      </c>
      <c r="U515" s="41" t="s">
        <v>364</v>
      </c>
    </row>
    <row r="516" spans="1:21" ht="15" customHeight="1" x14ac:dyDescent="0.3">
      <c r="A516" s="41"/>
      <c r="B516" s="20">
        <v>45426</v>
      </c>
      <c r="C516" s="41"/>
      <c r="D516" s="41" t="s">
        <v>788</v>
      </c>
      <c r="E516" s="41" t="s">
        <v>622</v>
      </c>
      <c r="F516" s="41" t="s">
        <v>363</v>
      </c>
      <c r="G516" s="41" t="s">
        <v>53</v>
      </c>
      <c r="H516" s="55">
        <v>86.96</v>
      </c>
      <c r="I516" s="56">
        <v>0.17499999999999999</v>
      </c>
      <c r="J516" s="55">
        <v>17.5</v>
      </c>
      <c r="K516" s="55">
        <v>9.3380299999999963</v>
      </c>
      <c r="L516" s="55">
        <v>13.04</v>
      </c>
      <c r="M516" s="41" t="s">
        <v>10</v>
      </c>
      <c r="N516" s="41" t="s">
        <v>54</v>
      </c>
      <c r="O516" s="41" t="s">
        <v>55</v>
      </c>
      <c r="P516" s="57">
        <v>45443</v>
      </c>
      <c r="Q516" s="41">
        <f>+H516+L516</f>
        <v>100</v>
      </c>
      <c r="R516" s="41">
        <f>+J516+K516+L516</f>
        <v>39.878029999999995</v>
      </c>
      <c r="S516" s="41">
        <f>+MONTH(B516)</f>
        <v>5</v>
      </c>
      <c r="T516" s="41">
        <f>+YEAR(B516)</f>
        <v>2024</v>
      </c>
      <c r="U516" s="41" t="s">
        <v>364</v>
      </c>
    </row>
    <row r="517" spans="1:21" ht="15" customHeight="1" x14ac:dyDescent="0.3">
      <c r="A517" s="41"/>
      <c r="B517" s="20">
        <v>45455</v>
      </c>
      <c r="C517" s="41"/>
      <c r="D517" s="41" t="s">
        <v>789</v>
      </c>
      <c r="E517" s="41" t="s">
        <v>790</v>
      </c>
      <c r="F517" s="41" t="s">
        <v>363</v>
      </c>
      <c r="G517" s="41" t="s">
        <v>53</v>
      </c>
      <c r="H517" s="55">
        <v>350.43</v>
      </c>
      <c r="I517" s="56">
        <v>0.17499999999999999</v>
      </c>
      <c r="J517" s="55">
        <v>70.524999999999991</v>
      </c>
      <c r="K517" s="55">
        <v>37.626458749999998</v>
      </c>
      <c r="L517" s="55">
        <v>52.57</v>
      </c>
      <c r="M517" s="41" t="s">
        <v>10</v>
      </c>
      <c r="N517" s="41" t="s">
        <v>54</v>
      </c>
      <c r="O517" s="41" t="s">
        <v>55</v>
      </c>
      <c r="P517" s="57">
        <v>45473</v>
      </c>
      <c r="Q517" s="41">
        <f>+H517+L517</f>
        <v>403</v>
      </c>
      <c r="R517" s="41">
        <f>+J517+K517+L517</f>
        <v>160.72145874999998</v>
      </c>
      <c r="S517" s="41">
        <f>+MONTH(B517)</f>
        <v>6</v>
      </c>
      <c r="T517" s="41">
        <f>+YEAR(B517)</f>
        <v>2024</v>
      </c>
      <c r="U517" s="41" t="s">
        <v>364</v>
      </c>
    </row>
    <row r="518" spans="1:21" ht="15" customHeight="1" x14ac:dyDescent="0.3">
      <c r="A518" s="41"/>
      <c r="B518" s="20">
        <v>45222</v>
      </c>
      <c r="C518" s="41"/>
      <c r="D518" s="41" t="s">
        <v>791</v>
      </c>
      <c r="E518" s="41" t="s">
        <v>792</v>
      </c>
      <c r="F518" s="41" t="s">
        <v>363</v>
      </c>
      <c r="G518" s="41" t="s">
        <v>53</v>
      </c>
      <c r="H518" s="55">
        <v>86.96</v>
      </c>
      <c r="I518" s="56">
        <v>0.17499999999999999</v>
      </c>
      <c r="J518" s="55">
        <v>17.5</v>
      </c>
      <c r="K518" s="55">
        <v>8.5445199999999986</v>
      </c>
      <c r="L518" s="55">
        <v>13.04</v>
      </c>
      <c r="M518" s="41" t="s">
        <v>10</v>
      </c>
      <c r="N518" s="41" t="s">
        <v>54</v>
      </c>
      <c r="O518" s="41" t="s">
        <v>55</v>
      </c>
      <c r="P518" s="57">
        <v>45230</v>
      </c>
      <c r="Q518" s="41">
        <f>+H518+L518</f>
        <v>100</v>
      </c>
      <c r="R518" s="41">
        <f>+J518+K518+L518</f>
        <v>39.084519999999998</v>
      </c>
      <c r="S518" s="41">
        <f>+MONTH(B518)</f>
        <v>10</v>
      </c>
      <c r="T518" s="41">
        <f>+YEAR(B518)</f>
        <v>2023</v>
      </c>
      <c r="U518" s="41" t="s">
        <v>364</v>
      </c>
    </row>
    <row r="519" spans="1:21" ht="15" customHeight="1" x14ac:dyDescent="0.3">
      <c r="A519" s="41"/>
      <c r="B519" s="20">
        <v>45209</v>
      </c>
      <c r="C519" s="41"/>
      <c r="D519" s="41" t="s">
        <v>793</v>
      </c>
      <c r="E519" s="41" t="s">
        <v>792</v>
      </c>
      <c r="F519" s="41" t="s">
        <v>363</v>
      </c>
      <c r="G519" s="41" t="s">
        <v>53</v>
      </c>
      <c r="H519" s="55">
        <v>86.96</v>
      </c>
      <c r="I519" s="56">
        <v>0.17499999999999999</v>
      </c>
      <c r="J519" s="55">
        <v>17.5</v>
      </c>
      <c r="K519" s="55">
        <v>8.5445199999999986</v>
      </c>
      <c r="L519" s="55">
        <v>13.04</v>
      </c>
      <c r="M519" s="41" t="s">
        <v>10</v>
      </c>
      <c r="N519" s="41" t="s">
        <v>54</v>
      </c>
      <c r="O519" s="41" t="s">
        <v>55</v>
      </c>
      <c r="P519" s="57">
        <v>45230</v>
      </c>
      <c r="Q519" s="41">
        <f>+H519+L519</f>
        <v>100</v>
      </c>
      <c r="R519" s="41">
        <f>+J519+K519+L519</f>
        <v>39.084519999999998</v>
      </c>
      <c r="S519" s="41">
        <f>+MONTH(B519)</f>
        <v>10</v>
      </c>
      <c r="T519" s="41">
        <f>+YEAR(B519)</f>
        <v>2023</v>
      </c>
      <c r="U519" s="41" t="s">
        <v>364</v>
      </c>
    </row>
    <row r="520" spans="1:21" ht="15" customHeight="1" x14ac:dyDescent="0.3">
      <c r="A520" s="41"/>
      <c r="B520" s="20">
        <v>45198</v>
      </c>
      <c r="C520" s="41"/>
      <c r="D520" s="41" t="s">
        <v>794</v>
      </c>
      <c r="E520" s="41" t="s">
        <v>792</v>
      </c>
      <c r="F520" s="41" t="s">
        <v>363</v>
      </c>
      <c r="G520" s="41" t="s">
        <v>53</v>
      </c>
      <c r="H520" s="55">
        <v>86.96</v>
      </c>
      <c r="I520" s="56">
        <v>0.17499999999999999</v>
      </c>
      <c r="J520" s="55">
        <v>17.5</v>
      </c>
      <c r="K520" s="55">
        <v>8.5445199999999986</v>
      </c>
      <c r="L520" s="55">
        <v>13.04</v>
      </c>
      <c r="M520" s="41" t="s">
        <v>10</v>
      </c>
      <c r="N520" s="41" t="s">
        <v>54</v>
      </c>
      <c r="O520" s="41" t="s">
        <v>55</v>
      </c>
      <c r="P520" s="57">
        <v>45199</v>
      </c>
      <c r="Q520" s="41">
        <f>+H520+L520</f>
        <v>100</v>
      </c>
      <c r="R520" s="41">
        <f>+J520+K520+L520</f>
        <v>39.084519999999998</v>
      </c>
      <c r="S520" s="41">
        <f>+MONTH(B520)</f>
        <v>9</v>
      </c>
      <c r="T520" s="41">
        <f>+YEAR(B520)</f>
        <v>2023</v>
      </c>
      <c r="U520" s="41" t="s">
        <v>364</v>
      </c>
    </row>
    <row r="521" spans="1:21" ht="15" customHeight="1" x14ac:dyDescent="0.3">
      <c r="A521" s="41"/>
      <c r="B521" s="20">
        <v>45209</v>
      </c>
      <c r="C521" s="41"/>
      <c r="D521" s="41" t="s">
        <v>795</v>
      </c>
      <c r="E521" s="41" t="s">
        <v>792</v>
      </c>
      <c r="F521" s="41" t="s">
        <v>363</v>
      </c>
      <c r="G521" s="41" t="s">
        <v>53</v>
      </c>
      <c r="H521" s="55">
        <v>86.96</v>
      </c>
      <c r="I521" s="56">
        <v>0.17499999999999999</v>
      </c>
      <c r="J521" s="55">
        <v>17.5</v>
      </c>
      <c r="K521" s="55">
        <v>8.5445199999999986</v>
      </c>
      <c r="L521" s="55">
        <v>13.04</v>
      </c>
      <c r="M521" s="41" t="s">
        <v>10</v>
      </c>
      <c r="N521" s="41" t="s">
        <v>54</v>
      </c>
      <c r="O521" s="41" t="s">
        <v>55</v>
      </c>
      <c r="P521" s="57">
        <v>45230</v>
      </c>
      <c r="Q521" s="41">
        <f>+H521+L521</f>
        <v>100</v>
      </c>
      <c r="R521" s="41">
        <f>+J521+K521+L521</f>
        <v>39.084519999999998</v>
      </c>
      <c r="S521" s="41">
        <f>+MONTH(B521)</f>
        <v>10</v>
      </c>
      <c r="T521" s="41">
        <f>+YEAR(B521)</f>
        <v>2023</v>
      </c>
      <c r="U521" s="41" t="s">
        <v>364</v>
      </c>
    </row>
    <row r="522" spans="1:21" ht="15" customHeight="1" x14ac:dyDescent="0.3">
      <c r="A522" s="41"/>
      <c r="B522" s="20">
        <v>45209</v>
      </c>
      <c r="C522" s="41"/>
      <c r="D522" s="41" t="s">
        <v>796</v>
      </c>
      <c r="E522" s="41" t="s">
        <v>792</v>
      </c>
      <c r="F522" s="41" t="s">
        <v>363</v>
      </c>
      <c r="G522" s="41" t="s">
        <v>53</v>
      </c>
      <c r="H522" s="55">
        <v>86.96</v>
      </c>
      <c r="I522" s="56">
        <v>0.17499999999999999</v>
      </c>
      <c r="J522" s="55">
        <v>17.5</v>
      </c>
      <c r="K522" s="55">
        <v>8.5445199999999986</v>
      </c>
      <c r="L522" s="55">
        <v>13.04</v>
      </c>
      <c r="M522" s="41" t="s">
        <v>10</v>
      </c>
      <c r="N522" s="41" t="s">
        <v>54</v>
      </c>
      <c r="O522" s="41" t="s">
        <v>55</v>
      </c>
      <c r="P522" s="57">
        <v>45230</v>
      </c>
      <c r="Q522" s="41">
        <f>+H522+L522</f>
        <v>100</v>
      </c>
      <c r="R522" s="41">
        <f>+J522+K522+L522</f>
        <v>39.084519999999998</v>
      </c>
      <c r="S522" s="41">
        <f>+MONTH(B522)</f>
        <v>10</v>
      </c>
      <c r="T522" s="41">
        <f>+YEAR(B522)</f>
        <v>2023</v>
      </c>
      <c r="U522" s="41" t="s">
        <v>364</v>
      </c>
    </row>
    <row r="523" spans="1:21" ht="15" customHeight="1" x14ac:dyDescent="0.3">
      <c r="A523" s="41"/>
      <c r="B523" s="20">
        <v>45198</v>
      </c>
      <c r="C523" s="41"/>
      <c r="D523" s="41" t="s">
        <v>797</v>
      </c>
      <c r="E523" s="41" t="s">
        <v>792</v>
      </c>
      <c r="F523" s="41" t="s">
        <v>363</v>
      </c>
      <c r="G523" s="41" t="s">
        <v>53</v>
      </c>
      <c r="H523" s="55">
        <v>86.96</v>
      </c>
      <c r="I523" s="56">
        <v>0.17499999999999999</v>
      </c>
      <c r="J523" s="55">
        <v>17.5</v>
      </c>
      <c r="K523" s="55">
        <v>8.5445199999999986</v>
      </c>
      <c r="L523" s="55">
        <v>13.04</v>
      </c>
      <c r="M523" s="41" t="s">
        <v>10</v>
      </c>
      <c r="N523" s="41" t="s">
        <v>54</v>
      </c>
      <c r="O523" s="41" t="s">
        <v>55</v>
      </c>
      <c r="P523" s="57">
        <v>45199</v>
      </c>
      <c r="Q523" s="41">
        <f>+H523+L523</f>
        <v>100</v>
      </c>
      <c r="R523" s="41">
        <f>+J523+K523+L523</f>
        <v>39.084519999999998</v>
      </c>
      <c r="S523" s="41">
        <f>+MONTH(B523)</f>
        <v>9</v>
      </c>
      <c r="T523" s="41">
        <f>+YEAR(B523)</f>
        <v>2023</v>
      </c>
      <c r="U523" s="41" t="s">
        <v>364</v>
      </c>
    </row>
    <row r="524" spans="1:21" ht="15" customHeight="1" x14ac:dyDescent="0.3">
      <c r="A524" s="41"/>
      <c r="B524" s="20">
        <v>45198</v>
      </c>
      <c r="C524" s="41"/>
      <c r="D524" s="41" t="s">
        <v>798</v>
      </c>
      <c r="E524" s="41" t="s">
        <v>792</v>
      </c>
      <c r="F524" s="41" t="s">
        <v>363</v>
      </c>
      <c r="G524" s="41" t="s">
        <v>53</v>
      </c>
      <c r="H524" s="55">
        <v>86.96</v>
      </c>
      <c r="I524" s="56">
        <v>0.17499999999999999</v>
      </c>
      <c r="J524" s="55">
        <v>17.5</v>
      </c>
      <c r="K524" s="55">
        <v>8.5445199999999986</v>
      </c>
      <c r="L524" s="55">
        <v>13.04</v>
      </c>
      <c r="M524" s="41" t="s">
        <v>10</v>
      </c>
      <c r="N524" s="41" t="s">
        <v>54</v>
      </c>
      <c r="O524" s="41" t="s">
        <v>55</v>
      </c>
      <c r="P524" s="57">
        <v>45199</v>
      </c>
      <c r="Q524" s="41">
        <f>+H524+L524</f>
        <v>100</v>
      </c>
      <c r="R524" s="41">
        <f>+J524+K524+L524</f>
        <v>39.084519999999998</v>
      </c>
      <c r="S524" s="41">
        <f>+MONTH(B524)</f>
        <v>9</v>
      </c>
      <c r="T524" s="41">
        <f>+YEAR(B524)</f>
        <v>2023</v>
      </c>
      <c r="U524" s="41" t="s">
        <v>364</v>
      </c>
    </row>
    <row r="525" spans="1:21" ht="15" customHeight="1" x14ac:dyDescent="0.3">
      <c r="A525" s="41"/>
      <c r="B525" s="20">
        <v>45222</v>
      </c>
      <c r="C525" s="41"/>
      <c r="D525" s="41" t="s">
        <v>799</v>
      </c>
      <c r="E525" s="41" t="s">
        <v>792</v>
      </c>
      <c r="F525" s="41" t="s">
        <v>363</v>
      </c>
      <c r="G525" s="41" t="s">
        <v>53</v>
      </c>
      <c r="H525" s="55">
        <v>86.96</v>
      </c>
      <c r="I525" s="56">
        <v>0.17499999999999999</v>
      </c>
      <c r="J525" s="55">
        <v>17.5</v>
      </c>
      <c r="K525" s="55">
        <v>8.5445199999999986</v>
      </c>
      <c r="L525" s="55">
        <v>13.04</v>
      </c>
      <c r="M525" s="41" t="s">
        <v>10</v>
      </c>
      <c r="N525" s="41" t="s">
        <v>54</v>
      </c>
      <c r="O525" s="41" t="s">
        <v>55</v>
      </c>
      <c r="P525" s="57">
        <v>45230</v>
      </c>
      <c r="Q525" s="41">
        <f>+H525+L525</f>
        <v>100</v>
      </c>
      <c r="R525" s="41">
        <f>+J525+K525+L525</f>
        <v>39.084519999999998</v>
      </c>
      <c r="S525" s="41">
        <f>+MONTH(B525)</f>
        <v>10</v>
      </c>
      <c r="T525" s="41">
        <f>+YEAR(B525)</f>
        <v>2023</v>
      </c>
      <c r="U525" s="41" t="s">
        <v>364</v>
      </c>
    </row>
    <row r="526" spans="1:21" ht="15" customHeight="1" x14ac:dyDescent="0.3">
      <c r="A526" s="41"/>
      <c r="B526" s="20">
        <v>45209</v>
      </c>
      <c r="C526" s="41"/>
      <c r="D526" s="41" t="s">
        <v>800</v>
      </c>
      <c r="E526" s="41" t="s">
        <v>792</v>
      </c>
      <c r="F526" s="41" t="s">
        <v>363</v>
      </c>
      <c r="G526" s="41" t="s">
        <v>53</v>
      </c>
      <c r="H526" s="55">
        <v>86.96</v>
      </c>
      <c r="I526" s="56">
        <v>0.17499999999999999</v>
      </c>
      <c r="J526" s="55">
        <v>17.5</v>
      </c>
      <c r="K526" s="55">
        <v>8.5445199999999986</v>
      </c>
      <c r="L526" s="55">
        <v>13.04</v>
      </c>
      <c r="M526" s="41" t="s">
        <v>10</v>
      </c>
      <c r="N526" s="41" t="s">
        <v>54</v>
      </c>
      <c r="O526" s="41" t="s">
        <v>55</v>
      </c>
      <c r="P526" s="57">
        <v>45230</v>
      </c>
      <c r="Q526" s="41">
        <f>+H526+L526</f>
        <v>100</v>
      </c>
      <c r="R526" s="41">
        <f>+J526+K526+L526</f>
        <v>39.084519999999998</v>
      </c>
      <c r="S526" s="41">
        <f>+MONTH(B526)</f>
        <v>10</v>
      </c>
      <c r="T526" s="41">
        <f>+YEAR(B526)</f>
        <v>2023</v>
      </c>
      <c r="U526" s="41" t="s">
        <v>364</v>
      </c>
    </row>
    <row r="527" spans="1:21" ht="15" customHeight="1" x14ac:dyDescent="0.3">
      <c r="A527" s="41"/>
      <c r="B527" s="20">
        <v>45198</v>
      </c>
      <c r="C527" s="41"/>
      <c r="D527" s="41" t="s">
        <v>801</v>
      </c>
      <c r="E527" s="41" t="s">
        <v>792</v>
      </c>
      <c r="F527" s="41" t="s">
        <v>363</v>
      </c>
      <c r="G527" s="41" t="s">
        <v>53</v>
      </c>
      <c r="H527" s="55">
        <v>86.96</v>
      </c>
      <c r="I527" s="56">
        <v>0.17499999999999999</v>
      </c>
      <c r="J527" s="55">
        <v>17.5</v>
      </c>
      <c r="K527" s="55">
        <v>8.5445199999999986</v>
      </c>
      <c r="L527" s="55">
        <v>13.04</v>
      </c>
      <c r="M527" s="41" t="s">
        <v>10</v>
      </c>
      <c r="N527" s="41" t="s">
        <v>54</v>
      </c>
      <c r="O527" s="41" t="s">
        <v>55</v>
      </c>
      <c r="P527" s="57">
        <v>45199</v>
      </c>
      <c r="Q527" s="41">
        <f>+H527+L527</f>
        <v>100</v>
      </c>
      <c r="R527" s="41">
        <f>+J527+K527+L527</f>
        <v>39.084519999999998</v>
      </c>
      <c r="S527" s="41">
        <f>+MONTH(B527)</f>
        <v>9</v>
      </c>
      <c r="T527" s="41">
        <f>+YEAR(B527)</f>
        <v>2023</v>
      </c>
      <c r="U527" s="41" t="s">
        <v>364</v>
      </c>
    </row>
    <row r="528" spans="1:21" ht="15" customHeight="1" x14ac:dyDescent="0.3">
      <c r="A528" s="41"/>
      <c r="B528" s="20">
        <v>45209</v>
      </c>
      <c r="C528" s="41"/>
      <c r="D528" s="41" t="s">
        <v>802</v>
      </c>
      <c r="E528" s="41" t="s">
        <v>792</v>
      </c>
      <c r="F528" s="41" t="s">
        <v>363</v>
      </c>
      <c r="G528" s="41" t="s">
        <v>53</v>
      </c>
      <c r="H528" s="55">
        <v>86.96</v>
      </c>
      <c r="I528" s="56">
        <v>0.17499999999999999</v>
      </c>
      <c r="J528" s="55">
        <v>17.5</v>
      </c>
      <c r="K528" s="55">
        <v>8.5445199999999986</v>
      </c>
      <c r="L528" s="55">
        <v>13.04</v>
      </c>
      <c r="M528" s="41" t="s">
        <v>10</v>
      </c>
      <c r="N528" s="41" t="s">
        <v>54</v>
      </c>
      <c r="O528" s="41" t="s">
        <v>55</v>
      </c>
      <c r="P528" s="57">
        <v>45230</v>
      </c>
      <c r="Q528" s="41">
        <f>+H528+L528</f>
        <v>100</v>
      </c>
      <c r="R528" s="41">
        <f>+J528+K528+L528</f>
        <v>39.084519999999998</v>
      </c>
      <c r="S528" s="41">
        <f>+MONTH(B528)</f>
        <v>10</v>
      </c>
      <c r="T528" s="41">
        <f>+YEAR(B528)</f>
        <v>2023</v>
      </c>
      <c r="U528" s="41" t="s">
        <v>364</v>
      </c>
    </row>
    <row r="529" spans="1:21" ht="15" customHeight="1" x14ac:dyDescent="0.3">
      <c r="A529" s="41"/>
      <c r="B529" s="20">
        <v>45198</v>
      </c>
      <c r="C529" s="41"/>
      <c r="D529" s="41" t="s">
        <v>803</v>
      </c>
      <c r="E529" s="41" t="s">
        <v>792</v>
      </c>
      <c r="F529" s="41" t="s">
        <v>363</v>
      </c>
      <c r="G529" s="41" t="s">
        <v>53</v>
      </c>
      <c r="H529" s="55">
        <v>86.96</v>
      </c>
      <c r="I529" s="56">
        <v>0.17499999999999999</v>
      </c>
      <c r="J529" s="55">
        <v>17.5</v>
      </c>
      <c r="K529" s="55">
        <v>8.5445199999999986</v>
      </c>
      <c r="L529" s="55">
        <v>13.04</v>
      </c>
      <c r="M529" s="41" t="s">
        <v>10</v>
      </c>
      <c r="N529" s="41" t="s">
        <v>54</v>
      </c>
      <c r="O529" s="41" t="s">
        <v>55</v>
      </c>
      <c r="P529" s="57">
        <v>45199</v>
      </c>
      <c r="Q529" s="41">
        <f>+H529+L529</f>
        <v>100</v>
      </c>
      <c r="R529" s="41">
        <f>+J529+K529+L529</f>
        <v>39.084519999999998</v>
      </c>
      <c r="S529" s="41">
        <f>+MONTH(B529)</f>
        <v>9</v>
      </c>
      <c r="T529" s="41">
        <f>+YEAR(B529)</f>
        <v>2023</v>
      </c>
      <c r="U529" s="41" t="s">
        <v>364</v>
      </c>
    </row>
    <row r="530" spans="1:21" ht="15" customHeight="1" x14ac:dyDescent="0.3">
      <c r="A530" s="41"/>
      <c r="B530" s="20">
        <v>44118</v>
      </c>
      <c r="C530" s="41"/>
      <c r="D530" s="41" t="s">
        <v>804</v>
      </c>
      <c r="E530" s="41" t="s">
        <v>805</v>
      </c>
      <c r="F530" s="41" t="s">
        <v>615</v>
      </c>
      <c r="G530" s="41" t="s">
        <v>53</v>
      </c>
      <c r="H530" s="55">
        <v>19960</v>
      </c>
      <c r="I530" s="56">
        <v>0.15</v>
      </c>
      <c r="J530" s="55">
        <v>3443.1</v>
      </c>
      <c r="K530" s="55">
        <v>2594.7999999999997</v>
      </c>
      <c r="L530" s="55">
        <v>2994</v>
      </c>
      <c r="M530" s="41" t="s">
        <v>10</v>
      </c>
      <c r="N530" s="41" t="s">
        <v>54</v>
      </c>
      <c r="O530" s="41" t="s">
        <v>55</v>
      </c>
      <c r="P530" s="57">
        <v>44135</v>
      </c>
      <c r="Q530" s="41">
        <f>+H530+L530</f>
        <v>22954</v>
      </c>
      <c r="R530" s="41">
        <f>+J530+K530+L530</f>
        <v>9031.9</v>
      </c>
      <c r="S530" s="41">
        <f>+MONTH(B530)</f>
        <v>10</v>
      </c>
      <c r="T530" s="41">
        <f>+YEAR(B530)</f>
        <v>2020</v>
      </c>
      <c r="U530" s="41" t="s">
        <v>364</v>
      </c>
    </row>
    <row r="531" spans="1:21" ht="15" customHeight="1" x14ac:dyDescent="0.3">
      <c r="A531" s="41"/>
      <c r="B531" s="20">
        <v>45209</v>
      </c>
      <c r="C531" s="41"/>
      <c r="D531" s="41" t="s">
        <v>806</v>
      </c>
      <c r="E531" s="41" t="s">
        <v>792</v>
      </c>
      <c r="F531" s="41" t="s">
        <v>363</v>
      </c>
      <c r="G531" s="41" t="s">
        <v>53</v>
      </c>
      <c r="H531" s="55">
        <v>86.96</v>
      </c>
      <c r="I531" s="56">
        <v>0.17499999999999999</v>
      </c>
      <c r="J531" s="55">
        <v>17.5</v>
      </c>
      <c r="K531" s="55">
        <v>8.5445199999999986</v>
      </c>
      <c r="L531" s="55">
        <v>13.04</v>
      </c>
      <c r="M531" s="41" t="s">
        <v>10</v>
      </c>
      <c r="N531" s="41" t="s">
        <v>54</v>
      </c>
      <c r="O531" s="41" t="s">
        <v>55</v>
      </c>
      <c r="P531" s="57">
        <v>45230</v>
      </c>
      <c r="Q531" s="41">
        <f>+H531+L531</f>
        <v>100</v>
      </c>
      <c r="R531" s="41">
        <f>+J531+K531+L531</f>
        <v>39.084519999999998</v>
      </c>
      <c r="S531" s="41">
        <f>+MONTH(B531)</f>
        <v>10</v>
      </c>
      <c r="T531" s="41">
        <f>+YEAR(B531)</f>
        <v>2023</v>
      </c>
      <c r="U531" s="41" t="s">
        <v>364</v>
      </c>
    </row>
    <row r="532" spans="1:21" ht="15" customHeight="1" x14ac:dyDescent="0.3">
      <c r="A532" s="41"/>
      <c r="B532" s="20">
        <v>45198</v>
      </c>
      <c r="C532" s="41"/>
      <c r="D532" s="41" t="s">
        <v>807</v>
      </c>
      <c r="E532" s="41" t="s">
        <v>792</v>
      </c>
      <c r="F532" s="41" t="s">
        <v>363</v>
      </c>
      <c r="G532" s="41" t="s">
        <v>53</v>
      </c>
      <c r="H532" s="55">
        <v>86.96</v>
      </c>
      <c r="I532" s="56">
        <v>0.17499999999999999</v>
      </c>
      <c r="J532" s="55">
        <v>17.5</v>
      </c>
      <c r="K532" s="55">
        <v>8.5445199999999986</v>
      </c>
      <c r="L532" s="55">
        <v>13.04</v>
      </c>
      <c r="M532" s="41" t="s">
        <v>10</v>
      </c>
      <c r="N532" s="41" t="s">
        <v>54</v>
      </c>
      <c r="O532" s="41" t="s">
        <v>55</v>
      </c>
      <c r="P532" s="57">
        <v>45199</v>
      </c>
      <c r="Q532" s="41">
        <f>+H532+L532</f>
        <v>100</v>
      </c>
      <c r="R532" s="41">
        <f>+J532+K532+L532</f>
        <v>39.084519999999998</v>
      </c>
      <c r="S532" s="41">
        <f>+MONTH(B532)</f>
        <v>9</v>
      </c>
      <c r="T532" s="41">
        <f>+YEAR(B532)</f>
        <v>2023</v>
      </c>
      <c r="U532" s="41" t="s">
        <v>364</v>
      </c>
    </row>
    <row r="533" spans="1:21" ht="15" customHeight="1" x14ac:dyDescent="0.3">
      <c r="A533" s="41"/>
      <c r="B533" s="20">
        <v>44483</v>
      </c>
      <c r="C533" s="41"/>
      <c r="D533" s="41" t="s">
        <v>808</v>
      </c>
      <c r="E533" s="41" t="s">
        <v>805</v>
      </c>
      <c r="F533" s="41" t="s">
        <v>615</v>
      </c>
      <c r="G533" s="41" t="s">
        <v>53</v>
      </c>
      <c r="H533" s="55">
        <v>1749.92</v>
      </c>
      <c r="I533" s="56">
        <v>0.15</v>
      </c>
      <c r="J533" s="55">
        <v>301.86149999999998</v>
      </c>
      <c r="K533" s="55">
        <v>213.48994000000005</v>
      </c>
      <c r="L533" s="55">
        <v>262.49</v>
      </c>
      <c r="M533" s="41" t="s">
        <v>10</v>
      </c>
      <c r="N533" s="41" t="s">
        <v>54</v>
      </c>
      <c r="O533" s="41" t="s">
        <v>55</v>
      </c>
      <c r="P533" s="57">
        <v>44500</v>
      </c>
      <c r="Q533" s="41">
        <f>+H533+L533</f>
        <v>2012.41</v>
      </c>
      <c r="R533" s="41">
        <f>+J533+K533+L533</f>
        <v>777.84144000000003</v>
      </c>
      <c r="S533" s="41">
        <f>+MONTH(B533)</f>
        <v>10</v>
      </c>
      <c r="T533" s="41">
        <f>+YEAR(B533)</f>
        <v>2021</v>
      </c>
      <c r="U533" s="41" t="s">
        <v>364</v>
      </c>
    </row>
    <row r="534" spans="1:21" ht="15" customHeight="1" x14ac:dyDescent="0.3">
      <c r="A534" s="41"/>
      <c r="B534" s="20">
        <v>45206</v>
      </c>
      <c r="C534" s="41"/>
      <c r="D534" s="41" t="s">
        <v>809</v>
      </c>
      <c r="E534" s="41" t="s">
        <v>792</v>
      </c>
      <c r="F534" s="41" t="s">
        <v>363</v>
      </c>
      <c r="G534" s="41" t="s">
        <v>53</v>
      </c>
      <c r="H534" s="55">
        <v>86.96</v>
      </c>
      <c r="I534" s="56">
        <v>0.17499999999999999</v>
      </c>
      <c r="J534" s="55">
        <v>17.5</v>
      </c>
      <c r="K534" s="55">
        <v>8.5445199999999986</v>
      </c>
      <c r="L534" s="55">
        <v>13.04</v>
      </c>
      <c r="M534" s="41" t="s">
        <v>10</v>
      </c>
      <c r="N534" s="41" t="s">
        <v>54</v>
      </c>
      <c r="O534" s="41" t="s">
        <v>55</v>
      </c>
      <c r="P534" s="57">
        <v>45230</v>
      </c>
      <c r="Q534" s="41">
        <f>+H534+L534</f>
        <v>100</v>
      </c>
      <c r="R534" s="41">
        <f>+J534+K534+L534</f>
        <v>39.084519999999998</v>
      </c>
      <c r="S534" s="41">
        <f>+MONTH(B534)</f>
        <v>10</v>
      </c>
      <c r="T534" s="41">
        <f>+YEAR(B534)</f>
        <v>2023</v>
      </c>
      <c r="U534" s="41" t="s">
        <v>364</v>
      </c>
    </row>
    <row r="535" spans="1:21" ht="15" customHeight="1" x14ac:dyDescent="0.3">
      <c r="A535" s="41"/>
      <c r="B535" s="20">
        <v>44118</v>
      </c>
      <c r="C535" s="41"/>
      <c r="D535" s="41" t="s">
        <v>810</v>
      </c>
      <c r="E535" s="41" t="s">
        <v>811</v>
      </c>
      <c r="F535" s="41" t="s">
        <v>615</v>
      </c>
      <c r="G535" s="41" t="s">
        <v>53</v>
      </c>
      <c r="H535" s="55">
        <v>19960</v>
      </c>
      <c r="I535" s="56">
        <v>0.15</v>
      </c>
      <c r="J535" s="55">
        <v>3443.1</v>
      </c>
      <c r="K535" s="55">
        <v>2594.7999999999997</v>
      </c>
      <c r="L535" s="55">
        <v>2994</v>
      </c>
      <c r="M535" s="41" t="s">
        <v>10</v>
      </c>
      <c r="N535" s="41" t="s">
        <v>54</v>
      </c>
      <c r="O535" s="41" t="s">
        <v>55</v>
      </c>
      <c r="P535" s="57">
        <v>44135</v>
      </c>
      <c r="Q535" s="41">
        <f>+H535+L535</f>
        <v>22954</v>
      </c>
      <c r="R535" s="41">
        <f>+J535+K535+L535</f>
        <v>9031.9</v>
      </c>
      <c r="S535" s="41">
        <f>+MONTH(B535)</f>
        <v>10</v>
      </c>
      <c r="T535" s="41">
        <f>+YEAR(B535)</f>
        <v>2020</v>
      </c>
      <c r="U535" s="41" t="s">
        <v>364</v>
      </c>
    </row>
    <row r="536" spans="1:21" ht="15" customHeight="1" x14ac:dyDescent="0.3">
      <c r="A536" s="41"/>
      <c r="B536" s="20">
        <v>44483</v>
      </c>
      <c r="C536" s="41"/>
      <c r="D536" s="41" t="s">
        <v>812</v>
      </c>
      <c r="E536" s="41" t="s">
        <v>811</v>
      </c>
      <c r="F536" s="41" t="s">
        <v>615</v>
      </c>
      <c r="G536" s="41" t="s">
        <v>53</v>
      </c>
      <c r="H536" s="55">
        <v>1749.92</v>
      </c>
      <c r="I536" s="56">
        <v>0.15</v>
      </c>
      <c r="J536" s="55">
        <v>301.86149999999998</v>
      </c>
      <c r="K536" s="55">
        <v>213.48994000000005</v>
      </c>
      <c r="L536" s="55">
        <v>262.49</v>
      </c>
      <c r="M536" s="41" t="s">
        <v>10</v>
      </c>
      <c r="N536" s="41" t="s">
        <v>54</v>
      </c>
      <c r="O536" s="41" t="s">
        <v>55</v>
      </c>
      <c r="P536" s="57">
        <v>44500</v>
      </c>
      <c r="Q536" s="41">
        <f>+H536+L536</f>
        <v>2012.41</v>
      </c>
      <c r="R536" s="41">
        <f>+J536+K536+L536</f>
        <v>777.84144000000003</v>
      </c>
      <c r="S536" s="41">
        <f>+MONTH(B536)</f>
        <v>10</v>
      </c>
      <c r="T536" s="41">
        <f>+YEAR(B536)</f>
        <v>2021</v>
      </c>
      <c r="U536" s="41" t="s">
        <v>364</v>
      </c>
    </row>
    <row r="537" spans="1:21" ht="15" customHeight="1" x14ac:dyDescent="0.3">
      <c r="A537" s="41"/>
      <c r="B537" s="20">
        <v>45209</v>
      </c>
      <c r="C537" s="41"/>
      <c r="D537" s="41" t="s">
        <v>813</v>
      </c>
      <c r="E537" s="41" t="s">
        <v>792</v>
      </c>
      <c r="F537" s="41" t="s">
        <v>363</v>
      </c>
      <c r="G537" s="41" t="s">
        <v>53</v>
      </c>
      <c r="H537" s="55">
        <v>86.96</v>
      </c>
      <c r="I537" s="56">
        <v>0.17499999999999999</v>
      </c>
      <c r="J537" s="55">
        <v>17.5</v>
      </c>
      <c r="K537" s="55">
        <v>8.5445199999999986</v>
      </c>
      <c r="L537" s="55">
        <v>13.04</v>
      </c>
      <c r="M537" s="41" t="s">
        <v>10</v>
      </c>
      <c r="N537" s="41" t="s">
        <v>54</v>
      </c>
      <c r="O537" s="41" t="s">
        <v>55</v>
      </c>
      <c r="P537" s="57">
        <v>45230</v>
      </c>
      <c r="Q537" s="41">
        <f>+H537+L537</f>
        <v>100</v>
      </c>
      <c r="R537" s="41">
        <f>+J537+K537+L537</f>
        <v>39.084519999999998</v>
      </c>
      <c r="S537" s="41">
        <f>+MONTH(B537)</f>
        <v>10</v>
      </c>
      <c r="T537" s="41">
        <f>+YEAR(B537)</f>
        <v>2023</v>
      </c>
      <c r="U537" s="41" t="s">
        <v>364</v>
      </c>
    </row>
    <row r="538" spans="1:21" ht="15" customHeight="1" x14ac:dyDescent="0.3">
      <c r="A538" s="41"/>
      <c r="B538" s="20">
        <v>44118</v>
      </c>
      <c r="C538" s="41"/>
      <c r="D538" s="41" t="s">
        <v>814</v>
      </c>
      <c r="E538" s="41" t="s">
        <v>815</v>
      </c>
      <c r="F538" s="41" t="s">
        <v>615</v>
      </c>
      <c r="G538" s="41" t="s">
        <v>53</v>
      </c>
      <c r="H538" s="55">
        <v>19960</v>
      </c>
      <c r="I538" s="56">
        <v>0.15</v>
      </c>
      <c r="J538" s="55">
        <v>3443.1</v>
      </c>
      <c r="K538" s="55">
        <v>2594.7999999999997</v>
      </c>
      <c r="L538" s="55">
        <v>2994</v>
      </c>
      <c r="M538" s="41" t="s">
        <v>10</v>
      </c>
      <c r="N538" s="41" t="s">
        <v>54</v>
      </c>
      <c r="O538" s="41" t="s">
        <v>55</v>
      </c>
      <c r="P538" s="57">
        <v>44135</v>
      </c>
      <c r="Q538" s="41">
        <f>+H538+L538</f>
        <v>22954</v>
      </c>
      <c r="R538" s="41">
        <f>+J538+K538+L538</f>
        <v>9031.9</v>
      </c>
      <c r="S538" s="41">
        <f>+MONTH(B538)</f>
        <v>10</v>
      </c>
      <c r="T538" s="41">
        <f>+YEAR(B538)</f>
        <v>2020</v>
      </c>
      <c r="U538" s="41" t="s">
        <v>364</v>
      </c>
    </row>
    <row r="539" spans="1:21" ht="15" customHeight="1" x14ac:dyDescent="0.3">
      <c r="A539" s="41"/>
      <c r="B539" s="20">
        <v>45206</v>
      </c>
      <c r="C539" s="41"/>
      <c r="D539" s="41" t="s">
        <v>816</v>
      </c>
      <c r="E539" s="41" t="s">
        <v>792</v>
      </c>
      <c r="F539" s="41" t="s">
        <v>363</v>
      </c>
      <c r="G539" s="41" t="s">
        <v>53</v>
      </c>
      <c r="H539" s="55">
        <v>86.96</v>
      </c>
      <c r="I539" s="56">
        <v>0.17499999999999999</v>
      </c>
      <c r="J539" s="55">
        <v>17.5</v>
      </c>
      <c r="K539" s="55">
        <v>8.5445199999999986</v>
      </c>
      <c r="L539" s="55">
        <v>13.04</v>
      </c>
      <c r="M539" s="41" t="s">
        <v>10</v>
      </c>
      <c r="N539" s="41" t="s">
        <v>54</v>
      </c>
      <c r="O539" s="41" t="s">
        <v>55</v>
      </c>
      <c r="P539" s="57">
        <v>45230</v>
      </c>
      <c r="Q539" s="41">
        <f>+H539+L539</f>
        <v>100</v>
      </c>
      <c r="R539" s="41">
        <f>+J539+K539+L539</f>
        <v>39.084519999999998</v>
      </c>
      <c r="S539" s="41">
        <f>+MONTH(B539)</f>
        <v>10</v>
      </c>
      <c r="T539" s="41">
        <f>+YEAR(B539)</f>
        <v>2023</v>
      </c>
      <c r="U539" s="41" t="s">
        <v>364</v>
      </c>
    </row>
    <row r="540" spans="1:21" ht="15" customHeight="1" x14ac:dyDescent="0.3">
      <c r="A540" s="41"/>
      <c r="B540" s="20">
        <v>44483</v>
      </c>
      <c r="C540" s="41"/>
      <c r="D540" s="41" t="s">
        <v>817</v>
      </c>
      <c r="E540" s="41" t="s">
        <v>815</v>
      </c>
      <c r="F540" s="41" t="s">
        <v>615</v>
      </c>
      <c r="G540" s="41" t="s">
        <v>53</v>
      </c>
      <c r="H540" s="55">
        <v>1749.92</v>
      </c>
      <c r="I540" s="56">
        <v>0.15</v>
      </c>
      <c r="J540" s="55">
        <v>301.86149999999998</v>
      </c>
      <c r="K540" s="55">
        <v>213.48994000000005</v>
      </c>
      <c r="L540" s="55">
        <v>262.49</v>
      </c>
      <c r="M540" s="41" t="s">
        <v>10</v>
      </c>
      <c r="N540" s="41" t="s">
        <v>54</v>
      </c>
      <c r="O540" s="41" t="s">
        <v>55</v>
      </c>
      <c r="P540" s="57">
        <v>44500</v>
      </c>
      <c r="Q540" s="41">
        <f>+H540+L540</f>
        <v>2012.41</v>
      </c>
      <c r="R540" s="41">
        <f>+J540+K540+L540</f>
        <v>777.84144000000003</v>
      </c>
      <c r="S540" s="41">
        <f>+MONTH(B540)</f>
        <v>10</v>
      </c>
      <c r="T540" s="41">
        <f>+YEAR(B540)</f>
        <v>2021</v>
      </c>
      <c r="U540" s="41" t="s">
        <v>364</v>
      </c>
    </row>
    <row r="541" spans="1:21" ht="15" customHeight="1" x14ac:dyDescent="0.3">
      <c r="A541" s="41"/>
      <c r="B541" s="20">
        <v>45198</v>
      </c>
      <c r="C541" s="41"/>
      <c r="D541" s="41" t="s">
        <v>818</v>
      </c>
      <c r="E541" s="41" t="s">
        <v>792</v>
      </c>
      <c r="F541" s="41" t="s">
        <v>363</v>
      </c>
      <c r="G541" s="41" t="s">
        <v>53</v>
      </c>
      <c r="H541" s="55">
        <v>86.96</v>
      </c>
      <c r="I541" s="56">
        <v>0.17499999999999999</v>
      </c>
      <c r="J541" s="55">
        <v>17.5</v>
      </c>
      <c r="K541" s="55">
        <v>8.5445199999999986</v>
      </c>
      <c r="L541" s="55">
        <v>13.04</v>
      </c>
      <c r="M541" s="41" t="s">
        <v>10</v>
      </c>
      <c r="N541" s="41" t="s">
        <v>54</v>
      </c>
      <c r="O541" s="41" t="s">
        <v>55</v>
      </c>
      <c r="P541" s="57">
        <v>45199</v>
      </c>
      <c r="Q541" s="41">
        <f>+H541+L541</f>
        <v>100</v>
      </c>
      <c r="R541" s="41">
        <f>+J541+K541+L541</f>
        <v>39.084519999999998</v>
      </c>
      <c r="S541" s="41">
        <f>+MONTH(B541)</f>
        <v>9</v>
      </c>
      <c r="T541" s="41">
        <f>+YEAR(B541)</f>
        <v>2023</v>
      </c>
      <c r="U541" s="41" t="s">
        <v>364</v>
      </c>
    </row>
    <row r="542" spans="1:21" ht="15" customHeight="1" x14ac:dyDescent="0.3">
      <c r="A542" s="41"/>
      <c r="B542" s="20">
        <v>44118</v>
      </c>
      <c r="C542" s="41"/>
      <c r="D542" s="41" t="s">
        <v>819</v>
      </c>
      <c r="E542" s="41" t="s">
        <v>820</v>
      </c>
      <c r="F542" s="41" t="s">
        <v>615</v>
      </c>
      <c r="G542" s="41" t="s">
        <v>53</v>
      </c>
      <c r="H542" s="55">
        <v>19960</v>
      </c>
      <c r="I542" s="56">
        <v>0.15</v>
      </c>
      <c r="J542" s="55">
        <v>3443.1</v>
      </c>
      <c r="K542" s="55">
        <v>2594.7999999999997</v>
      </c>
      <c r="L542" s="55">
        <v>2994</v>
      </c>
      <c r="M542" s="41" t="s">
        <v>10</v>
      </c>
      <c r="N542" s="41" t="s">
        <v>54</v>
      </c>
      <c r="O542" s="41" t="s">
        <v>55</v>
      </c>
      <c r="P542" s="57">
        <v>44135</v>
      </c>
      <c r="Q542" s="41">
        <f>+H542+L542</f>
        <v>22954</v>
      </c>
      <c r="R542" s="41">
        <f>+J542+K542+L542</f>
        <v>9031.9</v>
      </c>
      <c r="S542" s="41">
        <f>+MONTH(B542)</f>
        <v>10</v>
      </c>
      <c r="T542" s="41">
        <f>+YEAR(B542)</f>
        <v>2020</v>
      </c>
      <c r="U542" s="41" t="s">
        <v>364</v>
      </c>
    </row>
    <row r="543" spans="1:21" ht="15" customHeight="1" x14ac:dyDescent="0.3">
      <c r="A543" s="41"/>
      <c r="B543" s="20">
        <v>44483</v>
      </c>
      <c r="C543" s="41"/>
      <c r="D543" s="41" t="s">
        <v>821</v>
      </c>
      <c r="E543" s="41" t="s">
        <v>820</v>
      </c>
      <c r="F543" s="41" t="s">
        <v>615</v>
      </c>
      <c r="G543" s="41" t="s">
        <v>53</v>
      </c>
      <c r="H543" s="55">
        <v>1749.92</v>
      </c>
      <c r="I543" s="56">
        <v>0.15</v>
      </c>
      <c r="J543" s="55">
        <v>301.86149999999998</v>
      </c>
      <c r="K543" s="55">
        <v>213.48994000000005</v>
      </c>
      <c r="L543" s="55">
        <v>262.49</v>
      </c>
      <c r="M543" s="41" t="s">
        <v>10</v>
      </c>
      <c r="N543" s="41" t="s">
        <v>54</v>
      </c>
      <c r="O543" s="41" t="s">
        <v>55</v>
      </c>
      <c r="P543" s="57">
        <v>44500</v>
      </c>
      <c r="Q543" s="41">
        <f>+H543+L543</f>
        <v>2012.41</v>
      </c>
      <c r="R543" s="41">
        <f>+J543+K543+L543</f>
        <v>777.84144000000003</v>
      </c>
      <c r="S543" s="41">
        <f>+MONTH(B543)</f>
        <v>10</v>
      </c>
      <c r="T543" s="41">
        <f>+YEAR(B543)</f>
        <v>2021</v>
      </c>
      <c r="U543" s="41" t="s">
        <v>364</v>
      </c>
    </row>
    <row r="544" spans="1:21" ht="15" customHeight="1" x14ac:dyDescent="0.3">
      <c r="A544" s="41"/>
      <c r="B544" s="20">
        <v>44513</v>
      </c>
      <c r="C544" s="41"/>
      <c r="D544" s="41" t="s">
        <v>822</v>
      </c>
      <c r="E544" s="41" t="s">
        <v>709</v>
      </c>
      <c r="F544" s="41" t="s">
        <v>615</v>
      </c>
      <c r="G544" s="41" t="s">
        <v>53</v>
      </c>
      <c r="H544" s="55">
        <v>904.35</v>
      </c>
      <c r="I544" s="56">
        <v>0.15</v>
      </c>
      <c r="J544" s="55">
        <v>156</v>
      </c>
      <c r="K544" s="55">
        <v>110.331075</v>
      </c>
      <c r="L544" s="55">
        <v>135.65</v>
      </c>
      <c r="M544" s="41" t="s">
        <v>10</v>
      </c>
      <c r="N544" s="41" t="s">
        <v>54</v>
      </c>
      <c r="O544" s="41" t="s">
        <v>55</v>
      </c>
      <c r="P544" s="57">
        <v>44530</v>
      </c>
      <c r="Q544" s="41">
        <f>+H544+L544</f>
        <v>1040</v>
      </c>
      <c r="R544" s="41">
        <f>+J544+K544+L544</f>
        <v>401.98107500000003</v>
      </c>
      <c r="S544" s="41">
        <f>+MONTH(B544)</f>
        <v>11</v>
      </c>
      <c r="T544" s="41">
        <f>+YEAR(B544)</f>
        <v>2021</v>
      </c>
      <c r="U544" s="41" t="s">
        <v>364</v>
      </c>
    </row>
    <row r="545" spans="1:21" ht="15" customHeight="1" x14ac:dyDescent="0.3">
      <c r="A545" s="41"/>
      <c r="B545" s="20">
        <v>44878</v>
      </c>
      <c r="C545" s="41"/>
      <c r="D545" s="41" t="s">
        <v>823</v>
      </c>
      <c r="E545" s="41" t="s">
        <v>709</v>
      </c>
      <c r="F545" s="41" t="s">
        <v>615</v>
      </c>
      <c r="G545" s="41" t="s">
        <v>53</v>
      </c>
      <c r="H545" s="55">
        <v>904.35</v>
      </c>
      <c r="I545" s="56">
        <v>0.15</v>
      </c>
      <c r="J545" s="55">
        <v>156</v>
      </c>
      <c r="K545" s="55">
        <v>114.852825</v>
      </c>
      <c r="L545" s="55">
        <v>135.65</v>
      </c>
      <c r="M545" s="41" t="s">
        <v>10</v>
      </c>
      <c r="N545" s="41" t="s">
        <v>54</v>
      </c>
      <c r="O545" s="41" t="s">
        <v>55</v>
      </c>
      <c r="P545" s="57">
        <v>44895</v>
      </c>
      <c r="Q545" s="41">
        <f>+H545+L545</f>
        <v>1040</v>
      </c>
      <c r="R545" s="41">
        <f>+J545+K545+L545</f>
        <v>406.50282500000003</v>
      </c>
      <c r="S545" s="41">
        <f>+MONTH(B545)</f>
        <v>11</v>
      </c>
      <c r="T545" s="41">
        <f>+YEAR(B545)</f>
        <v>2022</v>
      </c>
      <c r="U545" s="41" t="s">
        <v>364</v>
      </c>
    </row>
    <row r="546" spans="1:21" ht="15" customHeight="1" x14ac:dyDescent="0.3">
      <c r="A546" s="41"/>
      <c r="B546" s="20">
        <v>44280</v>
      </c>
      <c r="C546" s="41"/>
      <c r="D546" s="41" t="s">
        <v>824</v>
      </c>
      <c r="E546" s="41" t="s">
        <v>825</v>
      </c>
      <c r="F546" s="41" t="s">
        <v>383</v>
      </c>
      <c r="G546" s="41" t="s">
        <v>53</v>
      </c>
      <c r="H546" s="55">
        <v>173.91</v>
      </c>
      <c r="I546" s="56">
        <v>0.13500000000000001</v>
      </c>
      <c r="J546" s="55">
        <v>27</v>
      </c>
      <c r="K546" s="55">
        <v>24.216494999999995</v>
      </c>
      <c r="L546" s="55">
        <v>26.09</v>
      </c>
      <c r="M546" s="41" t="s">
        <v>10</v>
      </c>
      <c r="N546" s="41" t="s">
        <v>54</v>
      </c>
      <c r="O546" s="41" t="s">
        <v>55</v>
      </c>
      <c r="P546" s="57">
        <v>44286</v>
      </c>
      <c r="Q546" s="41">
        <f>+H546+L546</f>
        <v>200</v>
      </c>
      <c r="R546" s="41">
        <f>+J546+K546+L546</f>
        <v>77.306494999999998</v>
      </c>
      <c r="S546" s="41">
        <f>+MONTH(B546)</f>
        <v>3</v>
      </c>
      <c r="T546" s="41">
        <f>+YEAR(B546)</f>
        <v>2021</v>
      </c>
      <c r="U546" s="41" t="s">
        <v>364</v>
      </c>
    </row>
    <row r="547" spans="1:21" ht="15" customHeight="1" x14ac:dyDescent="0.3">
      <c r="A547" s="41"/>
      <c r="B547" s="20">
        <v>44148</v>
      </c>
      <c r="C547" s="41"/>
      <c r="D547" s="41" t="s">
        <v>826</v>
      </c>
      <c r="E547" s="41" t="s">
        <v>709</v>
      </c>
      <c r="F547" s="41" t="s">
        <v>615</v>
      </c>
      <c r="G547" s="41" t="s">
        <v>53</v>
      </c>
      <c r="H547" s="55">
        <v>904.35</v>
      </c>
      <c r="I547" s="56">
        <v>0.15</v>
      </c>
      <c r="J547" s="55">
        <v>156</v>
      </c>
      <c r="K547" s="55">
        <v>117.56587500000001</v>
      </c>
      <c r="L547" s="55">
        <v>135.65</v>
      </c>
      <c r="M547" s="41" t="s">
        <v>10</v>
      </c>
      <c r="N547" s="41" t="s">
        <v>54</v>
      </c>
      <c r="O547" s="41" t="s">
        <v>55</v>
      </c>
      <c r="P547" s="57">
        <v>44165</v>
      </c>
      <c r="Q547" s="41">
        <f>+H547+L547</f>
        <v>1040</v>
      </c>
      <c r="R547" s="41">
        <f>+J547+K547+L547</f>
        <v>409.21587499999998</v>
      </c>
      <c r="S547" s="41">
        <f>+MONTH(B547)</f>
        <v>11</v>
      </c>
      <c r="T547" s="41">
        <f>+YEAR(B547)</f>
        <v>2020</v>
      </c>
      <c r="U547" s="41" t="s">
        <v>364</v>
      </c>
    </row>
    <row r="548" spans="1:21" ht="15" customHeight="1" x14ac:dyDescent="0.3">
      <c r="A548" s="41"/>
      <c r="B548" s="20">
        <v>44645</v>
      </c>
      <c r="C548" s="41"/>
      <c r="D548" s="41" t="s">
        <v>827</v>
      </c>
      <c r="E548" s="41" t="s">
        <v>825</v>
      </c>
      <c r="F548" s="41" t="s">
        <v>383</v>
      </c>
      <c r="G548" s="41" t="s">
        <v>53</v>
      </c>
      <c r="H548" s="55">
        <v>173.91</v>
      </c>
      <c r="I548" s="56">
        <v>0.13500000000000001</v>
      </c>
      <c r="J548" s="55">
        <v>27</v>
      </c>
      <c r="K548" s="55">
        <v>25.086044999999999</v>
      </c>
      <c r="L548" s="55">
        <v>26.09</v>
      </c>
      <c r="M548" s="41" t="s">
        <v>10</v>
      </c>
      <c r="N548" s="41" t="s">
        <v>54</v>
      </c>
      <c r="O548" s="41" t="s">
        <v>55</v>
      </c>
      <c r="P548" s="57">
        <v>44651</v>
      </c>
      <c r="Q548" s="41">
        <f>+H548+L548</f>
        <v>200</v>
      </c>
      <c r="R548" s="41">
        <f>+J548+K548+L548</f>
        <v>78.176045000000002</v>
      </c>
      <c r="S548" s="41">
        <f>+MONTH(B548)</f>
        <v>3</v>
      </c>
      <c r="T548" s="41">
        <f>+YEAR(B548)</f>
        <v>2022</v>
      </c>
      <c r="U548" s="41" t="s">
        <v>364</v>
      </c>
    </row>
    <row r="549" spans="1:21" ht="15" customHeight="1" x14ac:dyDescent="0.3">
      <c r="A549" s="41"/>
      <c r="B549" s="20">
        <v>45010</v>
      </c>
      <c r="C549" s="41"/>
      <c r="D549" s="41" t="s">
        <v>828</v>
      </c>
      <c r="E549" s="41" t="s">
        <v>825</v>
      </c>
      <c r="F549" s="41" t="s">
        <v>383</v>
      </c>
      <c r="G549" s="41" t="s">
        <v>53</v>
      </c>
      <c r="H549" s="55">
        <v>173.91</v>
      </c>
      <c r="I549" s="56">
        <v>0.13500000000000001</v>
      </c>
      <c r="J549" s="55">
        <v>27</v>
      </c>
      <c r="K549" s="55">
        <v>25.086044999999999</v>
      </c>
      <c r="L549" s="55">
        <v>26.09</v>
      </c>
      <c r="M549" s="41" t="s">
        <v>10</v>
      </c>
      <c r="N549" s="41" t="s">
        <v>54</v>
      </c>
      <c r="O549" s="41" t="s">
        <v>55</v>
      </c>
      <c r="P549" s="57">
        <v>45016</v>
      </c>
      <c r="Q549" s="41">
        <f>+H549+L549</f>
        <v>200</v>
      </c>
      <c r="R549" s="41">
        <f>+J549+K549+L549</f>
        <v>78.176045000000002</v>
      </c>
      <c r="S549" s="41">
        <f>+MONTH(B549)</f>
        <v>3</v>
      </c>
      <c r="T549" s="41">
        <f>+YEAR(B549)</f>
        <v>2023</v>
      </c>
      <c r="U549" s="41" t="s">
        <v>364</v>
      </c>
    </row>
    <row r="550" spans="1:21" ht="15" customHeight="1" x14ac:dyDescent="0.3">
      <c r="A550" s="41"/>
      <c r="B550" s="20">
        <v>45376</v>
      </c>
      <c r="C550" s="41"/>
      <c r="D550" s="41" t="s">
        <v>829</v>
      </c>
      <c r="E550" s="41" t="s">
        <v>825</v>
      </c>
      <c r="F550" s="41" t="s">
        <v>383</v>
      </c>
      <c r="G550" s="41" t="s">
        <v>53</v>
      </c>
      <c r="H550" s="55">
        <v>173.91</v>
      </c>
      <c r="I550" s="56">
        <v>0.13500000000000001</v>
      </c>
      <c r="J550" s="55">
        <v>27</v>
      </c>
      <c r="K550" s="55">
        <v>26.672973749999997</v>
      </c>
      <c r="L550" s="55">
        <v>26.09</v>
      </c>
      <c r="M550" s="41" t="s">
        <v>10</v>
      </c>
      <c r="N550" s="41" t="s">
        <v>54</v>
      </c>
      <c r="O550" s="41" t="s">
        <v>55</v>
      </c>
      <c r="P550" s="57">
        <v>45382</v>
      </c>
      <c r="Q550" s="41">
        <f>+H550+L550</f>
        <v>200</v>
      </c>
      <c r="R550" s="41">
        <f>+J550+K550+L550</f>
        <v>79.76297375</v>
      </c>
      <c r="S550" s="41">
        <f>+MONTH(B550)</f>
        <v>3</v>
      </c>
      <c r="T550" s="41">
        <f>+YEAR(B550)</f>
        <v>2024</v>
      </c>
      <c r="U550" s="41" t="s">
        <v>364</v>
      </c>
    </row>
    <row r="551" spans="1:21" ht="15" customHeight="1" x14ac:dyDescent="0.3">
      <c r="A551" s="41"/>
      <c r="B551" s="20">
        <v>44292</v>
      </c>
      <c r="C551" s="41"/>
      <c r="D551" s="41" t="s">
        <v>830</v>
      </c>
      <c r="E551" s="41" t="s">
        <v>825</v>
      </c>
      <c r="F551" s="41" t="s">
        <v>383</v>
      </c>
      <c r="G551" s="41" t="s">
        <v>53</v>
      </c>
      <c r="H551" s="55">
        <v>173.91</v>
      </c>
      <c r="I551" s="56">
        <v>0.13500000000000001</v>
      </c>
      <c r="J551" s="55">
        <v>27</v>
      </c>
      <c r="K551" s="55">
        <v>24.216494999999995</v>
      </c>
      <c r="L551" s="55">
        <v>26.09</v>
      </c>
      <c r="M551" s="41" t="s">
        <v>10</v>
      </c>
      <c r="N551" s="41" t="s">
        <v>54</v>
      </c>
      <c r="O551" s="41" t="s">
        <v>55</v>
      </c>
      <c r="P551" s="57">
        <v>44316</v>
      </c>
      <c r="Q551" s="41">
        <f>+H551+L551</f>
        <v>200</v>
      </c>
      <c r="R551" s="41">
        <f>+J551+K551+L551</f>
        <v>77.306494999999998</v>
      </c>
      <c r="S551" s="41">
        <f>+MONTH(B551)</f>
        <v>4</v>
      </c>
      <c r="T551" s="41">
        <f>+YEAR(B551)</f>
        <v>2021</v>
      </c>
      <c r="U551" s="41" t="s">
        <v>364</v>
      </c>
    </row>
    <row r="552" spans="1:21" ht="15" customHeight="1" x14ac:dyDescent="0.3">
      <c r="A552" s="41"/>
      <c r="B552" s="20">
        <v>44657</v>
      </c>
      <c r="C552" s="41"/>
      <c r="D552" s="41" t="s">
        <v>831</v>
      </c>
      <c r="E552" s="41" t="s">
        <v>825</v>
      </c>
      <c r="F552" s="41" t="s">
        <v>383</v>
      </c>
      <c r="G552" s="41" t="s">
        <v>53</v>
      </c>
      <c r="H552" s="55">
        <v>173.91</v>
      </c>
      <c r="I552" s="56">
        <v>0.13500000000000001</v>
      </c>
      <c r="J552" s="55">
        <v>27</v>
      </c>
      <c r="K552" s="55">
        <v>25.086044999999999</v>
      </c>
      <c r="L552" s="55">
        <v>26.09</v>
      </c>
      <c r="M552" s="41" t="s">
        <v>10</v>
      </c>
      <c r="N552" s="41" t="s">
        <v>54</v>
      </c>
      <c r="O552" s="41" t="s">
        <v>55</v>
      </c>
      <c r="P552" s="57">
        <v>44681</v>
      </c>
      <c r="Q552" s="41">
        <f>+H552+L552</f>
        <v>200</v>
      </c>
      <c r="R552" s="41">
        <f>+J552+K552+L552</f>
        <v>78.176045000000002</v>
      </c>
      <c r="S552" s="41">
        <f>+MONTH(B552)</f>
        <v>4</v>
      </c>
      <c r="T552" s="41">
        <f>+YEAR(B552)</f>
        <v>2022</v>
      </c>
      <c r="U552" s="41" t="s">
        <v>364</v>
      </c>
    </row>
    <row r="553" spans="1:21" ht="15" customHeight="1" x14ac:dyDescent="0.3">
      <c r="A553" s="41"/>
      <c r="B553" s="20">
        <v>45022</v>
      </c>
      <c r="C553" s="41"/>
      <c r="D553" s="41" t="s">
        <v>832</v>
      </c>
      <c r="E553" s="41" t="s">
        <v>825</v>
      </c>
      <c r="F553" s="41" t="s">
        <v>383</v>
      </c>
      <c r="G553" s="41" t="s">
        <v>53</v>
      </c>
      <c r="H553" s="55">
        <v>173.91</v>
      </c>
      <c r="I553" s="56">
        <v>0.13500000000000001</v>
      </c>
      <c r="J553" s="55">
        <v>27</v>
      </c>
      <c r="K553" s="55">
        <v>25.086044999999999</v>
      </c>
      <c r="L553" s="55">
        <v>26.09</v>
      </c>
      <c r="M553" s="41" t="s">
        <v>10</v>
      </c>
      <c r="N553" s="41" t="s">
        <v>54</v>
      </c>
      <c r="O553" s="41" t="s">
        <v>55</v>
      </c>
      <c r="P553" s="57">
        <v>45046</v>
      </c>
      <c r="Q553" s="41">
        <f>+H553+L553</f>
        <v>200</v>
      </c>
      <c r="R553" s="41">
        <f>+J553+K553+L553</f>
        <v>78.176045000000002</v>
      </c>
      <c r="S553" s="41">
        <f>+MONTH(B553)</f>
        <v>4</v>
      </c>
      <c r="T553" s="41">
        <f>+YEAR(B553)</f>
        <v>2023</v>
      </c>
      <c r="U553" s="41" t="s">
        <v>364</v>
      </c>
    </row>
    <row r="554" spans="1:21" ht="15" customHeight="1" x14ac:dyDescent="0.3">
      <c r="A554" s="41"/>
      <c r="B554" s="20">
        <v>45388</v>
      </c>
      <c r="C554" s="41"/>
      <c r="D554" s="41" t="s">
        <v>833</v>
      </c>
      <c r="E554" s="41" t="s">
        <v>825</v>
      </c>
      <c r="F554" s="41" t="s">
        <v>383</v>
      </c>
      <c r="G554" s="41" t="s">
        <v>53</v>
      </c>
      <c r="H554" s="55">
        <v>173.91</v>
      </c>
      <c r="I554" s="56">
        <v>0.13500000000000001</v>
      </c>
      <c r="J554" s="55">
        <v>27</v>
      </c>
      <c r="K554" s="55">
        <v>26.672973749999997</v>
      </c>
      <c r="L554" s="55">
        <v>26.09</v>
      </c>
      <c r="M554" s="41" t="s">
        <v>10</v>
      </c>
      <c r="N554" s="41" t="s">
        <v>54</v>
      </c>
      <c r="O554" s="41" t="s">
        <v>55</v>
      </c>
      <c r="P554" s="57">
        <v>45412</v>
      </c>
      <c r="Q554" s="41">
        <f>+H554+L554</f>
        <v>200</v>
      </c>
      <c r="R554" s="41">
        <f>+J554+K554+L554</f>
        <v>79.76297375</v>
      </c>
      <c r="S554" s="41">
        <f>+MONTH(B554)</f>
        <v>4</v>
      </c>
      <c r="T554" s="41">
        <f>+YEAR(B554)</f>
        <v>2024</v>
      </c>
      <c r="U554" s="41" t="s">
        <v>364</v>
      </c>
    </row>
    <row r="555" spans="1:21" ht="15" customHeight="1" x14ac:dyDescent="0.3">
      <c r="A555" s="41"/>
      <c r="B555" s="20">
        <v>44998</v>
      </c>
      <c r="C555" s="41"/>
      <c r="D555" s="41" t="s">
        <v>834</v>
      </c>
      <c r="E555" s="41" t="s">
        <v>835</v>
      </c>
      <c r="F555" s="41" t="s">
        <v>363</v>
      </c>
      <c r="G555" s="41" t="s">
        <v>53</v>
      </c>
      <c r="H555" s="55">
        <v>86.96</v>
      </c>
      <c r="I555" s="56">
        <v>0.17499999999999999</v>
      </c>
      <c r="J555" s="55">
        <v>17.5</v>
      </c>
      <c r="K555" s="55">
        <v>8.5445199999999986</v>
      </c>
      <c r="L555" s="55">
        <v>13.04</v>
      </c>
      <c r="M555" s="41" t="s">
        <v>10</v>
      </c>
      <c r="N555" s="41" t="s">
        <v>54</v>
      </c>
      <c r="O555" s="41" t="s">
        <v>55</v>
      </c>
      <c r="P555" s="57">
        <v>45016</v>
      </c>
      <c r="Q555" s="41">
        <f>+H555+L555</f>
        <v>100</v>
      </c>
      <c r="R555" s="41">
        <f>+J555+K555+L555</f>
        <v>39.084519999999998</v>
      </c>
      <c r="S555" s="41">
        <f>+MONTH(B555)</f>
        <v>3</v>
      </c>
      <c r="T555" s="41">
        <f>+YEAR(B555)</f>
        <v>2023</v>
      </c>
      <c r="U555" s="41" t="s">
        <v>364</v>
      </c>
    </row>
    <row r="556" spans="1:21" ht="15" customHeight="1" x14ac:dyDescent="0.3">
      <c r="A556" s="41"/>
      <c r="B556" s="20">
        <v>45364</v>
      </c>
      <c r="C556" s="41"/>
      <c r="D556" s="41" t="s">
        <v>836</v>
      </c>
      <c r="E556" s="41" t="s">
        <v>835</v>
      </c>
      <c r="F556" s="41" t="s">
        <v>363</v>
      </c>
      <c r="G556" s="41" t="s">
        <v>53</v>
      </c>
      <c r="H556" s="55">
        <v>86.96</v>
      </c>
      <c r="I556" s="56">
        <v>0.17499999999999999</v>
      </c>
      <c r="J556" s="55">
        <v>17.5</v>
      </c>
      <c r="K556" s="55">
        <v>9.3380299999999963</v>
      </c>
      <c r="L556" s="55">
        <v>13.04</v>
      </c>
      <c r="M556" s="41" t="s">
        <v>10</v>
      </c>
      <c r="N556" s="41" t="s">
        <v>54</v>
      </c>
      <c r="O556" s="41" t="s">
        <v>55</v>
      </c>
      <c r="P556" s="57">
        <v>45382</v>
      </c>
      <c r="Q556" s="41">
        <f>+H556+L556</f>
        <v>100</v>
      </c>
      <c r="R556" s="41">
        <f>+J556+K556+L556</f>
        <v>39.878029999999995</v>
      </c>
      <c r="S556" s="41">
        <f>+MONTH(B556)</f>
        <v>3</v>
      </c>
      <c r="T556" s="41">
        <f>+YEAR(B556)</f>
        <v>2024</v>
      </c>
      <c r="U556" s="41" t="s">
        <v>364</v>
      </c>
    </row>
    <row r="557" spans="1:21" ht="15" customHeight="1" x14ac:dyDescent="0.3">
      <c r="A557" s="41"/>
      <c r="B557" s="20">
        <v>44605</v>
      </c>
      <c r="C557" s="41"/>
      <c r="D557" s="41" t="s">
        <v>837</v>
      </c>
      <c r="E557" s="41" t="s">
        <v>835</v>
      </c>
      <c r="F557" s="41" t="s">
        <v>363</v>
      </c>
      <c r="G557" s="41" t="s">
        <v>53</v>
      </c>
      <c r="H557" s="55">
        <v>86.96</v>
      </c>
      <c r="I557" s="56">
        <v>0.17499999999999999</v>
      </c>
      <c r="J557" s="55">
        <v>17.5</v>
      </c>
      <c r="K557" s="55">
        <v>8.5445199999999986</v>
      </c>
      <c r="L557" s="55">
        <v>13.04</v>
      </c>
      <c r="M557" s="41" t="s">
        <v>10</v>
      </c>
      <c r="N557" s="41" t="s">
        <v>54</v>
      </c>
      <c r="O557" s="41" t="s">
        <v>55</v>
      </c>
      <c r="P557" s="57">
        <v>44620</v>
      </c>
      <c r="Q557" s="41">
        <f>+H557+L557</f>
        <v>100</v>
      </c>
      <c r="R557" s="41">
        <f>+J557+K557+L557</f>
        <v>39.084519999999998</v>
      </c>
      <c r="S557" s="41">
        <f>+MONTH(B557)</f>
        <v>2</v>
      </c>
      <c r="T557" s="41">
        <f>+YEAR(B557)</f>
        <v>2022</v>
      </c>
      <c r="U557" s="41" t="s">
        <v>364</v>
      </c>
    </row>
    <row r="558" spans="1:21" ht="15" customHeight="1" x14ac:dyDescent="0.3">
      <c r="A558" s="41"/>
      <c r="B558" s="20">
        <v>44970</v>
      </c>
      <c r="C558" s="41"/>
      <c r="D558" s="41" t="s">
        <v>838</v>
      </c>
      <c r="E558" s="41" t="s">
        <v>835</v>
      </c>
      <c r="F558" s="41" t="s">
        <v>363</v>
      </c>
      <c r="G558" s="41" t="s">
        <v>53</v>
      </c>
      <c r="H558" s="55">
        <v>86.96</v>
      </c>
      <c r="I558" s="56">
        <v>0.17499999999999999</v>
      </c>
      <c r="J558" s="55">
        <v>17.5</v>
      </c>
      <c r="K558" s="55">
        <v>8.5445199999999986</v>
      </c>
      <c r="L558" s="55">
        <v>13.04</v>
      </c>
      <c r="M558" s="41" t="s">
        <v>10</v>
      </c>
      <c r="N558" s="41" t="s">
        <v>54</v>
      </c>
      <c r="O558" s="41" t="s">
        <v>55</v>
      </c>
      <c r="P558" s="57">
        <v>44985</v>
      </c>
      <c r="Q558" s="41">
        <f>+H558+L558</f>
        <v>100</v>
      </c>
      <c r="R558" s="41">
        <f>+J558+K558+L558</f>
        <v>39.084519999999998</v>
      </c>
      <c r="S558" s="41">
        <f>+MONTH(B558)</f>
        <v>2</v>
      </c>
      <c r="T558" s="41">
        <f>+YEAR(B558)</f>
        <v>2023</v>
      </c>
      <c r="U558" s="41" t="s">
        <v>364</v>
      </c>
    </row>
    <row r="559" spans="1:21" ht="15" customHeight="1" x14ac:dyDescent="0.3">
      <c r="A559" s="41"/>
      <c r="B559" s="20">
        <v>45335</v>
      </c>
      <c r="C559" s="41"/>
      <c r="D559" s="41" t="s">
        <v>839</v>
      </c>
      <c r="E559" s="41" t="s">
        <v>835</v>
      </c>
      <c r="F559" s="41" t="s">
        <v>363</v>
      </c>
      <c r="G559" s="41" t="s">
        <v>53</v>
      </c>
      <c r="H559" s="55">
        <v>86.96</v>
      </c>
      <c r="I559" s="56">
        <v>0.17499999999999999</v>
      </c>
      <c r="J559" s="55">
        <v>17.5</v>
      </c>
      <c r="K559" s="55">
        <v>9.3380299999999963</v>
      </c>
      <c r="L559" s="55">
        <v>13.04</v>
      </c>
      <c r="M559" s="41" t="s">
        <v>10</v>
      </c>
      <c r="N559" s="41" t="s">
        <v>54</v>
      </c>
      <c r="O559" s="41" t="s">
        <v>55</v>
      </c>
      <c r="P559" s="57">
        <v>45351</v>
      </c>
      <c r="Q559" s="41">
        <f>+H559+L559</f>
        <v>100</v>
      </c>
      <c r="R559" s="41">
        <f>+J559+K559+L559</f>
        <v>39.878029999999995</v>
      </c>
      <c r="S559" s="41">
        <f>+MONTH(B559)</f>
        <v>2</v>
      </c>
      <c r="T559" s="41">
        <f>+YEAR(B559)</f>
        <v>2024</v>
      </c>
      <c r="U559" s="41" t="s">
        <v>364</v>
      </c>
    </row>
    <row r="560" spans="1:21" ht="15" customHeight="1" x14ac:dyDescent="0.3">
      <c r="A560" s="41"/>
      <c r="B560" s="20">
        <v>44268</v>
      </c>
      <c r="C560" s="41"/>
      <c r="D560" s="41" t="s">
        <v>840</v>
      </c>
      <c r="E560" s="41" t="s">
        <v>835</v>
      </c>
      <c r="F560" s="41" t="s">
        <v>363</v>
      </c>
      <c r="G560" s="41" t="s">
        <v>53</v>
      </c>
      <c r="H560" s="55">
        <v>167.21</v>
      </c>
      <c r="I560" s="56">
        <v>0.17499999999999999</v>
      </c>
      <c r="J560" s="55">
        <v>33.650750000000002</v>
      </c>
      <c r="K560" s="55">
        <v>15.592594999999996</v>
      </c>
      <c r="L560" s="55">
        <v>25.08</v>
      </c>
      <c r="M560" s="41" t="s">
        <v>10</v>
      </c>
      <c r="N560" s="41" t="s">
        <v>54</v>
      </c>
      <c r="O560" s="41" t="s">
        <v>55</v>
      </c>
      <c r="P560" s="57">
        <v>44286</v>
      </c>
      <c r="Q560" s="41">
        <f>+H560+L560</f>
        <v>192.29000000000002</v>
      </c>
      <c r="R560" s="41">
        <f>+J560+K560+L560</f>
        <v>74.323344999999989</v>
      </c>
      <c r="S560" s="41">
        <f>+MONTH(B560)</f>
        <v>3</v>
      </c>
      <c r="T560" s="41">
        <f>+YEAR(B560)</f>
        <v>2021</v>
      </c>
      <c r="U560" s="41" t="s">
        <v>364</v>
      </c>
    </row>
    <row r="561" spans="1:21" ht="15" customHeight="1" x14ac:dyDescent="0.3">
      <c r="A561" s="41"/>
      <c r="B561" s="20">
        <v>44633</v>
      </c>
      <c r="C561" s="41"/>
      <c r="D561" s="41" t="s">
        <v>841</v>
      </c>
      <c r="E561" s="41" t="s">
        <v>835</v>
      </c>
      <c r="F561" s="41" t="s">
        <v>363</v>
      </c>
      <c r="G561" s="41" t="s">
        <v>53</v>
      </c>
      <c r="H561" s="55">
        <v>152.01</v>
      </c>
      <c r="I561" s="56">
        <v>0.17499999999999999</v>
      </c>
      <c r="J561" s="55">
        <v>30.591749999999998</v>
      </c>
      <c r="K561" s="55">
        <v>14.935244999999995</v>
      </c>
      <c r="L561" s="55">
        <v>22.8</v>
      </c>
      <c r="M561" s="41" t="s">
        <v>10</v>
      </c>
      <c r="N561" s="41" t="s">
        <v>54</v>
      </c>
      <c r="O561" s="41" t="s">
        <v>55</v>
      </c>
      <c r="P561" s="57">
        <v>44651</v>
      </c>
      <c r="Q561" s="41">
        <f>+H561+L561</f>
        <v>174.81</v>
      </c>
      <c r="R561" s="41">
        <f>+J561+K561+L561</f>
        <v>68.326994999999997</v>
      </c>
      <c r="S561" s="41">
        <f>+MONTH(B561)</f>
        <v>3</v>
      </c>
      <c r="T561" s="41">
        <f>+YEAR(B561)</f>
        <v>2022</v>
      </c>
      <c r="U561" s="41" t="s">
        <v>364</v>
      </c>
    </row>
    <row r="562" spans="1:21" ht="15" customHeight="1" x14ac:dyDescent="0.3">
      <c r="A562" s="41"/>
      <c r="B562" s="20">
        <v>44998</v>
      </c>
      <c r="C562" s="41"/>
      <c r="D562" s="41" t="s">
        <v>842</v>
      </c>
      <c r="E562" s="41" t="s">
        <v>835</v>
      </c>
      <c r="F562" s="41" t="s">
        <v>363</v>
      </c>
      <c r="G562" s="41" t="s">
        <v>53</v>
      </c>
      <c r="H562" s="55">
        <v>152.01</v>
      </c>
      <c r="I562" s="56">
        <v>0.17499999999999999</v>
      </c>
      <c r="J562" s="55">
        <v>30.591749999999998</v>
      </c>
      <c r="K562" s="55">
        <v>14.935244999999995</v>
      </c>
      <c r="L562" s="55">
        <v>22.8</v>
      </c>
      <c r="M562" s="41" t="s">
        <v>10</v>
      </c>
      <c r="N562" s="41" t="s">
        <v>54</v>
      </c>
      <c r="O562" s="41" t="s">
        <v>55</v>
      </c>
      <c r="P562" s="57">
        <v>45016</v>
      </c>
      <c r="Q562" s="41">
        <f>+H562+L562</f>
        <v>174.81</v>
      </c>
      <c r="R562" s="41">
        <f>+J562+K562+L562</f>
        <v>68.326994999999997</v>
      </c>
      <c r="S562" s="41">
        <f>+MONTH(B562)</f>
        <v>3</v>
      </c>
      <c r="T562" s="41">
        <f>+YEAR(B562)</f>
        <v>2023</v>
      </c>
      <c r="U562" s="41" t="s">
        <v>364</v>
      </c>
    </row>
    <row r="563" spans="1:21" ht="15" customHeight="1" x14ac:dyDescent="0.3">
      <c r="A563" s="41"/>
      <c r="B563" s="20">
        <v>45364</v>
      </c>
      <c r="C563" s="41"/>
      <c r="D563" s="41" t="s">
        <v>843</v>
      </c>
      <c r="E563" s="41" t="s">
        <v>835</v>
      </c>
      <c r="F563" s="41" t="s">
        <v>363</v>
      </c>
      <c r="G563" s="41" t="s">
        <v>53</v>
      </c>
      <c r="H563" s="55">
        <v>152.01</v>
      </c>
      <c r="I563" s="56">
        <v>0.17499999999999999</v>
      </c>
      <c r="J563" s="55">
        <v>30.591749999999998</v>
      </c>
      <c r="K563" s="55">
        <v>16.322336249999999</v>
      </c>
      <c r="L563" s="55">
        <v>22.8</v>
      </c>
      <c r="M563" s="41" t="s">
        <v>10</v>
      </c>
      <c r="N563" s="41" t="s">
        <v>54</v>
      </c>
      <c r="O563" s="41" t="s">
        <v>55</v>
      </c>
      <c r="P563" s="57">
        <v>45382</v>
      </c>
      <c r="Q563" s="41">
        <f>+H563+L563</f>
        <v>174.81</v>
      </c>
      <c r="R563" s="41">
        <f>+J563+K563+L563</f>
        <v>69.714086249999994</v>
      </c>
      <c r="S563" s="41">
        <f>+MONTH(B563)</f>
        <v>3</v>
      </c>
      <c r="T563" s="41">
        <f>+YEAR(B563)</f>
        <v>2024</v>
      </c>
      <c r="U563" s="41" t="s">
        <v>364</v>
      </c>
    </row>
    <row r="564" spans="1:21" ht="15" customHeight="1" x14ac:dyDescent="0.3">
      <c r="A564" s="41"/>
      <c r="B564" s="20">
        <v>44633</v>
      </c>
      <c r="C564" s="41"/>
      <c r="D564" s="41" t="s">
        <v>844</v>
      </c>
      <c r="E564" s="41" t="s">
        <v>835</v>
      </c>
      <c r="F564" s="41" t="s">
        <v>363</v>
      </c>
      <c r="G564" s="41" t="s">
        <v>53</v>
      </c>
      <c r="H564" s="55">
        <v>86.96</v>
      </c>
      <c r="I564" s="56">
        <v>0.17499999999999999</v>
      </c>
      <c r="J564" s="55">
        <v>17.5</v>
      </c>
      <c r="K564" s="55">
        <v>8.5445199999999986</v>
      </c>
      <c r="L564" s="55">
        <v>13.04</v>
      </c>
      <c r="M564" s="41" t="s">
        <v>10</v>
      </c>
      <c r="N564" s="41" t="s">
        <v>54</v>
      </c>
      <c r="O564" s="41" t="s">
        <v>55</v>
      </c>
      <c r="P564" s="57">
        <v>44651</v>
      </c>
      <c r="Q564" s="41">
        <f>+H564+L564</f>
        <v>100</v>
      </c>
      <c r="R564" s="41">
        <f>+J564+K564+L564</f>
        <v>39.084519999999998</v>
      </c>
      <c r="S564" s="41">
        <f>+MONTH(B564)</f>
        <v>3</v>
      </c>
      <c r="T564" s="41">
        <f>+YEAR(B564)</f>
        <v>2022</v>
      </c>
      <c r="U564" s="41" t="s">
        <v>364</v>
      </c>
    </row>
    <row r="565" spans="1:21" ht="15" customHeight="1" x14ac:dyDescent="0.3">
      <c r="A565" s="41"/>
      <c r="B565" s="20">
        <v>44268</v>
      </c>
      <c r="C565" s="41"/>
      <c r="D565" s="41" t="s">
        <v>845</v>
      </c>
      <c r="E565" s="41" t="s">
        <v>835</v>
      </c>
      <c r="F565" s="41" t="s">
        <v>363</v>
      </c>
      <c r="G565" s="41" t="s">
        <v>53</v>
      </c>
      <c r="H565" s="55">
        <v>65</v>
      </c>
      <c r="I565" s="56">
        <v>0.17499999999999999</v>
      </c>
      <c r="J565" s="55">
        <v>11.375</v>
      </c>
      <c r="K565" s="55">
        <v>7.7674999999999983</v>
      </c>
      <c r="L565" s="55">
        <v>0</v>
      </c>
      <c r="M565" s="41" t="s">
        <v>10</v>
      </c>
      <c r="N565" s="41" t="s">
        <v>54</v>
      </c>
      <c r="O565" s="41" t="s">
        <v>55</v>
      </c>
      <c r="P565" s="57">
        <v>44286</v>
      </c>
      <c r="Q565" s="41">
        <f>+H565+L565</f>
        <v>65</v>
      </c>
      <c r="R565" s="41">
        <f>+J565+K565+L565</f>
        <v>19.142499999999998</v>
      </c>
      <c r="S565" s="41">
        <f>+MONTH(B565)</f>
        <v>3</v>
      </c>
      <c r="T565" s="41">
        <f>+YEAR(B565)</f>
        <v>2021</v>
      </c>
      <c r="U565" s="41" t="s">
        <v>364</v>
      </c>
    </row>
    <row r="566" spans="1:21" ht="15" customHeight="1" x14ac:dyDescent="0.3">
      <c r="A566" s="41"/>
      <c r="B566" s="20">
        <v>45100</v>
      </c>
      <c r="C566" s="41"/>
      <c r="D566" s="41" t="s">
        <v>846</v>
      </c>
      <c r="E566" s="41" t="s">
        <v>847</v>
      </c>
      <c r="F566" s="41" t="s">
        <v>363</v>
      </c>
      <c r="G566" s="41" t="s">
        <v>53</v>
      </c>
      <c r="H566" s="55">
        <v>146.69999999999999</v>
      </c>
      <c r="I566" s="56">
        <v>0.17499999999999999</v>
      </c>
      <c r="J566" s="55">
        <v>29.522499999999997</v>
      </c>
      <c r="K566" s="55">
        <v>14.414149999999996</v>
      </c>
      <c r="L566" s="55">
        <v>22</v>
      </c>
      <c r="M566" s="41" t="s">
        <v>10</v>
      </c>
      <c r="N566" s="41" t="s">
        <v>54</v>
      </c>
      <c r="O566" s="41" t="s">
        <v>55</v>
      </c>
      <c r="P566" s="57">
        <v>45107</v>
      </c>
      <c r="Q566" s="41">
        <f>+H566+L566</f>
        <v>168.7</v>
      </c>
      <c r="R566" s="41">
        <f>+J566+K566+L566</f>
        <v>65.936649999999986</v>
      </c>
      <c r="S566" s="41">
        <f>+MONTH(B566)</f>
        <v>6</v>
      </c>
      <c r="T566" s="41">
        <f>+YEAR(B566)</f>
        <v>2023</v>
      </c>
      <c r="U566" s="41" t="s">
        <v>364</v>
      </c>
    </row>
    <row r="567" spans="1:21" ht="15" customHeight="1" x14ac:dyDescent="0.3">
      <c r="A567" s="41"/>
      <c r="B567" s="20">
        <v>45466</v>
      </c>
      <c r="C567" s="41"/>
      <c r="D567" s="41" t="s">
        <v>848</v>
      </c>
      <c r="E567" s="41" t="s">
        <v>847</v>
      </c>
      <c r="F567" s="41" t="s">
        <v>363</v>
      </c>
      <c r="G567" s="41" t="s">
        <v>53</v>
      </c>
      <c r="H567" s="55">
        <v>146.69999999999999</v>
      </c>
      <c r="I567" s="56">
        <v>0.17499999999999999</v>
      </c>
      <c r="J567" s="55">
        <v>29.522499999999997</v>
      </c>
      <c r="K567" s="55">
        <v>15.7527875</v>
      </c>
      <c r="L567" s="55">
        <v>22</v>
      </c>
      <c r="M567" s="41" t="s">
        <v>10</v>
      </c>
      <c r="N567" s="41" t="s">
        <v>54</v>
      </c>
      <c r="O567" s="41" t="s">
        <v>55</v>
      </c>
      <c r="P567" s="57">
        <v>45473</v>
      </c>
      <c r="Q567" s="41">
        <f>+H567+L567</f>
        <v>168.7</v>
      </c>
      <c r="R567" s="41">
        <f>+J567+K567+L567</f>
        <v>67.27528749999999</v>
      </c>
      <c r="S567" s="41">
        <f>+MONTH(B567)</f>
        <v>6</v>
      </c>
      <c r="T567" s="41">
        <f>+YEAR(B567)</f>
        <v>2024</v>
      </c>
      <c r="U567" s="41" t="s">
        <v>364</v>
      </c>
    </row>
    <row r="568" spans="1:21" ht="15" customHeight="1" x14ac:dyDescent="0.3">
      <c r="A568" s="41"/>
      <c r="B568" s="20">
        <v>44735</v>
      </c>
      <c r="C568" s="41"/>
      <c r="D568" s="41" t="s">
        <v>849</v>
      </c>
      <c r="E568" s="41" t="s">
        <v>847</v>
      </c>
      <c r="F568" s="41" t="s">
        <v>363</v>
      </c>
      <c r="G568" s="41" t="s">
        <v>53</v>
      </c>
      <c r="H568" s="55">
        <v>146.69999999999999</v>
      </c>
      <c r="I568" s="56">
        <v>0.17499999999999999</v>
      </c>
      <c r="J568" s="55">
        <v>29.522499999999997</v>
      </c>
      <c r="K568" s="55">
        <v>14.414149999999996</v>
      </c>
      <c r="L568" s="55">
        <v>22</v>
      </c>
      <c r="M568" s="41" t="s">
        <v>10</v>
      </c>
      <c r="N568" s="41" t="s">
        <v>54</v>
      </c>
      <c r="O568" s="41" t="s">
        <v>55</v>
      </c>
      <c r="P568" s="57">
        <v>44742</v>
      </c>
      <c r="Q568" s="41">
        <f>+H568+L568</f>
        <v>168.7</v>
      </c>
      <c r="R568" s="41">
        <f>+J568+K568+L568</f>
        <v>65.936649999999986</v>
      </c>
      <c r="S568" s="41">
        <f>+MONTH(B568)</f>
        <v>6</v>
      </c>
      <c r="T568" s="41">
        <f>+YEAR(B568)</f>
        <v>2022</v>
      </c>
      <c r="U568" s="41" t="s">
        <v>364</v>
      </c>
    </row>
    <row r="569" spans="1:21" ht="15" customHeight="1" x14ac:dyDescent="0.3">
      <c r="A569" s="41"/>
      <c r="B569" s="20">
        <v>44370</v>
      </c>
      <c r="C569" s="41"/>
      <c r="D569" s="41" t="s">
        <v>850</v>
      </c>
      <c r="E569" s="41" t="s">
        <v>847</v>
      </c>
      <c r="F569" s="41" t="s">
        <v>363</v>
      </c>
      <c r="G569" s="41" t="s">
        <v>53</v>
      </c>
      <c r="H569" s="55">
        <v>146.69999999999999</v>
      </c>
      <c r="I569" s="56">
        <v>0.17499999999999999</v>
      </c>
      <c r="J569" s="55">
        <v>29.522499999999997</v>
      </c>
      <c r="K569" s="55">
        <v>13.680649999999996</v>
      </c>
      <c r="L569" s="55">
        <v>22</v>
      </c>
      <c r="M569" s="41" t="s">
        <v>10</v>
      </c>
      <c r="N569" s="41" t="s">
        <v>54</v>
      </c>
      <c r="O569" s="41" t="s">
        <v>55</v>
      </c>
      <c r="P569" s="57">
        <v>44377</v>
      </c>
      <c r="Q569" s="41">
        <f>+H569+L569</f>
        <v>168.7</v>
      </c>
      <c r="R569" s="41">
        <f>+J569+K569+L569</f>
        <v>65.203149999999994</v>
      </c>
      <c r="S569" s="41">
        <f>+MONTH(B569)</f>
        <v>6</v>
      </c>
      <c r="T569" s="41">
        <f>+YEAR(B569)</f>
        <v>2021</v>
      </c>
      <c r="U569" s="41" t="s">
        <v>364</v>
      </c>
    </row>
    <row r="570" spans="1:21" ht="15" customHeight="1" x14ac:dyDescent="0.3">
      <c r="A570" s="41"/>
      <c r="B570" s="20">
        <v>44933</v>
      </c>
      <c r="C570" s="41"/>
      <c r="D570" s="41" t="s">
        <v>851</v>
      </c>
      <c r="E570" s="41" t="s">
        <v>415</v>
      </c>
      <c r="F570" s="41" t="s">
        <v>416</v>
      </c>
      <c r="G570" s="41" t="s">
        <v>53</v>
      </c>
      <c r="H570" s="55">
        <v>173.91</v>
      </c>
      <c r="I570" s="56">
        <v>0.15</v>
      </c>
      <c r="J570" s="55">
        <v>30</v>
      </c>
      <c r="K570" s="55">
        <v>22.086044999999999</v>
      </c>
      <c r="L570" s="55">
        <v>26.09</v>
      </c>
      <c r="M570" s="41" t="s">
        <v>10</v>
      </c>
      <c r="N570" s="41" t="s">
        <v>54</v>
      </c>
      <c r="O570" s="41" t="s">
        <v>55</v>
      </c>
      <c r="P570" s="57">
        <v>44957</v>
      </c>
      <c r="Q570" s="41">
        <f>+H570+L570</f>
        <v>200</v>
      </c>
      <c r="R570" s="41">
        <f>+J570+K570+L570</f>
        <v>78.176045000000002</v>
      </c>
      <c r="S570" s="41">
        <f>+MONTH(B570)</f>
        <v>1</v>
      </c>
      <c r="T570" s="41">
        <f>+YEAR(B570)</f>
        <v>2023</v>
      </c>
      <c r="U570" s="41" t="s">
        <v>364</v>
      </c>
    </row>
    <row r="571" spans="1:21" ht="15" customHeight="1" x14ac:dyDescent="0.3">
      <c r="A571" s="41"/>
      <c r="B571" s="20">
        <v>45298</v>
      </c>
      <c r="C571" s="41"/>
      <c r="D571" s="41" t="s">
        <v>852</v>
      </c>
      <c r="E571" s="41" t="s">
        <v>415</v>
      </c>
      <c r="F571" s="41" t="s">
        <v>416</v>
      </c>
      <c r="G571" s="41" t="s">
        <v>53</v>
      </c>
      <c r="H571" s="55">
        <v>173.91</v>
      </c>
      <c r="I571" s="56">
        <v>0.15</v>
      </c>
      <c r="J571" s="55">
        <v>30</v>
      </c>
      <c r="K571" s="55">
        <v>23.672973749999997</v>
      </c>
      <c r="L571" s="55">
        <v>26.09</v>
      </c>
      <c r="M571" s="41" t="s">
        <v>10</v>
      </c>
      <c r="N571" s="41" t="s">
        <v>54</v>
      </c>
      <c r="O571" s="41" t="s">
        <v>55</v>
      </c>
      <c r="P571" s="57">
        <v>45322</v>
      </c>
      <c r="Q571" s="41">
        <f>+H571+L571</f>
        <v>200</v>
      </c>
      <c r="R571" s="41">
        <f>+J571+K571+L571</f>
        <v>79.76297375</v>
      </c>
      <c r="S571" s="41">
        <f>+MONTH(B571)</f>
        <v>1</v>
      </c>
      <c r="T571" s="41">
        <f>+YEAR(B571)</f>
        <v>2024</v>
      </c>
      <c r="U571" s="41" t="s">
        <v>364</v>
      </c>
    </row>
    <row r="572" spans="1:21" ht="15" customHeight="1" x14ac:dyDescent="0.3">
      <c r="A572" s="41"/>
      <c r="B572" s="20">
        <v>44989</v>
      </c>
      <c r="C572" s="41"/>
      <c r="D572" s="41" t="s">
        <v>853</v>
      </c>
      <c r="E572" s="41" t="s">
        <v>854</v>
      </c>
      <c r="F572" s="41" t="s">
        <v>363</v>
      </c>
      <c r="G572" s="41" t="s">
        <v>53</v>
      </c>
      <c r="H572" s="55">
        <v>205.43</v>
      </c>
      <c r="I572" s="56">
        <v>0.17499999999999999</v>
      </c>
      <c r="J572" s="55">
        <v>41.34375</v>
      </c>
      <c r="K572" s="55">
        <v>20.182535000000001</v>
      </c>
      <c r="L572" s="55">
        <v>30.82</v>
      </c>
      <c r="M572" s="41" t="s">
        <v>10</v>
      </c>
      <c r="N572" s="41" t="s">
        <v>54</v>
      </c>
      <c r="O572" s="41" t="s">
        <v>55</v>
      </c>
      <c r="P572" s="57">
        <v>45016</v>
      </c>
      <c r="Q572" s="41">
        <f>+H572+L572</f>
        <v>236.25</v>
      </c>
      <c r="R572" s="41">
        <f>+J572+K572+L572</f>
        <v>92.346284999999995</v>
      </c>
      <c r="S572" s="41">
        <f>+MONTH(B572)</f>
        <v>3</v>
      </c>
      <c r="T572" s="41">
        <f>+YEAR(B572)</f>
        <v>2023</v>
      </c>
      <c r="U572" s="41" t="s">
        <v>364</v>
      </c>
    </row>
    <row r="573" spans="1:21" ht="15" customHeight="1" x14ac:dyDescent="0.3">
      <c r="A573" s="41"/>
      <c r="B573" s="20">
        <v>45355</v>
      </c>
      <c r="C573" s="41"/>
      <c r="D573" s="41" t="s">
        <v>855</v>
      </c>
      <c r="E573" s="41" t="s">
        <v>854</v>
      </c>
      <c r="F573" s="41" t="s">
        <v>363</v>
      </c>
      <c r="G573" s="41" t="s">
        <v>53</v>
      </c>
      <c r="H573" s="55">
        <v>205.43</v>
      </c>
      <c r="I573" s="56">
        <v>0.17499999999999999</v>
      </c>
      <c r="J573" s="55">
        <v>41.34375</v>
      </c>
      <c r="K573" s="55">
        <v>22.057083749999997</v>
      </c>
      <c r="L573" s="55">
        <v>30.82</v>
      </c>
      <c r="M573" s="41" t="s">
        <v>10</v>
      </c>
      <c r="N573" s="41" t="s">
        <v>54</v>
      </c>
      <c r="O573" s="41" t="s">
        <v>55</v>
      </c>
      <c r="P573" s="57">
        <v>45382</v>
      </c>
      <c r="Q573" s="41">
        <f>+H573+L573</f>
        <v>236.25</v>
      </c>
      <c r="R573" s="41">
        <f>+J573+K573+L573</f>
        <v>94.220833749999997</v>
      </c>
      <c r="S573" s="41">
        <f>+MONTH(B573)</f>
        <v>3</v>
      </c>
      <c r="T573" s="41">
        <f>+YEAR(B573)</f>
        <v>2024</v>
      </c>
      <c r="U573" s="41" t="s">
        <v>364</v>
      </c>
    </row>
    <row r="574" spans="1:21" ht="15" customHeight="1" x14ac:dyDescent="0.3">
      <c r="A574" s="41"/>
      <c r="B574" s="20">
        <v>44471</v>
      </c>
      <c r="C574" s="41"/>
      <c r="D574" s="41" t="s">
        <v>856</v>
      </c>
      <c r="E574" s="41" t="s">
        <v>638</v>
      </c>
      <c r="F574" s="41" t="s">
        <v>639</v>
      </c>
      <c r="G574" s="41" t="s">
        <v>53</v>
      </c>
      <c r="H574" s="55">
        <v>173.91</v>
      </c>
      <c r="I574" s="56">
        <v>0</v>
      </c>
      <c r="J574" s="55">
        <v>0</v>
      </c>
      <c r="K574" s="55">
        <v>51.216494999999995</v>
      </c>
      <c r="L574" s="55">
        <v>26.09</v>
      </c>
      <c r="M574" s="41" t="s">
        <v>10</v>
      </c>
      <c r="N574" s="41" t="s">
        <v>54</v>
      </c>
      <c r="O574" s="41" t="s">
        <v>55</v>
      </c>
      <c r="P574" s="57">
        <v>44500</v>
      </c>
      <c r="Q574" s="41">
        <f>+H574+L574</f>
        <v>200</v>
      </c>
      <c r="R574" s="41">
        <f>+J574+K574+L574</f>
        <v>77.306494999999998</v>
      </c>
      <c r="S574" s="41">
        <f>+MONTH(B574)</f>
        <v>10</v>
      </c>
      <c r="T574" s="41">
        <f>+YEAR(B574)</f>
        <v>2021</v>
      </c>
      <c r="U574" s="41" t="s">
        <v>364</v>
      </c>
    </row>
    <row r="575" spans="1:21" ht="15" customHeight="1" x14ac:dyDescent="0.3">
      <c r="A575" s="41"/>
      <c r="B575" s="20">
        <v>44836</v>
      </c>
      <c r="C575" s="41"/>
      <c r="D575" s="41" t="s">
        <v>857</v>
      </c>
      <c r="E575" s="41" t="s">
        <v>638</v>
      </c>
      <c r="F575" s="41" t="s">
        <v>639</v>
      </c>
      <c r="G575" s="41" t="s">
        <v>53</v>
      </c>
      <c r="H575" s="55">
        <v>173.91</v>
      </c>
      <c r="I575" s="56">
        <v>0</v>
      </c>
      <c r="J575" s="55">
        <v>0</v>
      </c>
      <c r="K575" s="55">
        <v>52.086044999999999</v>
      </c>
      <c r="L575" s="55">
        <v>26.09</v>
      </c>
      <c r="M575" s="41" t="s">
        <v>10</v>
      </c>
      <c r="N575" s="41" t="s">
        <v>54</v>
      </c>
      <c r="O575" s="41" t="s">
        <v>55</v>
      </c>
      <c r="P575" s="57">
        <v>44865</v>
      </c>
      <c r="Q575" s="41">
        <f>+H575+L575</f>
        <v>200</v>
      </c>
      <c r="R575" s="41">
        <f>+J575+K575+L575</f>
        <v>78.176045000000002</v>
      </c>
      <c r="S575" s="41">
        <f>+MONTH(B575)</f>
        <v>10</v>
      </c>
      <c r="T575" s="41">
        <f>+YEAR(B575)</f>
        <v>2022</v>
      </c>
      <c r="U575" s="41" t="s">
        <v>364</v>
      </c>
    </row>
    <row r="576" spans="1:21" ht="15" customHeight="1" x14ac:dyDescent="0.3">
      <c r="A576" s="41"/>
      <c r="B576" s="20">
        <v>45201</v>
      </c>
      <c r="C576" s="41"/>
      <c r="D576" s="41" t="s">
        <v>858</v>
      </c>
      <c r="E576" s="41" t="s">
        <v>638</v>
      </c>
      <c r="F576" s="41" t="s">
        <v>639</v>
      </c>
      <c r="G576" s="41" t="s">
        <v>53</v>
      </c>
      <c r="H576" s="55">
        <v>173.91</v>
      </c>
      <c r="I576" s="56">
        <v>0</v>
      </c>
      <c r="J576" s="55">
        <v>0</v>
      </c>
      <c r="K576" s="55">
        <v>52.086044999999999</v>
      </c>
      <c r="L576" s="55">
        <v>26.09</v>
      </c>
      <c r="M576" s="41" t="s">
        <v>10</v>
      </c>
      <c r="N576" s="41" t="s">
        <v>54</v>
      </c>
      <c r="O576" s="41" t="s">
        <v>55</v>
      </c>
      <c r="P576" s="57">
        <v>45230</v>
      </c>
      <c r="Q576" s="41">
        <f>+H576+L576</f>
        <v>200</v>
      </c>
      <c r="R576" s="41">
        <f>+J576+K576+L576</f>
        <v>78.176045000000002</v>
      </c>
      <c r="S576" s="41">
        <f>+MONTH(B576)</f>
        <v>10</v>
      </c>
      <c r="T576" s="41">
        <f>+YEAR(B576)</f>
        <v>2023</v>
      </c>
      <c r="U576" s="41" t="s">
        <v>364</v>
      </c>
    </row>
    <row r="577" spans="1:21" ht="15" customHeight="1" x14ac:dyDescent="0.3">
      <c r="A577" s="41"/>
      <c r="B577" s="20">
        <v>44779</v>
      </c>
      <c r="C577" s="41"/>
      <c r="D577" s="41" t="s">
        <v>859</v>
      </c>
      <c r="E577" s="41" t="s">
        <v>860</v>
      </c>
      <c r="F577" s="41" t="s">
        <v>615</v>
      </c>
      <c r="G577" s="41" t="s">
        <v>53</v>
      </c>
      <c r="H577" s="55">
        <v>173.91</v>
      </c>
      <c r="I577" s="56">
        <v>0.15</v>
      </c>
      <c r="J577" s="55">
        <v>30</v>
      </c>
      <c r="K577" s="55">
        <v>22.086044999999999</v>
      </c>
      <c r="L577" s="55">
        <v>26.09</v>
      </c>
      <c r="M577" s="41" t="s">
        <v>10</v>
      </c>
      <c r="N577" s="41" t="s">
        <v>54</v>
      </c>
      <c r="O577" s="41" t="s">
        <v>55</v>
      </c>
      <c r="P577" s="57">
        <v>44804</v>
      </c>
      <c r="Q577" s="41">
        <f>+H577+L577</f>
        <v>200</v>
      </c>
      <c r="R577" s="41">
        <f>+J577+K577+L577</f>
        <v>78.176045000000002</v>
      </c>
      <c r="S577" s="41">
        <f>+MONTH(B577)</f>
        <v>8</v>
      </c>
      <c r="T577" s="41">
        <f>+YEAR(B577)</f>
        <v>2022</v>
      </c>
      <c r="U577" s="41" t="s">
        <v>364</v>
      </c>
    </row>
    <row r="578" spans="1:21" ht="15" customHeight="1" x14ac:dyDescent="0.3">
      <c r="A578" s="41"/>
      <c r="B578" s="20">
        <v>45461</v>
      </c>
      <c r="C578" s="41"/>
      <c r="D578" s="41" t="s">
        <v>861</v>
      </c>
      <c r="E578" s="41" t="s">
        <v>862</v>
      </c>
      <c r="F578" s="41" t="s">
        <v>363</v>
      </c>
      <c r="G578" s="41" t="s">
        <v>53</v>
      </c>
      <c r="H578" s="55">
        <v>1862.94</v>
      </c>
      <c r="I578" s="56">
        <v>0.17499999999999999</v>
      </c>
      <c r="J578" s="55">
        <v>374.91649999999998</v>
      </c>
      <c r="K578" s="55">
        <v>200.03335750000002</v>
      </c>
      <c r="L578" s="55">
        <v>279.44</v>
      </c>
      <c r="M578" s="41" t="s">
        <v>10</v>
      </c>
      <c r="N578" s="41" t="s">
        <v>54</v>
      </c>
      <c r="O578" s="41" t="s">
        <v>55</v>
      </c>
      <c r="P578" s="57">
        <v>45473</v>
      </c>
      <c r="Q578" s="41">
        <f>+H578+L578</f>
        <v>2142.38</v>
      </c>
      <c r="R578" s="41">
        <f>+J578+K578+L578</f>
        <v>854.38985750000006</v>
      </c>
      <c r="S578" s="41">
        <f>+MONTH(B578)</f>
        <v>6</v>
      </c>
      <c r="T578" s="41">
        <f>+YEAR(B578)</f>
        <v>2024</v>
      </c>
      <c r="U578" s="41" t="s">
        <v>364</v>
      </c>
    </row>
    <row r="579" spans="1:21" ht="15" customHeight="1" x14ac:dyDescent="0.3">
      <c r="A579" s="41"/>
      <c r="B579" s="20">
        <v>44428</v>
      </c>
      <c r="C579" s="41"/>
      <c r="D579" s="41" t="s">
        <v>863</v>
      </c>
      <c r="E579" s="41" t="s">
        <v>638</v>
      </c>
      <c r="F579" s="41" t="s">
        <v>639</v>
      </c>
      <c r="G579" s="41" t="s">
        <v>53</v>
      </c>
      <c r="H579" s="55">
        <v>173.91</v>
      </c>
      <c r="I579" s="56">
        <v>0</v>
      </c>
      <c r="J579" s="55">
        <v>0</v>
      </c>
      <c r="K579" s="55">
        <v>51.216494999999995</v>
      </c>
      <c r="L579" s="55">
        <v>26.09</v>
      </c>
      <c r="M579" s="41" t="s">
        <v>10</v>
      </c>
      <c r="N579" s="41" t="s">
        <v>54</v>
      </c>
      <c r="O579" s="41" t="s">
        <v>55</v>
      </c>
      <c r="P579" s="57">
        <v>44439</v>
      </c>
      <c r="Q579" s="41">
        <f>+H579+L579</f>
        <v>200</v>
      </c>
      <c r="R579" s="41">
        <f>+J579+K579+L579</f>
        <v>77.306494999999998</v>
      </c>
      <c r="S579" s="41">
        <f>+MONTH(B579)</f>
        <v>8</v>
      </c>
      <c r="T579" s="41">
        <f>+YEAR(B579)</f>
        <v>2021</v>
      </c>
      <c r="U579" s="41" t="s">
        <v>364</v>
      </c>
    </row>
    <row r="580" spans="1:21" ht="15" customHeight="1" x14ac:dyDescent="0.3">
      <c r="A580" s="41"/>
      <c r="B580" s="20">
        <v>45199</v>
      </c>
      <c r="C580" s="41"/>
      <c r="D580" s="41" t="s">
        <v>864</v>
      </c>
      <c r="E580" s="41" t="s">
        <v>865</v>
      </c>
      <c r="F580" s="41" t="s">
        <v>363</v>
      </c>
      <c r="G580" s="41" t="s">
        <v>53</v>
      </c>
      <c r="H580" s="55">
        <v>160.97</v>
      </c>
      <c r="I580" s="56">
        <v>0.17499999999999999</v>
      </c>
      <c r="J580" s="55">
        <v>32.396000000000001</v>
      </c>
      <c r="K580" s="55">
        <v>15.814515</v>
      </c>
      <c r="L580" s="55">
        <v>24.15</v>
      </c>
      <c r="M580" s="41" t="s">
        <v>10</v>
      </c>
      <c r="N580" s="41" t="s">
        <v>54</v>
      </c>
      <c r="O580" s="41" t="s">
        <v>55</v>
      </c>
      <c r="P580" s="57">
        <v>45199</v>
      </c>
      <c r="Q580" s="41">
        <f>+H580+L580</f>
        <v>185.12</v>
      </c>
      <c r="R580" s="41">
        <f>+J580+K580+L580</f>
        <v>72.360514999999992</v>
      </c>
      <c r="S580" s="41">
        <f>+MONTH(B580)</f>
        <v>9</v>
      </c>
      <c r="T580" s="41">
        <f>+YEAR(B580)</f>
        <v>2023</v>
      </c>
      <c r="U580" s="41" t="s">
        <v>364</v>
      </c>
    </row>
    <row r="581" spans="1:21" ht="15" customHeight="1" x14ac:dyDescent="0.3">
      <c r="A581" s="41"/>
      <c r="B581" s="20">
        <v>45262</v>
      </c>
      <c r="C581" s="41"/>
      <c r="D581" s="41" t="s">
        <v>866</v>
      </c>
      <c r="E581" s="41" t="s">
        <v>865</v>
      </c>
      <c r="F581" s="41" t="s">
        <v>363</v>
      </c>
      <c r="G581" s="41" t="s">
        <v>53</v>
      </c>
      <c r="H581" s="55">
        <v>212.81</v>
      </c>
      <c r="I581" s="56">
        <v>0.17499999999999999</v>
      </c>
      <c r="J581" s="55">
        <v>42.827750000000002</v>
      </c>
      <c r="K581" s="55">
        <v>20.908844999999999</v>
      </c>
      <c r="L581" s="55">
        <v>31.92</v>
      </c>
      <c r="M581" s="41" t="s">
        <v>10</v>
      </c>
      <c r="N581" s="41" t="s">
        <v>54</v>
      </c>
      <c r="O581" s="41" t="s">
        <v>55</v>
      </c>
      <c r="P581" s="57">
        <v>45291</v>
      </c>
      <c r="Q581" s="41">
        <f>+H581+L581</f>
        <v>244.73000000000002</v>
      </c>
      <c r="R581" s="41">
        <f>+J581+K581+L581</f>
        <v>95.65659500000001</v>
      </c>
      <c r="S581" s="41">
        <f>+MONTH(B581)</f>
        <v>12</v>
      </c>
      <c r="T581" s="41">
        <f>+YEAR(B581)</f>
        <v>2023</v>
      </c>
      <c r="U581" s="41" t="s">
        <v>364</v>
      </c>
    </row>
    <row r="582" spans="1:21" ht="15" customHeight="1" x14ac:dyDescent="0.3">
      <c r="A582" s="41"/>
      <c r="B582" s="20">
        <v>45254</v>
      </c>
      <c r="C582" s="41"/>
      <c r="D582" s="41" t="s">
        <v>867</v>
      </c>
      <c r="E582" s="41" t="s">
        <v>868</v>
      </c>
      <c r="F582" s="41" t="s">
        <v>363</v>
      </c>
      <c r="G582" s="41" t="s">
        <v>53</v>
      </c>
      <c r="H582" s="55">
        <v>1525.65</v>
      </c>
      <c r="I582" s="56">
        <v>0.17499999999999999</v>
      </c>
      <c r="J582" s="55">
        <v>307.03749999999997</v>
      </c>
      <c r="K582" s="55">
        <v>149.89467500000006</v>
      </c>
      <c r="L582" s="55">
        <v>228.85</v>
      </c>
      <c r="M582" s="41" t="s">
        <v>10</v>
      </c>
      <c r="N582" s="41" t="s">
        <v>54</v>
      </c>
      <c r="O582" s="41" t="s">
        <v>55</v>
      </c>
      <c r="P582" s="57">
        <v>45260</v>
      </c>
      <c r="Q582" s="41">
        <f>+H582+L582</f>
        <v>1754.5</v>
      </c>
      <c r="R582" s="41">
        <f>+J582+K582+L582</f>
        <v>685.78217500000005</v>
      </c>
      <c r="S582" s="41">
        <f>+MONTH(B582)</f>
        <v>11</v>
      </c>
      <c r="T582" s="41">
        <f>+YEAR(B582)</f>
        <v>2023</v>
      </c>
      <c r="U582" s="41" t="s">
        <v>364</v>
      </c>
    </row>
    <row r="583" spans="1:21" ht="15" customHeight="1" x14ac:dyDescent="0.3">
      <c r="A583" s="41"/>
      <c r="B583" s="20">
        <v>44922</v>
      </c>
      <c r="C583" s="41"/>
      <c r="D583" s="41" t="s">
        <v>869</v>
      </c>
      <c r="E583" s="41" t="s">
        <v>870</v>
      </c>
      <c r="F583" s="41" t="s">
        <v>363</v>
      </c>
      <c r="G583" s="41" t="s">
        <v>53</v>
      </c>
      <c r="H583" s="55">
        <v>152.61000000000001</v>
      </c>
      <c r="I583" s="56">
        <v>0.17499999999999999</v>
      </c>
      <c r="J583" s="55">
        <v>30.712499999999999</v>
      </c>
      <c r="K583" s="55">
        <v>14.994195000000005</v>
      </c>
      <c r="L583" s="55">
        <v>22.89</v>
      </c>
      <c r="M583" s="41" t="s">
        <v>10</v>
      </c>
      <c r="N583" s="41" t="s">
        <v>54</v>
      </c>
      <c r="O583" s="41" t="s">
        <v>55</v>
      </c>
      <c r="P583" s="57">
        <v>44926</v>
      </c>
      <c r="Q583" s="41">
        <f>+H583+L583</f>
        <v>175.5</v>
      </c>
      <c r="R583" s="41">
        <f>+J583+K583+L583</f>
        <v>68.596695000000011</v>
      </c>
      <c r="S583" s="41">
        <f>+MONTH(B583)</f>
        <v>12</v>
      </c>
      <c r="T583" s="41">
        <f>+YEAR(B583)</f>
        <v>2022</v>
      </c>
      <c r="U583" s="41" t="s">
        <v>364</v>
      </c>
    </row>
    <row r="584" spans="1:21" ht="15" customHeight="1" x14ac:dyDescent="0.3">
      <c r="A584" s="41"/>
      <c r="B584" s="20">
        <v>45287</v>
      </c>
      <c r="C584" s="41"/>
      <c r="D584" s="41" t="s">
        <v>871</v>
      </c>
      <c r="E584" s="41" t="s">
        <v>870</v>
      </c>
      <c r="F584" s="41" t="s">
        <v>363</v>
      </c>
      <c r="G584" s="41" t="s">
        <v>53</v>
      </c>
      <c r="H584" s="55">
        <v>152.61000000000001</v>
      </c>
      <c r="I584" s="56">
        <v>0.17499999999999999</v>
      </c>
      <c r="J584" s="55">
        <v>30.712499999999999</v>
      </c>
      <c r="K584" s="55">
        <v>14.994195000000005</v>
      </c>
      <c r="L584" s="55">
        <v>22.89</v>
      </c>
      <c r="M584" s="41" t="s">
        <v>10</v>
      </c>
      <c r="N584" s="41" t="s">
        <v>54</v>
      </c>
      <c r="O584" s="41" t="s">
        <v>55</v>
      </c>
      <c r="P584" s="57">
        <v>45291</v>
      </c>
      <c r="Q584" s="41">
        <f>+H584+L584</f>
        <v>175.5</v>
      </c>
      <c r="R584" s="41">
        <f>+J584+K584+L584</f>
        <v>68.596695000000011</v>
      </c>
      <c r="S584" s="41">
        <f>+MONTH(B584)</f>
        <v>12</v>
      </c>
      <c r="T584" s="41">
        <f>+YEAR(B584)</f>
        <v>2023</v>
      </c>
      <c r="U584" s="41" t="s">
        <v>364</v>
      </c>
    </row>
    <row r="585" spans="1:21" ht="15" customHeight="1" x14ac:dyDescent="0.3">
      <c r="A585" s="41"/>
      <c r="B585" s="20">
        <v>44925</v>
      </c>
      <c r="C585" s="41"/>
      <c r="D585" s="41" t="s">
        <v>872</v>
      </c>
      <c r="E585" s="41" t="s">
        <v>870</v>
      </c>
      <c r="F585" s="41" t="s">
        <v>363</v>
      </c>
      <c r="G585" s="41" t="s">
        <v>53</v>
      </c>
      <c r="H585" s="55">
        <v>208.96</v>
      </c>
      <c r="I585" s="56">
        <v>0.17499999999999999</v>
      </c>
      <c r="J585" s="55">
        <v>42.052500000000002</v>
      </c>
      <c r="K585" s="55">
        <v>20.531019999999998</v>
      </c>
      <c r="L585" s="55">
        <v>31.34</v>
      </c>
      <c r="M585" s="41" t="s">
        <v>10</v>
      </c>
      <c r="N585" s="41" t="s">
        <v>54</v>
      </c>
      <c r="O585" s="41" t="s">
        <v>55</v>
      </c>
      <c r="P585" s="57">
        <v>44926</v>
      </c>
      <c r="Q585" s="41">
        <f>+H585+L585</f>
        <v>240.3</v>
      </c>
      <c r="R585" s="41">
        <f>+J585+K585+L585</f>
        <v>93.923519999999996</v>
      </c>
      <c r="S585" s="41">
        <f>+MONTH(B585)</f>
        <v>12</v>
      </c>
      <c r="T585" s="41">
        <f>+YEAR(B585)</f>
        <v>2022</v>
      </c>
      <c r="U585" s="41" t="s">
        <v>364</v>
      </c>
    </row>
    <row r="586" spans="1:21" ht="15" customHeight="1" x14ac:dyDescent="0.3">
      <c r="A586" s="41"/>
      <c r="B586" s="20">
        <v>45290</v>
      </c>
      <c r="C586" s="41"/>
      <c r="D586" s="41" t="s">
        <v>873</v>
      </c>
      <c r="E586" s="41" t="s">
        <v>870</v>
      </c>
      <c r="F586" s="41" t="s">
        <v>363</v>
      </c>
      <c r="G586" s="41" t="s">
        <v>53</v>
      </c>
      <c r="H586" s="55">
        <v>208.96</v>
      </c>
      <c r="I586" s="56">
        <v>0.17499999999999999</v>
      </c>
      <c r="J586" s="55">
        <v>42.052500000000002</v>
      </c>
      <c r="K586" s="55">
        <v>20.531019999999998</v>
      </c>
      <c r="L586" s="55">
        <v>31.34</v>
      </c>
      <c r="M586" s="41" t="s">
        <v>10</v>
      </c>
      <c r="N586" s="41" t="s">
        <v>54</v>
      </c>
      <c r="O586" s="41" t="s">
        <v>55</v>
      </c>
      <c r="P586" s="57">
        <v>45291</v>
      </c>
      <c r="Q586" s="41">
        <f>+H586+L586</f>
        <v>240.3</v>
      </c>
      <c r="R586" s="41">
        <f>+J586+K586+L586</f>
        <v>93.923519999999996</v>
      </c>
      <c r="S586" s="41">
        <f>+MONTH(B586)</f>
        <v>12</v>
      </c>
      <c r="T586" s="41">
        <f>+YEAR(B586)</f>
        <v>2023</v>
      </c>
      <c r="U586" s="41" t="s">
        <v>364</v>
      </c>
    </row>
    <row r="587" spans="1:21" ht="15" customHeight="1" x14ac:dyDescent="0.3">
      <c r="A587" s="41"/>
      <c r="B587" s="20">
        <v>45276</v>
      </c>
      <c r="C587" s="41"/>
      <c r="D587" s="41" t="s">
        <v>874</v>
      </c>
      <c r="E587" s="41" t="s">
        <v>875</v>
      </c>
      <c r="F587" s="41" t="s">
        <v>876</v>
      </c>
      <c r="G587" s="41" t="s">
        <v>53</v>
      </c>
      <c r="H587" s="55">
        <v>268.48</v>
      </c>
      <c r="I587" s="56">
        <v>0.13500000000000001</v>
      </c>
      <c r="J587" s="55">
        <v>41.681250000000006</v>
      </c>
      <c r="K587" s="55">
        <v>38.72851</v>
      </c>
      <c r="L587" s="55">
        <v>40.270000000000003</v>
      </c>
      <c r="M587" s="41" t="s">
        <v>10</v>
      </c>
      <c r="N587" s="41" t="s">
        <v>54</v>
      </c>
      <c r="O587" s="41" t="s">
        <v>55</v>
      </c>
      <c r="P587" s="57">
        <v>45291</v>
      </c>
      <c r="Q587" s="41">
        <f>+H587+L587</f>
        <v>308.75</v>
      </c>
      <c r="R587" s="41">
        <f>+J587+K587+L587</f>
        <v>120.67976000000002</v>
      </c>
      <c r="S587" s="41">
        <f>+MONTH(B587)</f>
        <v>12</v>
      </c>
      <c r="T587" s="41">
        <f>+YEAR(B587)</f>
        <v>2023</v>
      </c>
      <c r="U587" s="41" t="s">
        <v>364</v>
      </c>
    </row>
    <row r="588" spans="1:21" ht="15" customHeight="1" x14ac:dyDescent="0.3">
      <c r="A588" s="41"/>
      <c r="B588" s="20">
        <v>45276</v>
      </c>
      <c r="C588" s="41"/>
      <c r="D588" s="41" t="s">
        <v>877</v>
      </c>
      <c r="E588" s="41" t="s">
        <v>875</v>
      </c>
      <c r="F588" s="41" t="s">
        <v>876</v>
      </c>
      <c r="G588" s="41" t="s">
        <v>53</v>
      </c>
      <c r="H588" s="55">
        <v>300.89999999999998</v>
      </c>
      <c r="I588" s="56">
        <v>0.13500000000000001</v>
      </c>
      <c r="J588" s="55">
        <v>46.71405</v>
      </c>
      <c r="K588" s="55">
        <v>43.405499999999989</v>
      </c>
      <c r="L588" s="55">
        <v>45.13</v>
      </c>
      <c r="M588" s="41" t="s">
        <v>10</v>
      </c>
      <c r="N588" s="41" t="s">
        <v>54</v>
      </c>
      <c r="O588" s="41" t="s">
        <v>55</v>
      </c>
      <c r="P588" s="57">
        <v>45291</v>
      </c>
      <c r="Q588" s="41">
        <f>+H588+L588</f>
        <v>346.03</v>
      </c>
      <c r="R588" s="41">
        <f>+J588+K588+L588</f>
        <v>135.24955</v>
      </c>
      <c r="S588" s="41">
        <f>+MONTH(B588)</f>
        <v>12</v>
      </c>
      <c r="T588" s="41">
        <f>+YEAR(B588)</f>
        <v>2023</v>
      </c>
      <c r="U588" s="41" t="s">
        <v>364</v>
      </c>
    </row>
    <row r="589" spans="1:21" ht="15" customHeight="1" x14ac:dyDescent="0.3">
      <c r="A589" s="41"/>
      <c r="B589" s="20">
        <v>45465</v>
      </c>
      <c r="C589" s="41"/>
      <c r="D589" s="41" t="s">
        <v>878</v>
      </c>
      <c r="E589" s="41" t="s">
        <v>790</v>
      </c>
      <c r="F589" s="41" t="s">
        <v>363</v>
      </c>
      <c r="G589" s="41" t="s">
        <v>53</v>
      </c>
      <c r="H589" s="55">
        <v>339.13</v>
      </c>
      <c r="I589" s="56">
        <v>0.17499999999999999</v>
      </c>
      <c r="J589" s="55">
        <v>68.25</v>
      </c>
      <c r="K589" s="55">
        <v>36.413996249999997</v>
      </c>
      <c r="L589" s="55">
        <v>50.87</v>
      </c>
      <c r="M589" s="41" t="s">
        <v>10</v>
      </c>
      <c r="N589" s="41" t="s">
        <v>54</v>
      </c>
      <c r="O589" s="41" t="s">
        <v>55</v>
      </c>
      <c r="P589" s="57">
        <v>45473</v>
      </c>
      <c r="Q589" s="41">
        <f>+H589+L589</f>
        <v>390</v>
      </c>
      <c r="R589" s="41">
        <f>+J589+K589+L589</f>
        <v>155.53399625</v>
      </c>
      <c r="S589" s="41">
        <f>+MONTH(B589)</f>
        <v>6</v>
      </c>
      <c r="T589" s="41">
        <f>+YEAR(B589)</f>
        <v>2024</v>
      </c>
      <c r="U589" s="41" t="s">
        <v>364</v>
      </c>
    </row>
    <row r="590" spans="1:21" ht="15" customHeight="1" x14ac:dyDescent="0.3">
      <c r="A590" s="41"/>
      <c r="B590" s="20">
        <v>45615</v>
      </c>
      <c r="C590" s="41"/>
      <c r="D590" s="41" t="s">
        <v>879</v>
      </c>
      <c r="E590" s="41" t="s">
        <v>362</v>
      </c>
      <c r="F590" s="41" t="s">
        <v>363</v>
      </c>
      <c r="G590" s="41" t="s">
        <v>53</v>
      </c>
      <c r="H590" s="55">
        <v>86.96</v>
      </c>
      <c r="I590" s="56">
        <v>0.17499999999999999</v>
      </c>
      <c r="J590" s="55">
        <v>17.5</v>
      </c>
      <c r="K590" s="55">
        <v>9.3380299999999963</v>
      </c>
      <c r="L590" s="55">
        <v>13.04</v>
      </c>
      <c r="M590" s="41" t="s">
        <v>10</v>
      </c>
      <c r="N590" s="41" t="s">
        <v>54</v>
      </c>
      <c r="O590" s="41" t="s">
        <v>55</v>
      </c>
      <c r="P590" s="57">
        <v>45626</v>
      </c>
      <c r="Q590" s="41">
        <f>+H590+L590</f>
        <v>100</v>
      </c>
      <c r="R590" s="41">
        <f>+J590+K590+L590</f>
        <v>39.878029999999995</v>
      </c>
      <c r="S590" s="41">
        <f>+MONTH(B590)</f>
        <v>11</v>
      </c>
      <c r="T590" s="41">
        <f>+YEAR(B590)</f>
        <v>2024</v>
      </c>
      <c r="U590" s="41" t="s">
        <v>364</v>
      </c>
    </row>
    <row r="591" spans="1:21" ht="15" customHeight="1" x14ac:dyDescent="0.3">
      <c r="A591" s="41"/>
      <c r="B591" s="20">
        <v>45608</v>
      </c>
      <c r="C591" s="41"/>
      <c r="D591" s="41" t="s">
        <v>880</v>
      </c>
      <c r="E591" s="41" t="s">
        <v>362</v>
      </c>
      <c r="F591" s="41" t="s">
        <v>363</v>
      </c>
      <c r="G591" s="41" t="s">
        <v>53</v>
      </c>
      <c r="H591" s="55">
        <v>86.96</v>
      </c>
      <c r="I591" s="56">
        <v>0.17499999999999999</v>
      </c>
      <c r="J591" s="55">
        <v>17.5</v>
      </c>
      <c r="K591" s="55">
        <v>9.3380299999999963</v>
      </c>
      <c r="L591" s="55">
        <v>13.04</v>
      </c>
      <c r="M591" s="41" t="s">
        <v>10</v>
      </c>
      <c r="N591" s="41" t="s">
        <v>54</v>
      </c>
      <c r="O591" s="41" t="s">
        <v>55</v>
      </c>
      <c r="P591" s="57">
        <v>45626</v>
      </c>
      <c r="Q591" s="41">
        <f>+H591+L591</f>
        <v>100</v>
      </c>
      <c r="R591" s="41">
        <f>+J591+K591+L591</f>
        <v>39.878029999999995</v>
      </c>
      <c r="S591" s="41">
        <f>+MONTH(B591)</f>
        <v>11</v>
      </c>
      <c r="T591" s="41">
        <f>+YEAR(B591)</f>
        <v>2024</v>
      </c>
      <c r="U591" s="41" t="s">
        <v>364</v>
      </c>
    </row>
    <row r="592" spans="1:21" ht="15" customHeight="1" x14ac:dyDescent="0.3">
      <c r="A592" s="41"/>
      <c r="B592" s="20">
        <v>45615</v>
      </c>
      <c r="C592" s="41"/>
      <c r="D592" s="41" t="s">
        <v>881</v>
      </c>
      <c r="E592" s="41" t="s">
        <v>362</v>
      </c>
      <c r="F592" s="41" t="s">
        <v>363</v>
      </c>
      <c r="G592" s="41" t="s">
        <v>53</v>
      </c>
      <c r="H592" s="55">
        <v>124.37</v>
      </c>
      <c r="I592" s="56">
        <v>0.17499999999999999</v>
      </c>
      <c r="J592" s="55">
        <v>25.030249999999999</v>
      </c>
      <c r="K592" s="55">
        <v>13.353441249999999</v>
      </c>
      <c r="L592" s="55">
        <v>18.66</v>
      </c>
      <c r="M592" s="41" t="s">
        <v>10</v>
      </c>
      <c r="N592" s="41" t="s">
        <v>54</v>
      </c>
      <c r="O592" s="41" t="s">
        <v>55</v>
      </c>
      <c r="P592" s="57">
        <v>45626</v>
      </c>
      <c r="Q592" s="41">
        <f>+H592+L592</f>
        <v>143.03</v>
      </c>
      <c r="R592" s="41">
        <f>+J592+K592+L592</f>
        <v>57.043691249999995</v>
      </c>
      <c r="S592" s="41">
        <f>+MONTH(B592)</f>
        <v>11</v>
      </c>
      <c r="T592" s="41">
        <f>+YEAR(B592)</f>
        <v>2024</v>
      </c>
      <c r="U592" s="41" t="s">
        <v>364</v>
      </c>
    </row>
    <row r="593" spans="1:21" ht="15" customHeight="1" x14ac:dyDescent="0.3">
      <c r="A593" s="41"/>
      <c r="B593" s="20">
        <v>45610</v>
      </c>
      <c r="C593" s="41"/>
      <c r="D593" s="41" t="s">
        <v>882</v>
      </c>
      <c r="E593" s="41" t="s">
        <v>883</v>
      </c>
      <c r="F593" s="41" t="s">
        <v>363</v>
      </c>
      <c r="G593" s="41" t="s">
        <v>53</v>
      </c>
      <c r="H593" s="55">
        <v>327.29000000000002</v>
      </c>
      <c r="I593" s="56">
        <v>0.17499999999999999</v>
      </c>
      <c r="J593" s="55">
        <v>65.866500000000002</v>
      </c>
      <c r="K593" s="55">
        <v>35.143376250000003</v>
      </c>
      <c r="L593" s="55">
        <v>49.09</v>
      </c>
      <c r="M593" s="41" t="s">
        <v>10</v>
      </c>
      <c r="N593" s="41" t="s">
        <v>54</v>
      </c>
      <c r="O593" s="41" t="s">
        <v>55</v>
      </c>
      <c r="P593" s="57">
        <v>45626</v>
      </c>
      <c r="Q593" s="41">
        <f>+H593+L593</f>
        <v>376.38</v>
      </c>
      <c r="R593" s="41">
        <f>+J593+K593+L593</f>
        <v>150.09987625000002</v>
      </c>
      <c r="S593" s="41">
        <f>+MONTH(B593)</f>
        <v>11</v>
      </c>
      <c r="T593" s="41">
        <f>+YEAR(B593)</f>
        <v>2024</v>
      </c>
      <c r="U593" s="41" t="s">
        <v>364</v>
      </c>
    </row>
    <row r="594" spans="1:21" ht="15" customHeight="1" x14ac:dyDescent="0.3">
      <c r="A594" s="41"/>
      <c r="B594" s="20">
        <v>45622</v>
      </c>
      <c r="C594" s="41"/>
      <c r="D594" s="41" t="s">
        <v>884</v>
      </c>
      <c r="E594" s="41" t="s">
        <v>755</v>
      </c>
      <c r="F594" s="41" t="s">
        <v>756</v>
      </c>
      <c r="G594" s="41" t="s">
        <v>53</v>
      </c>
      <c r="H594" s="55">
        <v>173.91</v>
      </c>
      <c r="I594" s="56">
        <v>0.16</v>
      </c>
      <c r="J594" s="55">
        <v>32</v>
      </c>
      <c r="K594" s="55">
        <v>21.672973749999997</v>
      </c>
      <c r="L594" s="55">
        <v>26.09</v>
      </c>
      <c r="M594" s="41" t="s">
        <v>10</v>
      </c>
      <c r="N594" s="41" t="s">
        <v>54</v>
      </c>
      <c r="O594" s="41" t="s">
        <v>55</v>
      </c>
      <c r="P594" s="57">
        <v>45626</v>
      </c>
      <c r="Q594" s="41">
        <f>+H594+L594</f>
        <v>200</v>
      </c>
      <c r="R594" s="41">
        <f>+J594+K594+L594</f>
        <v>79.76297375</v>
      </c>
      <c r="S594" s="41">
        <f>+MONTH(B594)</f>
        <v>11</v>
      </c>
      <c r="T594" s="41">
        <f>+YEAR(B594)</f>
        <v>2024</v>
      </c>
      <c r="U594" s="41" t="s">
        <v>364</v>
      </c>
    </row>
    <row r="595" spans="1:21" ht="15" customHeight="1" x14ac:dyDescent="0.3">
      <c r="A595" s="41"/>
      <c r="B595" s="20">
        <v>45615</v>
      </c>
      <c r="C595" s="41"/>
      <c r="D595" s="41" t="s">
        <v>885</v>
      </c>
      <c r="E595" s="41" t="s">
        <v>362</v>
      </c>
      <c r="F595" s="41" t="s">
        <v>363</v>
      </c>
      <c r="G595" s="41" t="s">
        <v>53</v>
      </c>
      <c r="H595" s="55">
        <v>86.96</v>
      </c>
      <c r="I595" s="56">
        <v>0.17499999999999999</v>
      </c>
      <c r="J595" s="55">
        <v>17.5</v>
      </c>
      <c r="K595" s="55">
        <v>9.3380299999999963</v>
      </c>
      <c r="L595" s="55">
        <v>13.04</v>
      </c>
      <c r="M595" s="41" t="s">
        <v>10</v>
      </c>
      <c r="N595" s="41" t="s">
        <v>54</v>
      </c>
      <c r="O595" s="41" t="s">
        <v>55</v>
      </c>
      <c r="P595" s="57">
        <v>45626</v>
      </c>
      <c r="Q595" s="41">
        <f>+H595+L595</f>
        <v>100</v>
      </c>
      <c r="R595" s="41">
        <f>+J595+K595+L595</f>
        <v>39.878029999999995</v>
      </c>
      <c r="S595" s="41">
        <f>+MONTH(B595)</f>
        <v>11</v>
      </c>
      <c r="T595" s="41">
        <f>+YEAR(B595)</f>
        <v>2024</v>
      </c>
      <c r="U595" s="41" t="s">
        <v>364</v>
      </c>
    </row>
    <row r="596" spans="1:21" ht="15" customHeight="1" x14ac:dyDescent="0.3">
      <c r="A596" s="41"/>
      <c r="B596" s="20">
        <v>45622</v>
      </c>
      <c r="C596" s="41"/>
      <c r="D596" s="41" t="s">
        <v>886</v>
      </c>
      <c r="E596" s="41" t="s">
        <v>362</v>
      </c>
      <c r="F596" s="41" t="s">
        <v>363</v>
      </c>
      <c r="G596" s="41" t="s">
        <v>53</v>
      </c>
      <c r="H596" s="55">
        <v>140.22999999999999</v>
      </c>
      <c r="I596" s="56">
        <v>0.17499999999999999</v>
      </c>
      <c r="J596" s="55">
        <v>28.220499999999998</v>
      </c>
      <c r="K596" s="55">
        <v>15.057983749999995</v>
      </c>
      <c r="L596" s="55">
        <v>21.03</v>
      </c>
      <c r="M596" s="41" t="s">
        <v>10</v>
      </c>
      <c r="N596" s="41" t="s">
        <v>54</v>
      </c>
      <c r="O596" s="41" t="s">
        <v>55</v>
      </c>
      <c r="P596" s="57">
        <v>45626</v>
      </c>
      <c r="Q596" s="41">
        <f>+H596+L596</f>
        <v>161.26</v>
      </c>
      <c r="R596" s="41">
        <f>+J596+K596+L596</f>
        <v>64.308483749999994</v>
      </c>
      <c r="S596" s="41">
        <f>+MONTH(B596)</f>
        <v>11</v>
      </c>
      <c r="T596" s="41">
        <f>+YEAR(B596)</f>
        <v>2024</v>
      </c>
      <c r="U596" s="41" t="s">
        <v>364</v>
      </c>
    </row>
    <row r="597" spans="1:21" ht="15" customHeight="1" x14ac:dyDescent="0.3">
      <c r="A597" s="41"/>
      <c r="B597" s="20">
        <v>45615</v>
      </c>
      <c r="C597" s="41"/>
      <c r="D597" s="41" t="s">
        <v>887</v>
      </c>
      <c r="E597" s="41" t="s">
        <v>362</v>
      </c>
      <c r="F597" s="41" t="s">
        <v>363</v>
      </c>
      <c r="G597" s="41" t="s">
        <v>53</v>
      </c>
      <c r="H597" s="55">
        <v>110.02</v>
      </c>
      <c r="I597" s="56">
        <v>0.17499999999999999</v>
      </c>
      <c r="J597" s="55">
        <v>22.140999999999998</v>
      </c>
      <c r="K597" s="55">
        <v>11.813922499999997</v>
      </c>
      <c r="L597" s="55">
        <v>16.5</v>
      </c>
      <c r="M597" s="41" t="s">
        <v>10</v>
      </c>
      <c r="N597" s="41" t="s">
        <v>54</v>
      </c>
      <c r="O597" s="41" t="s">
        <v>55</v>
      </c>
      <c r="P597" s="57">
        <v>45626</v>
      </c>
      <c r="Q597" s="41">
        <f>+H597+L597</f>
        <v>126.52</v>
      </c>
      <c r="R597" s="41">
        <f>+J597+K597+L597</f>
        <v>50.454922499999995</v>
      </c>
      <c r="S597" s="41">
        <f>+MONTH(B597)</f>
        <v>11</v>
      </c>
      <c r="T597" s="41">
        <f>+YEAR(B597)</f>
        <v>2024</v>
      </c>
      <c r="U597" s="41" t="s">
        <v>364</v>
      </c>
    </row>
    <row r="598" spans="1:21" ht="15" customHeight="1" x14ac:dyDescent="0.3">
      <c r="A598" s="41"/>
      <c r="B598" s="20">
        <v>45575</v>
      </c>
      <c r="C598" s="41"/>
      <c r="D598" s="41" t="s">
        <v>888</v>
      </c>
      <c r="E598" s="41" t="s">
        <v>792</v>
      </c>
      <c r="F598" s="41" t="s">
        <v>363</v>
      </c>
      <c r="G598" s="41" t="s">
        <v>53</v>
      </c>
      <c r="H598" s="55">
        <v>86.96</v>
      </c>
      <c r="I598" s="56">
        <v>0.17499999999999999</v>
      </c>
      <c r="J598" s="55">
        <v>17.5</v>
      </c>
      <c r="K598" s="55">
        <v>9.3380299999999963</v>
      </c>
      <c r="L598" s="55">
        <v>13.04</v>
      </c>
      <c r="M598" s="41" t="s">
        <v>10</v>
      </c>
      <c r="N598" s="41" t="s">
        <v>54</v>
      </c>
      <c r="O598" s="41" t="s">
        <v>55</v>
      </c>
      <c r="P598" s="57">
        <v>45596</v>
      </c>
      <c r="Q598" s="41">
        <f>+H598+L598</f>
        <v>100</v>
      </c>
      <c r="R598" s="41">
        <f>+J598+K598+L598</f>
        <v>39.878029999999995</v>
      </c>
      <c r="S598" s="41">
        <f>+MONTH(B598)</f>
        <v>10</v>
      </c>
      <c r="T598" s="41">
        <f>+YEAR(B598)</f>
        <v>2024</v>
      </c>
      <c r="U598" s="41" t="s">
        <v>364</v>
      </c>
    </row>
    <row r="599" spans="1:21" ht="15" customHeight="1" x14ac:dyDescent="0.3">
      <c r="A599" s="41"/>
      <c r="B599" s="20">
        <v>45575</v>
      </c>
      <c r="C599" s="41"/>
      <c r="D599" s="41" t="s">
        <v>889</v>
      </c>
      <c r="E599" s="41" t="s">
        <v>792</v>
      </c>
      <c r="F599" s="41" t="s">
        <v>363</v>
      </c>
      <c r="G599" s="41" t="s">
        <v>53</v>
      </c>
      <c r="H599" s="55">
        <v>86.96</v>
      </c>
      <c r="I599" s="56">
        <v>0.17499999999999999</v>
      </c>
      <c r="J599" s="55">
        <v>17.5</v>
      </c>
      <c r="K599" s="55">
        <v>9.3380299999999963</v>
      </c>
      <c r="L599" s="55">
        <v>13.04</v>
      </c>
      <c r="M599" s="41" t="s">
        <v>10</v>
      </c>
      <c r="N599" s="41" t="s">
        <v>54</v>
      </c>
      <c r="O599" s="41" t="s">
        <v>55</v>
      </c>
      <c r="P599" s="57">
        <v>45596</v>
      </c>
      <c r="Q599" s="41">
        <f>+H599+L599</f>
        <v>100</v>
      </c>
      <c r="R599" s="41">
        <f>+J599+K599+L599</f>
        <v>39.878029999999995</v>
      </c>
      <c r="S599" s="41">
        <f>+MONTH(B599)</f>
        <v>10</v>
      </c>
      <c r="T599" s="41">
        <f>+YEAR(B599)</f>
        <v>2024</v>
      </c>
      <c r="U599" s="41" t="s">
        <v>364</v>
      </c>
    </row>
    <row r="600" spans="1:21" ht="15" customHeight="1" x14ac:dyDescent="0.3">
      <c r="A600" s="41"/>
      <c r="B600" s="20">
        <v>45575</v>
      </c>
      <c r="C600" s="41"/>
      <c r="D600" s="41" t="s">
        <v>890</v>
      </c>
      <c r="E600" s="41" t="s">
        <v>792</v>
      </c>
      <c r="F600" s="41" t="s">
        <v>363</v>
      </c>
      <c r="G600" s="41" t="s">
        <v>53</v>
      </c>
      <c r="H600" s="55">
        <v>86.96</v>
      </c>
      <c r="I600" s="56">
        <v>0.17499999999999999</v>
      </c>
      <c r="J600" s="55">
        <v>17.5</v>
      </c>
      <c r="K600" s="55">
        <v>9.3380299999999963</v>
      </c>
      <c r="L600" s="55">
        <v>13.04</v>
      </c>
      <c r="M600" s="41" t="s">
        <v>10</v>
      </c>
      <c r="N600" s="41" t="s">
        <v>54</v>
      </c>
      <c r="O600" s="41" t="s">
        <v>55</v>
      </c>
      <c r="P600" s="57">
        <v>45596</v>
      </c>
      <c r="Q600" s="41">
        <f>+H600+L600</f>
        <v>100</v>
      </c>
      <c r="R600" s="41">
        <f>+J600+K600+L600</f>
        <v>39.878029999999995</v>
      </c>
      <c r="S600" s="41">
        <f>+MONTH(B600)</f>
        <v>10</v>
      </c>
      <c r="T600" s="41">
        <f>+YEAR(B600)</f>
        <v>2024</v>
      </c>
      <c r="U600" s="41" t="s">
        <v>364</v>
      </c>
    </row>
    <row r="601" spans="1:21" ht="15" customHeight="1" x14ac:dyDescent="0.3">
      <c r="A601" s="41"/>
      <c r="B601" s="20">
        <v>45575</v>
      </c>
      <c r="C601" s="41"/>
      <c r="D601" s="41" t="s">
        <v>891</v>
      </c>
      <c r="E601" s="41" t="s">
        <v>792</v>
      </c>
      <c r="F601" s="41" t="s">
        <v>363</v>
      </c>
      <c r="G601" s="41" t="s">
        <v>53</v>
      </c>
      <c r="H601" s="55">
        <v>86.96</v>
      </c>
      <c r="I601" s="56">
        <v>0.17499999999999999</v>
      </c>
      <c r="J601" s="55">
        <v>17.5</v>
      </c>
      <c r="K601" s="55">
        <v>9.3380299999999963</v>
      </c>
      <c r="L601" s="55">
        <v>13.04</v>
      </c>
      <c r="M601" s="41" t="s">
        <v>10</v>
      </c>
      <c r="N601" s="41" t="s">
        <v>54</v>
      </c>
      <c r="O601" s="41" t="s">
        <v>55</v>
      </c>
      <c r="P601" s="57">
        <v>45596</v>
      </c>
      <c r="Q601" s="41">
        <f>+H601+L601</f>
        <v>100</v>
      </c>
      <c r="R601" s="41">
        <f>+J601+K601+L601</f>
        <v>39.878029999999995</v>
      </c>
      <c r="S601" s="41">
        <f>+MONTH(B601)</f>
        <v>10</v>
      </c>
      <c r="T601" s="41">
        <f>+YEAR(B601)</f>
        <v>2024</v>
      </c>
      <c r="U601" s="41" t="s">
        <v>364</v>
      </c>
    </row>
    <row r="602" spans="1:21" ht="15" customHeight="1" x14ac:dyDescent="0.3">
      <c r="A602" s="41"/>
      <c r="B602" s="20">
        <v>45575</v>
      </c>
      <c r="C602" s="41"/>
      <c r="D602" s="41" t="s">
        <v>892</v>
      </c>
      <c r="E602" s="41" t="s">
        <v>792</v>
      </c>
      <c r="F602" s="41" t="s">
        <v>363</v>
      </c>
      <c r="G602" s="41" t="s">
        <v>53</v>
      </c>
      <c r="H602" s="55">
        <v>86.96</v>
      </c>
      <c r="I602" s="56">
        <v>0.17499999999999999</v>
      </c>
      <c r="J602" s="55">
        <v>17.5</v>
      </c>
      <c r="K602" s="55">
        <v>9.3380299999999963</v>
      </c>
      <c r="L602" s="55">
        <v>13.04</v>
      </c>
      <c r="M602" s="41" t="s">
        <v>10</v>
      </c>
      <c r="N602" s="41" t="s">
        <v>54</v>
      </c>
      <c r="O602" s="41" t="s">
        <v>55</v>
      </c>
      <c r="P602" s="57">
        <v>45596</v>
      </c>
      <c r="Q602" s="41">
        <f>+H602+L602</f>
        <v>100</v>
      </c>
      <c r="R602" s="41">
        <f>+J602+K602+L602</f>
        <v>39.878029999999995</v>
      </c>
      <c r="S602" s="41">
        <f>+MONTH(B602)</f>
        <v>10</v>
      </c>
      <c r="T602" s="41">
        <f>+YEAR(B602)</f>
        <v>2024</v>
      </c>
      <c r="U602" s="41" t="s">
        <v>364</v>
      </c>
    </row>
    <row r="603" spans="1:21" ht="15" customHeight="1" x14ac:dyDescent="0.3">
      <c r="A603" s="41"/>
      <c r="B603" s="20">
        <v>45575</v>
      </c>
      <c r="C603" s="41"/>
      <c r="D603" s="41" t="s">
        <v>893</v>
      </c>
      <c r="E603" s="41" t="s">
        <v>792</v>
      </c>
      <c r="F603" s="41" t="s">
        <v>363</v>
      </c>
      <c r="G603" s="41" t="s">
        <v>53</v>
      </c>
      <c r="H603" s="55">
        <v>86.96</v>
      </c>
      <c r="I603" s="56">
        <v>0.17499999999999999</v>
      </c>
      <c r="J603" s="55">
        <v>17.5</v>
      </c>
      <c r="K603" s="55">
        <v>9.3380299999999963</v>
      </c>
      <c r="L603" s="55">
        <v>13.04</v>
      </c>
      <c r="M603" s="41" t="s">
        <v>10</v>
      </c>
      <c r="N603" s="41" t="s">
        <v>54</v>
      </c>
      <c r="O603" s="41" t="s">
        <v>55</v>
      </c>
      <c r="P603" s="57">
        <v>45596</v>
      </c>
      <c r="Q603" s="41">
        <f>+H603+L603</f>
        <v>100</v>
      </c>
      <c r="R603" s="41">
        <f>+J603+K603+L603</f>
        <v>39.878029999999995</v>
      </c>
      <c r="S603" s="41">
        <f>+MONTH(B603)</f>
        <v>10</v>
      </c>
      <c r="T603" s="41">
        <f>+YEAR(B603)</f>
        <v>2024</v>
      </c>
      <c r="U603" s="41" t="s">
        <v>364</v>
      </c>
    </row>
    <row r="604" spans="1:21" ht="15" customHeight="1" x14ac:dyDescent="0.3">
      <c r="A604" s="41"/>
      <c r="B604" s="20">
        <v>45575</v>
      </c>
      <c r="C604" s="41"/>
      <c r="D604" s="41" t="s">
        <v>894</v>
      </c>
      <c r="E604" s="41" t="s">
        <v>792</v>
      </c>
      <c r="F604" s="41" t="s">
        <v>363</v>
      </c>
      <c r="G604" s="41" t="s">
        <v>53</v>
      </c>
      <c r="H604" s="55">
        <v>86.96</v>
      </c>
      <c r="I604" s="56">
        <v>0.17499999999999999</v>
      </c>
      <c r="J604" s="55">
        <v>17.5</v>
      </c>
      <c r="K604" s="55">
        <v>9.3380299999999963</v>
      </c>
      <c r="L604" s="55">
        <v>13.04</v>
      </c>
      <c r="M604" s="41" t="s">
        <v>10</v>
      </c>
      <c r="N604" s="41" t="s">
        <v>54</v>
      </c>
      <c r="O604" s="41" t="s">
        <v>55</v>
      </c>
      <c r="P604" s="57">
        <v>45596</v>
      </c>
      <c r="Q604" s="41">
        <f>+H604+L604</f>
        <v>100</v>
      </c>
      <c r="R604" s="41">
        <f>+J604+K604+L604</f>
        <v>39.878029999999995</v>
      </c>
      <c r="S604" s="41">
        <f>+MONTH(B604)</f>
        <v>10</v>
      </c>
      <c r="T604" s="41">
        <f>+YEAR(B604)</f>
        <v>2024</v>
      </c>
      <c r="U604" s="41" t="s">
        <v>364</v>
      </c>
    </row>
    <row r="605" spans="1:21" ht="15" customHeight="1" x14ac:dyDescent="0.3">
      <c r="A605" s="41"/>
      <c r="B605" s="20">
        <v>45564</v>
      </c>
      <c r="C605" s="41"/>
      <c r="D605" s="41" t="s">
        <v>895</v>
      </c>
      <c r="E605" s="41" t="s">
        <v>792</v>
      </c>
      <c r="F605" s="41" t="s">
        <v>363</v>
      </c>
      <c r="G605" s="41" t="s">
        <v>53</v>
      </c>
      <c r="H605" s="55">
        <v>86.96</v>
      </c>
      <c r="I605" s="56">
        <v>0.17499999999999999</v>
      </c>
      <c r="J605" s="55">
        <v>17.5</v>
      </c>
      <c r="K605" s="55">
        <v>9.3380299999999963</v>
      </c>
      <c r="L605" s="55">
        <v>13.04</v>
      </c>
      <c r="M605" s="41" t="s">
        <v>10</v>
      </c>
      <c r="N605" s="41" t="s">
        <v>54</v>
      </c>
      <c r="O605" s="41" t="s">
        <v>55</v>
      </c>
      <c r="P605" s="57">
        <v>45565</v>
      </c>
      <c r="Q605" s="41">
        <f>+H605+L605</f>
        <v>100</v>
      </c>
      <c r="R605" s="41">
        <f>+J605+K605+L605</f>
        <v>39.878029999999995</v>
      </c>
      <c r="S605" s="41">
        <f>+MONTH(B605)</f>
        <v>9</v>
      </c>
      <c r="T605" s="41">
        <f>+YEAR(B605)</f>
        <v>2024</v>
      </c>
      <c r="U605" s="41" t="s">
        <v>364</v>
      </c>
    </row>
    <row r="606" spans="1:21" ht="15" customHeight="1" x14ac:dyDescent="0.3">
      <c r="A606" s="41"/>
      <c r="B606" s="20">
        <v>45564</v>
      </c>
      <c r="C606" s="41"/>
      <c r="D606" s="41" t="s">
        <v>896</v>
      </c>
      <c r="E606" s="41" t="s">
        <v>792</v>
      </c>
      <c r="F606" s="41" t="s">
        <v>363</v>
      </c>
      <c r="G606" s="41" t="s">
        <v>53</v>
      </c>
      <c r="H606" s="55">
        <v>86.96</v>
      </c>
      <c r="I606" s="56">
        <v>0.17499999999999999</v>
      </c>
      <c r="J606" s="55">
        <v>17.5</v>
      </c>
      <c r="K606" s="55">
        <v>9.3380299999999963</v>
      </c>
      <c r="L606" s="55">
        <v>13.04</v>
      </c>
      <c r="M606" s="41" t="s">
        <v>10</v>
      </c>
      <c r="N606" s="41" t="s">
        <v>54</v>
      </c>
      <c r="O606" s="41" t="s">
        <v>55</v>
      </c>
      <c r="P606" s="57">
        <v>45565</v>
      </c>
      <c r="Q606" s="41">
        <f>+H606+L606</f>
        <v>100</v>
      </c>
      <c r="R606" s="41">
        <f>+J606+K606+L606</f>
        <v>39.878029999999995</v>
      </c>
      <c r="S606" s="41">
        <f>+MONTH(B606)</f>
        <v>9</v>
      </c>
      <c r="T606" s="41">
        <f>+YEAR(B606)</f>
        <v>2024</v>
      </c>
      <c r="U606" s="41" t="s">
        <v>364</v>
      </c>
    </row>
    <row r="607" spans="1:21" ht="15" customHeight="1" x14ac:dyDescent="0.3">
      <c r="A607" s="41"/>
      <c r="B607" s="20">
        <v>45564</v>
      </c>
      <c r="C607" s="41"/>
      <c r="D607" s="41" t="s">
        <v>897</v>
      </c>
      <c r="E607" s="41" t="s">
        <v>792</v>
      </c>
      <c r="F607" s="41" t="s">
        <v>363</v>
      </c>
      <c r="G607" s="41" t="s">
        <v>53</v>
      </c>
      <c r="H607" s="55">
        <v>86.96</v>
      </c>
      <c r="I607" s="56">
        <v>0.17499999999999999</v>
      </c>
      <c r="J607" s="55">
        <v>17.5</v>
      </c>
      <c r="K607" s="55">
        <v>9.3380299999999963</v>
      </c>
      <c r="L607" s="55">
        <v>13.04</v>
      </c>
      <c r="M607" s="41" t="s">
        <v>10</v>
      </c>
      <c r="N607" s="41" t="s">
        <v>54</v>
      </c>
      <c r="O607" s="41" t="s">
        <v>55</v>
      </c>
      <c r="P607" s="57">
        <v>45565</v>
      </c>
      <c r="Q607" s="41">
        <f>+H607+L607</f>
        <v>100</v>
      </c>
      <c r="R607" s="41">
        <f>+J607+K607+L607</f>
        <v>39.878029999999995</v>
      </c>
      <c r="S607" s="41">
        <f>+MONTH(B607)</f>
        <v>9</v>
      </c>
      <c r="T607" s="41">
        <f>+YEAR(B607)</f>
        <v>2024</v>
      </c>
      <c r="U607" s="41" t="s">
        <v>364</v>
      </c>
    </row>
    <row r="608" spans="1:21" ht="15" customHeight="1" x14ac:dyDescent="0.3">
      <c r="A608" s="41"/>
      <c r="B608" s="20">
        <v>45564</v>
      </c>
      <c r="C608" s="41"/>
      <c r="D608" s="41" t="s">
        <v>898</v>
      </c>
      <c r="E608" s="41" t="s">
        <v>792</v>
      </c>
      <c r="F608" s="41" t="s">
        <v>363</v>
      </c>
      <c r="G608" s="41" t="s">
        <v>53</v>
      </c>
      <c r="H608" s="55">
        <v>86.96</v>
      </c>
      <c r="I608" s="56">
        <v>0.17499999999999999</v>
      </c>
      <c r="J608" s="55">
        <v>17.5</v>
      </c>
      <c r="K608" s="55">
        <v>9.3380299999999963</v>
      </c>
      <c r="L608" s="55">
        <v>13.04</v>
      </c>
      <c r="M608" s="41" t="s">
        <v>10</v>
      </c>
      <c r="N608" s="41" t="s">
        <v>54</v>
      </c>
      <c r="O608" s="41" t="s">
        <v>55</v>
      </c>
      <c r="P608" s="57">
        <v>45565</v>
      </c>
      <c r="Q608" s="41">
        <f>+H608+L608</f>
        <v>100</v>
      </c>
      <c r="R608" s="41">
        <f>+J608+K608+L608</f>
        <v>39.878029999999995</v>
      </c>
      <c r="S608" s="41">
        <f>+MONTH(B608)</f>
        <v>9</v>
      </c>
      <c r="T608" s="41">
        <f>+YEAR(B608)</f>
        <v>2024</v>
      </c>
      <c r="U608" s="41" t="s">
        <v>364</v>
      </c>
    </row>
    <row r="609" spans="1:21" ht="15" customHeight="1" x14ac:dyDescent="0.3">
      <c r="A609" s="41"/>
      <c r="B609" s="20">
        <v>45564</v>
      </c>
      <c r="C609" s="41"/>
      <c r="D609" s="41" t="s">
        <v>899</v>
      </c>
      <c r="E609" s="41" t="s">
        <v>792</v>
      </c>
      <c r="F609" s="41" t="s">
        <v>363</v>
      </c>
      <c r="G609" s="41" t="s">
        <v>53</v>
      </c>
      <c r="H609" s="55">
        <v>86.96</v>
      </c>
      <c r="I609" s="56">
        <v>0.17499999999999999</v>
      </c>
      <c r="J609" s="55">
        <v>17.5</v>
      </c>
      <c r="K609" s="55">
        <v>9.3380299999999963</v>
      </c>
      <c r="L609" s="55">
        <v>13.04</v>
      </c>
      <c r="M609" s="41" t="s">
        <v>10</v>
      </c>
      <c r="N609" s="41" t="s">
        <v>54</v>
      </c>
      <c r="O609" s="41" t="s">
        <v>55</v>
      </c>
      <c r="P609" s="57">
        <v>45565</v>
      </c>
      <c r="Q609" s="41">
        <f>+H609+L609</f>
        <v>100</v>
      </c>
      <c r="R609" s="41">
        <f>+J609+K609+L609</f>
        <v>39.878029999999995</v>
      </c>
      <c r="S609" s="41">
        <f>+MONTH(B609)</f>
        <v>9</v>
      </c>
      <c r="T609" s="41">
        <f>+YEAR(B609)</f>
        <v>2024</v>
      </c>
      <c r="U609" s="41" t="s">
        <v>364</v>
      </c>
    </row>
    <row r="610" spans="1:21" ht="15" customHeight="1" x14ac:dyDescent="0.3">
      <c r="A610" s="41"/>
      <c r="B610" s="20">
        <v>45564</v>
      </c>
      <c r="C610" s="41"/>
      <c r="D610" s="41" t="s">
        <v>900</v>
      </c>
      <c r="E610" s="41" t="s">
        <v>792</v>
      </c>
      <c r="F610" s="41" t="s">
        <v>363</v>
      </c>
      <c r="G610" s="41" t="s">
        <v>53</v>
      </c>
      <c r="H610" s="55">
        <v>86.96</v>
      </c>
      <c r="I610" s="56">
        <v>0.17499999999999999</v>
      </c>
      <c r="J610" s="55">
        <v>17.5</v>
      </c>
      <c r="K610" s="55">
        <v>9.3380299999999963</v>
      </c>
      <c r="L610" s="55">
        <v>13.04</v>
      </c>
      <c r="M610" s="41" t="s">
        <v>10</v>
      </c>
      <c r="N610" s="41" t="s">
        <v>54</v>
      </c>
      <c r="O610" s="41" t="s">
        <v>55</v>
      </c>
      <c r="P610" s="57">
        <v>45565</v>
      </c>
      <c r="Q610" s="41">
        <f>+H610+L610</f>
        <v>100</v>
      </c>
      <c r="R610" s="41">
        <f>+J610+K610+L610</f>
        <v>39.878029999999995</v>
      </c>
      <c r="S610" s="41">
        <f>+MONTH(B610)</f>
        <v>9</v>
      </c>
      <c r="T610" s="41">
        <f>+YEAR(B610)</f>
        <v>2024</v>
      </c>
      <c r="U610" s="41" t="s">
        <v>364</v>
      </c>
    </row>
    <row r="611" spans="1:21" ht="15" customHeight="1" x14ac:dyDescent="0.3">
      <c r="A611" s="41"/>
      <c r="B611" s="20">
        <v>45564</v>
      </c>
      <c r="C611" s="41"/>
      <c r="D611" s="41" t="s">
        <v>901</v>
      </c>
      <c r="E611" s="41" t="s">
        <v>792</v>
      </c>
      <c r="F611" s="41" t="s">
        <v>363</v>
      </c>
      <c r="G611" s="41" t="s">
        <v>53</v>
      </c>
      <c r="H611" s="55">
        <v>86.96</v>
      </c>
      <c r="I611" s="56">
        <v>0.17499999999999999</v>
      </c>
      <c r="J611" s="55">
        <v>17.5</v>
      </c>
      <c r="K611" s="55">
        <v>9.3380299999999963</v>
      </c>
      <c r="L611" s="55">
        <v>13.04</v>
      </c>
      <c r="M611" s="41" t="s">
        <v>10</v>
      </c>
      <c r="N611" s="41" t="s">
        <v>54</v>
      </c>
      <c r="O611" s="41" t="s">
        <v>55</v>
      </c>
      <c r="P611" s="57">
        <v>45565</v>
      </c>
      <c r="Q611" s="41">
        <f>+H611+L611</f>
        <v>100</v>
      </c>
      <c r="R611" s="41">
        <f>+J611+K611+L611</f>
        <v>39.878029999999995</v>
      </c>
      <c r="S611" s="41">
        <f>+MONTH(B611)</f>
        <v>9</v>
      </c>
      <c r="T611" s="41">
        <f>+YEAR(B611)</f>
        <v>2024</v>
      </c>
      <c r="U611" s="41" t="s">
        <v>364</v>
      </c>
    </row>
    <row r="612" spans="1:21" ht="15" customHeight="1" x14ac:dyDescent="0.3">
      <c r="A612" s="41"/>
      <c r="B612" s="20">
        <v>45567</v>
      </c>
      <c r="C612" s="41"/>
      <c r="D612" s="41" t="s">
        <v>902</v>
      </c>
      <c r="E612" s="41" t="s">
        <v>903</v>
      </c>
      <c r="F612" s="41" t="s">
        <v>639</v>
      </c>
      <c r="G612" s="41" t="s">
        <v>53</v>
      </c>
      <c r="H612" s="55">
        <v>173.91</v>
      </c>
      <c r="I612" s="56">
        <v>0</v>
      </c>
      <c r="J612" s="55">
        <v>0</v>
      </c>
      <c r="K612" s="55">
        <v>53.672973749999997</v>
      </c>
      <c r="L612" s="55">
        <v>26.09</v>
      </c>
      <c r="M612" s="41" t="s">
        <v>10</v>
      </c>
      <c r="N612" s="41" t="s">
        <v>54</v>
      </c>
      <c r="O612" s="41" t="s">
        <v>55</v>
      </c>
      <c r="P612" s="57">
        <v>45596</v>
      </c>
      <c r="Q612" s="41">
        <f>+H612+L612</f>
        <v>200</v>
      </c>
      <c r="R612" s="41">
        <f>+J612+K612+L612</f>
        <v>79.76297375</v>
      </c>
      <c r="S612" s="41">
        <f>+MONTH(B612)</f>
        <v>10</v>
      </c>
      <c r="T612" s="41">
        <f>+YEAR(B612)</f>
        <v>2024</v>
      </c>
      <c r="U612" s="41" t="s">
        <v>364</v>
      </c>
    </row>
    <row r="613" spans="1:21" ht="15" customHeight="1" x14ac:dyDescent="0.3">
      <c r="A613" s="41"/>
      <c r="B613" s="20">
        <v>45572</v>
      </c>
      <c r="C613" s="41"/>
      <c r="D613" s="41" t="s">
        <v>904</v>
      </c>
      <c r="E613" s="41" t="s">
        <v>792</v>
      </c>
      <c r="F613" s="41" t="s">
        <v>363</v>
      </c>
      <c r="G613" s="41" t="s">
        <v>53</v>
      </c>
      <c r="H613" s="55">
        <v>86.96</v>
      </c>
      <c r="I613" s="56">
        <v>0.17499999999999999</v>
      </c>
      <c r="J613" s="55">
        <v>17.5</v>
      </c>
      <c r="K613" s="55">
        <v>9.3380299999999963</v>
      </c>
      <c r="L613" s="55">
        <v>13.04</v>
      </c>
      <c r="M613" s="41" t="s">
        <v>10</v>
      </c>
      <c r="N613" s="41" t="s">
        <v>54</v>
      </c>
      <c r="O613" s="41" t="s">
        <v>55</v>
      </c>
      <c r="P613" s="57">
        <v>45596</v>
      </c>
      <c r="Q613" s="41">
        <f>+H613+L613</f>
        <v>100</v>
      </c>
      <c r="R613" s="41">
        <f>+J613+K613+L613</f>
        <v>39.878029999999995</v>
      </c>
      <c r="S613" s="41">
        <f>+MONTH(B613)</f>
        <v>10</v>
      </c>
      <c r="T613" s="41">
        <f>+YEAR(B613)</f>
        <v>2024</v>
      </c>
      <c r="U613" s="41" t="s">
        <v>364</v>
      </c>
    </row>
    <row r="614" spans="1:21" ht="15" customHeight="1" x14ac:dyDescent="0.3">
      <c r="A614" s="41"/>
      <c r="B614" s="20">
        <v>45572</v>
      </c>
      <c r="C614" s="41"/>
      <c r="D614" s="41" t="s">
        <v>905</v>
      </c>
      <c r="E614" s="41" t="s">
        <v>792</v>
      </c>
      <c r="F614" s="41" t="s">
        <v>363</v>
      </c>
      <c r="G614" s="41" t="s">
        <v>53</v>
      </c>
      <c r="H614" s="55">
        <v>86.96</v>
      </c>
      <c r="I614" s="56">
        <v>0.17499999999999999</v>
      </c>
      <c r="J614" s="55">
        <v>17.5</v>
      </c>
      <c r="K614" s="55">
        <v>9.3380299999999963</v>
      </c>
      <c r="L614" s="55">
        <v>13.04</v>
      </c>
      <c r="M614" s="41" t="s">
        <v>10</v>
      </c>
      <c r="N614" s="41" t="s">
        <v>54</v>
      </c>
      <c r="O614" s="41" t="s">
        <v>55</v>
      </c>
      <c r="P614" s="57">
        <v>45596</v>
      </c>
      <c r="Q614" s="41">
        <f>+H614+L614</f>
        <v>100</v>
      </c>
      <c r="R614" s="41">
        <f>+J614+K614+L614</f>
        <v>39.878029999999995</v>
      </c>
      <c r="S614" s="41">
        <f>+MONTH(B614)</f>
        <v>10</v>
      </c>
      <c r="T614" s="41">
        <f>+YEAR(B614)</f>
        <v>2024</v>
      </c>
      <c r="U614" s="41" t="s">
        <v>364</v>
      </c>
    </row>
    <row r="615" spans="1:21" ht="15" customHeight="1" x14ac:dyDescent="0.3">
      <c r="A615" s="41"/>
      <c r="B615" s="20">
        <v>45573</v>
      </c>
      <c r="C615" s="41"/>
      <c r="D615" s="41" t="s">
        <v>906</v>
      </c>
      <c r="E615" s="41" t="s">
        <v>907</v>
      </c>
      <c r="F615" s="41" t="s">
        <v>363</v>
      </c>
      <c r="G615" s="41" t="s">
        <v>53</v>
      </c>
      <c r="H615" s="55">
        <v>86.96</v>
      </c>
      <c r="I615" s="56">
        <v>0.17499999999999999</v>
      </c>
      <c r="J615" s="55">
        <v>17.5</v>
      </c>
      <c r="K615" s="55">
        <v>9.3380299999999963</v>
      </c>
      <c r="L615" s="55">
        <v>13.04</v>
      </c>
      <c r="M615" s="41" t="s">
        <v>10</v>
      </c>
      <c r="N615" s="41" t="s">
        <v>54</v>
      </c>
      <c r="O615" s="41" t="s">
        <v>55</v>
      </c>
      <c r="P615" s="57">
        <v>45596</v>
      </c>
      <c r="Q615" s="41">
        <f>+H615+L615</f>
        <v>100</v>
      </c>
      <c r="R615" s="41">
        <f>+J615+K615+L615</f>
        <v>39.878029999999995</v>
      </c>
      <c r="S615" s="41">
        <f>+MONTH(B615)</f>
        <v>10</v>
      </c>
      <c r="T615" s="41">
        <f>+YEAR(B615)</f>
        <v>2024</v>
      </c>
      <c r="U615" s="41" t="s">
        <v>364</v>
      </c>
    </row>
    <row r="616" spans="1:21" ht="15" customHeight="1" x14ac:dyDescent="0.3">
      <c r="A616" s="41"/>
      <c r="B616" s="20">
        <v>45544</v>
      </c>
      <c r="C616" s="41"/>
      <c r="D616" s="41" t="s">
        <v>908</v>
      </c>
      <c r="E616" s="41" t="s">
        <v>776</v>
      </c>
      <c r="F616" s="41" t="s">
        <v>363</v>
      </c>
      <c r="G616" s="41" t="s">
        <v>53</v>
      </c>
      <c r="H616" s="55">
        <v>86.96</v>
      </c>
      <c r="I616" s="56">
        <v>0.17499999999999999</v>
      </c>
      <c r="J616" s="55">
        <v>17.5</v>
      </c>
      <c r="K616" s="55">
        <v>9.3380299999999963</v>
      </c>
      <c r="L616" s="55">
        <v>13.04</v>
      </c>
      <c r="M616" s="41" t="s">
        <v>10</v>
      </c>
      <c r="N616" s="41" t="s">
        <v>54</v>
      </c>
      <c r="O616" s="41" t="s">
        <v>55</v>
      </c>
      <c r="P616" s="57">
        <v>45565</v>
      </c>
      <c r="Q616" s="41">
        <f>+H616+L616</f>
        <v>100</v>
      </c>
      <c r="R616" s="41">
        <f>+J616+K616+L616</f>
        <v>39.878029999999995</v>
      </c>
      <c r="S616" s="41">
        <f>+MONTH(B616)</f>
        <v>9</v>
      </c>
      <c r="T616" s="41">
        <f>+YEAR(B616)</f>
        <v>2024</v>
      </c>
      <c r="U616" s="41" t="s">
        <v>364</v>
      </c>
    </row>
    <row r="617" spans="1:21" ht="15" customHeight="1" x14ac:dyDescent="0.3">
      <c r="A617" s="41"/>
      <c r="B617" s="20">
        <v>45588</v>
      </c>
      <c r="C617" s="41"/>
      <c r="D617" s="41" t="s">
        <v>909</v>
      </c>
      <c r="E617" s="41" t="s">
        <v>792</v>
      </c>
      <c r="F617" s="41" t="s">
        <v>363</v>
      </c>
      <c r="G617" s="41" t="s">
        <v>53</v>
      </c>
      <c r="H617" s="55">
        <v>86.96</v>
      </c>
      <c r="I617" s="56">
        <v>0.17499999999999999</v>
      </c>
      <c r="J617" s="55">
        <v>17.5</v>
      </c>
      <c r="K617" s="55">
        <v>9.3380299999999963</v>
      </c>
      <c r="L617" s="55">
        <v>13.04</v>
      </c>
      <c r="M617" s="41" t="s">
        <v>10</v>
      </c>
      <c r="N617" s="41" t="s">
        <v>54</v>
      </c>
      <c r="O617" s="41" t="s">
        <v>55</v>
      </c>
      <c r="P617" s="57">
        <v>45596</v>
      </c>
      <c r="Q617" s="41">
        <f>+H617+L617</f>
        <v>100</v>
      </c>
      <c r="R617" s="41">
        <f>+J617+K617+L617</f>
        <v>39.878029999999995</v>
      </c>
      <c r="S617" s="41">
        <f>+MONTH(B617)</f>
        <v>10</v>
      </c>
      <c r="T617" s="41">
        <f>+YEAR(B617)</f>
        <v>2024</v>
      </c>
      <c r="U617" s="41" t="s">
        <v>364</v>
      </c>
    </row>
    <row r="618" spans="1:21" ht="15" customHeight="1" x14ac:dyDescent="0.3">
      <c r="A618" s="41"/>
      <c r="B618" s="20">
        <v>45588</v>
      </c>
      <c r="C618" s="41"/>
      <c r="D618" s="41" t="s">
        <v>910</v>
      </c>
      <c r="E618" s="41" t="s">
        <v>792</v>
      </c>
      <c r="F618" s="41" t="s">
        <v>363</v>
      </c>
      <c r="G618" s="41" t="s">
        <v>53</v>
      </c>
      <c r="H618" s="55">
        <v>86.96</v>
      </c>
      <c r="I618" s="56">
        <v>0.17499999999999999</v>
      </c>
      <c r="J618" s="55">
        <v>17.5</v>
      </c>
      <c r="K618" s="55">
        <v>9.3380299999999963</v>
      </c>
      <c r="L618" s="55">
        <v>13.04</v>
      </c>
      <c r="M618" s="41" t="s">
        <v>10</v>
      </c>
      <c r="N618" s="41" t="s">
        <v>54</v>
      </c>
      <c r="O618" s="41" t="s">
        <v>55</v>
      </c>
      <c r="P618" s="57">
        <v>45596</v>
      </c>
      <c r="Q618" s="41">
        <f>+H618+L618</f>
        <v>100</v>
      </c>
      <c r="R618" s="41">
        <f>+J618+K618+L618</f>
        <v>39.878029999999995</v>
      </c>
      <c r="S618" s="41">
        <f>+MONTH(B618)</f>
        <v>10</v>
      </c>
      <c r="T618" s="41">
        <f>+YEAR(B618)</f>
        <v>2024</v>
      </c>
      <c r="U618" s="41" t="s">
        <v>364</v>
      </c>
    </row>
    <row r="619" spans="1:21" ht="15" customHeight="1" x14ac:dyDescent="0.3">
      <c r="A619" s="41"/>
      <c r="B619" s="20">
        <v>45560</v>
      </c>
      <c r="C619" s="41"/>
      <c r="D619" s="41" t="s">
        <v>911</v>
      </c>
      <c r="E619" s="41" t="s">
        <v>912</v>
      </c>
      <c r="F619" s="41" t="s">
        <v>363</v>
      </c>
      <c r="G619" s="41" t="s">
        <v>53</v>
      </c>
      <c r="H619" s="55">
        <v>352.17</v>
      </c>
      <c r="I619" s="56">
        <v>0.17499999999999999</v>
      </c>
      <c r="J619" s="55">
        <v>70.875</v>
      </c>
      <c r="K619" s="55">
        <v>37.813466250000005</v>
      </c>
      <c r="L619" s="55">
        <v>52.83</v>
      </c>
      <c r="M619" s="41" t="s">
        <v>10</v>
      </c>
      <c r="N619" s="41" t="s">
        <v>54</v>
      </c>
      <c r="O619" s="41" t="s">
        <v>55</v>
      </c>
      <c r="P619" s="57">
        <v>45565</v>
      </c>
      <c r="Q619" s="41">
        <f>+H619+L619</f>
        <v>405</v>
      </c>
      <c r="R619" s="41">
        <f>+J619+K619+L619</f>
        <v>161.51846625000002</v>
      </c>
      <c r="S619" s="41">
        <f>+MONTH(B619)</f>
        <v>9</v>
      </c>
      <c r="T619" s="41">
        <f>+YEAR(B619)</f>
        <v>2024</v>
      </c>
      <c r="U619" s="41" t="s">
        <v>364</v>
      </c>
    </row>
    <row r="620" spans="1:21" ht="15" customHeight="1" x14ac:dyDescent="0.3">
      <c r="A620" s="41"/>
      <c r="B620" s="20">
        <v>45563</v>
      </c>
      <c r="C620" s="41"/>
      <c r="D620" s="41" t="s">
        <v>913</v>
      </c>
      <c r="E620" s="41" t="s">
        <v>914</v>
      </c>
      <c r="F620" s="41" t="s">
        <v>363</v>
      </c>
      <c r="G620" s="41" t="s">
        <v>53</v>
      </c>
      <c r="H620" s="55">
        <v>10099.9</v>
      </c>
      <c r="I620" s="56">
        <v>0.17499999999999999</v>
      </c>
      <c r="J620" s="55">
        <v>2032.6057499999997</v>
      </c>
      <c r="K620" s="55">
        <v>1084.4758874999998</v>
      </c>
      <c r="L620" s="55">
        <v>1514.99</v>
      </c>
      <c r="M620" s="41" t="s">
        <v>10</v>
      </c>
      <c r="N620" s="41" t="s">
        <v>54</v>
      </c>
      <c r="O620" s="41" t="s">
        <v>55</v>
      </c>
      <c r="P620" s="57">
        <v>45565</v>
      </c>
      <c r="Q620" s="41">
        <f>+H620+L620</f>
        <v>11614.89</v>
      </c>
      <c r="R620" s="41">
        <f>+J620+K620+L620</f>
        <v>4632.0716374999993</v>
      </c>
      <c r="S620" s="41">
        <f>+MONTH(B620)</f>
        <v>9</v>
      </c>
      <c r="T620" s="41">
        <f>+YEAR(B620)</f>
        <v>2024</v>
      </c>
      <c r="U620" s="41" t="s">
        <v>364</v>
      </c>
    </row>
    <row r="621" spans="1:21" ht="15" customHeight="1" x14ac:dyDescent="0.3">
      <c r="A621" s="41"/>
      <c r="B621" s="20">
        <v>45589</v>
      </c>
      <c r="C621" s="41"/>
      <c r="D621" s="41" t="s">
        <v>915</v>
      </c>
      <c r="E621" s="41" t="s">
        <v>916</v>
      </c>
      <c r="F621" s="41" t="s">
        <v>363</v>
      </c>
      <c r="G621" s="41" t="s">
        <v>53</v>
      </c>
      <c r="H621" s="55">
        <v>204.87</v>
      </c>
      <c r="I621" s="56">
        <v>0.17499999999999999</v>
      </c>
      <c r="J621" s="55">
        <v>41.23</v>
      </c>
      <c r="K621" s="55">
        <v>21.998003750000002</v>
      </c>
      <c r="L621" s="55">
        <v>30.73</v>
      </c>
      <c r="M621" s="41" t="s">
        <v>10</v>
      </c>
      <c r="N621" s="41" t="s">
        <v>54</v>
      </c>
      <c r="O621" s="41" t="s">
        <v>55</v>
      </c>
      <c r="P621" s="57">
        <v>45596</v>
      </c>
      <c r="Q621" s="41">
        <f>+H621+L621</f>
        <v>235.6</v>
      </c>
      <c r="R621" s="41">
        <f>+J621+K621+L621</f>
        <v>93.958003750000003</v>
      </c>
      <c r="S621" s="41">
        <f>+MONTH(B621)</f>
        <v>10</v>
      </c>
      <c r="T621" s="41">
        <f>+YEAR(B621)</f>
        <v>2024</v>
      </c>
      <c r="U621" s="41" t="s">
        <v>364</v>
      </c>
    </row>
    <row r="622" spans="1:21" ht="15" customHeight="1" x14ac:dyDescent="0.3">
      <c r="A622" s="41"/>
      <c r="B622" s="20">
        <v>45589</v>
      </c>
      <c r="C622" s="41"/>
      <c r="D622" s="41" t="s">
        <v>917</v>
      </c>
      <c r="E622" s="41" t="s">
        <v>916</v>
      </c>
      <c r="F622" s="41" t="s">
        <v>363</v>
      </c>
      <c r="G622" s="41" t="s">
        <v>53</v>
      </c>
      <c r="H622" s="55">
        <v>514.09</v>
      </c>
      <c r="I622" s="56">
        <v>0.17499999999999999</v>
      </c>
      <c r="J622" s="55">
        <v>103.46000000000001</v>
      </c>
      <c r="K622" s="55">
        <v>55.201026249999984</v>
      </c>
      <c r="L622" s="55">
        <v>77.11</v>
      </c>
      <c r="M622" s="41" t="s">
        <v>10</v>
      </c>
      <c r="N622" s="41" t="s">
        <v>54</v>
      </c>
      <c r="O622" s="41" t="s">
        <v>55</v>
      </c>
      <c r="P622" s="57">
        <v>45596</v>
      </c>
      <c r="Q622" s="41">
        <f>+H622+L622</f>
        <v>591.20000000000005</v>
      </c>
      <c r="R622" s="41">
        <f>+J622+K622+L622</f>
        <v>235.77102624999998</v>
      </c>
      <c r="S622" s="41">
        <f>+MONTH(B622)</f>
        <v>10</v>
      </c>
      <c r="T622" s="41">
        <f>+YEAR(B622)</f>
        <v>2024</v>
      </c>
      <c r="U622" s="41" t="s">
        <v>364</v>
      </c>
    </row>
    <row r="623" spans="1:21" ht="15" customHeight="1" x14ac:dyDescent="0.3">
      <c r="A623" s="41"/>
      <c r="B623" s="20">
        <v>45589</v>
      </c>
      <c r="C623" s="41"/>
      <c r="D623" s="41" t="s">
        <v>918</v>
      </c>
      <c r="E623" s="41" t="s">
        <v>916</v>
      </c>
      <c r="F623" s="41" t="s">
        <v>363</v>
      </c>
      <c r="G623" s="41" t="s">
        <v>53</v>
      </c>
      <c r="H623" s="55">
        <v>234.89</v>
      </c>
      <c r="I623" s="56">
        <v>0.17499999999999999</v>
      </c>
      <c r="J623" s="55">
        <v>47.271000000000001</v>
      </c>
      <c r="K623" s="55">
        <v>25.221926249999996</v>
      </c>
      <c r="L623" s="55">
        <v>35.229999999999997</v>
      </c>
      <c r="M623" s="41" t="s">
        <v>10</v>
      </c>
      <c r="N623" s="41" t="s">
        <v>54</v>
      </c>
      <c r="O623" s="41" t="s">
        <v>55</v>
      </c>
      <c r="P623" s="57">
        <v>45596</v>
      </c>
      <c r="Q623" s="41">
        <f>+H623+L623</f>
        <v>270.12</v>
      </c>
      <c r="R623" s="41">
        <f>+J623+K623+L623</f>
        <v>107.72292625</v>
      </c>
      <c r="S623" s="41">
        <f>+MONTH(B623)</f>
        <v>10</v>
      </c>
      <c r="T623" s="41">
        <f>+YEAR(B623)</f>
        <v>2024</v>
      </c>
      <c r="U623" s="41" t="s">
        <v>364</v>
      </c>
    </row>
    <row r="624" spans="1:21" ht="15" customHeight="1" x14ac:dyDescent="0.3">
      <c r="A624" s="41"/>
      <c r="B624" s="20">
        <v>45565</v>
      </c>
      <c r="C624" s="41"/>
      <c r="D624" s="41" t="s">
        <v>919</v>
      </c>
      <c r="E624" s="41" t="s">
        <v>920</v>
      </c>
      <c r="F624" s="41" t="s">
        <v>363</v>
      </c>
      <c r="G624" s="41" t="s">
        <v>53</v>
      </c>
      <c r="H624" s="55">
        <v>160.97</v>
      </c>
      <c r="I624" s="56">
        <v>0.17499999999999999</v>
      </c>
      <c r="J624" s="55">
        <v>32.396000000000001</v>
      </c>
      <c r="K624" s="55">
        <v>17.283366249999993</v>
      </c>
      <c r="L624" s="55">
        <v>24.15</v>
      </c>
      <c r="M624" s="41" t="s">
        <v>10</v>
      </c>
      <c r="N624" s="41" t="s">
        <v>54</v>
      </c>
      <c r="O624" s="41" t="s">
        <v>55</v>
      </c>
      <c r="P624" s="57">
        <v>45565</v>
      </c>
      <c r="Q624" s="41">
        <f>+H624+L624</f>
        <v>185.12</v>
      </c>
      <c r="R624" s="41">
        <f>+J624+K624+L624</f>
        <v>73.829366249999993</v>
      </c>
      <c r="S624" s="41">
        <f>+MONTH(B624)</f>
        <v>9</v>
      </c>
      <c r="T624" s="41">
        <f>+YEAR(B624)</f>
        <v>2024</v>
      </c>
      <c r="U624" s="41" t="s">
        <v>364</v>
      </c>
    </row>
    <row r="625" spans="1:21" ht="15" customHeight="1" x14ac:dyDescent="0.3">
      <c r="A625" s="41"/>
      <c r="B625" s="20">
        <v>45701</v>
      </c>
      <c r="C625" s="41"/>
      <c r="D625" s="41" t="s">
        <v>921</v>
      </c>
      <c r="E625" s="41" t="s">
        <v>419</v>
      </c>
      <c r="F625" s="41" t="s">
        <v>363</v>
      </c>
      <c r="G625" s="41" t="s">
        <v>53</v>
      </c>
      <c r="H625" s="55">
        <v>86.96</v>
      </c>
      <c r="I625" s="56">
        <v>0.17499999999999999</v>
      </c>
      <c r="J625" s="55">
        <v>17.5</v>
      </c>
      <c r="K625" s="55">
        <v>9.4771659999999969</v>
      </c>
      <c r="L625" s="55">
        <v>13.04</v>
      </c>
      <c r="M625" s="41" t="s">
        <v>10</v>
      </c>
      <c r="N625" s="41" t="s">
        <v>54</v>
      </c>
      <c r="O625" s="41" t="s">
        <v>55</v>
      </c>
      <c r="P625" s="57">
        <v>45716</v>
      </c>
      <c r="Q625" s="41">
        <f>+H625+L625</f>
        <v>100</v>
      </c>
      <c r="R625" s="41">
        <f>+J625+K625+L625</f>
        <v>40.017165999999996</v>
      </c>
      <c r="S625" s="41">
        <f>+MONTH(B625)</f>
        <v>2</v>
      </c>
      <c r="T625" s="41">
        <f>+YEAR(B625)</f>
        <v>2025</v>
      </c>
      <c r="U625" s="41" t="s">
        <v>364</v>
      </c>
    </row>
    <row r="626" spans="1:21" ht="15" customHeight="1" x14ac:dyDescent="0.3">
      <c r="A626" s="41"/>
      <c r="B626" s="20">
        <v>45691</v>
      </c>
      <c r="C626" s="41"/>
      <c r="D626" s="41" t="s">
        <v>922</v>
      </c>
      <c r="E626" s="41" t="s">
        <v>923</v>
      </c>
      <c r="F626" s="41" t="s">
        <v>363</v>
      </c>
      <c r="G626" s="41" t="s">
        <v>53</v>
      </c>
      <c r="H626" s="55">
        <v>330.03</v>
      </c>
      <c r="I626" s="56">
        <v>0.17499999999999999</v>
      </c>
      <c r="J626" s="55">
        <v>66.417749999999998</v>
      </c>
      <c r="K626" s="55">
        <v>35.965806749999985</v>
      </c>
      <c r="L626" s="55">
        <v>49.5</v>
      </c>
      <c r="M626" s="41" t="s">
        <v>10</v>
      </c>
      <c r="N626" s="41" t="s">
        <v>54</v>
      </c>
      <c r="O626" s="41" t="s">
        <v>55</v>
      </c>
      <c r="P626" s="57">
        <v>45716</v>
      </c>
      <c r="Q626" s="41">
        <f>+H626+L626</f>
        <v>379.53</v>
      </c>
      <c r="R626" s="41">
        <f>+J626+K626+L626</f>
        <v>151.88355674999997</v>
      </c>
      <c r="S626" s="41">
        <f>+MONTH(B626)</f>
        <v>2</v>
      </c>
      <c r="T626" s="41">
        <f>+YEAR(B626)</f>
        <v>2025</v>
      </c>
      <c r="U626" s="41" t="s">
        <v>364</v>
      </c>
    </row>
    <row r="627" spans="1:21" ht="15" customHeight="1" x14ac:dyDescent="0.3">
      <c r="A627" s="41"/>
      <c r="B627" s="20">
        <v>45730</v>
      </c>
      <c r="C627" s="41"/>
      <c r="D627" s="41" t="s">
        <v>924</v>
      </c>
      <c r="E627" s="41" t="s">
        <v>755</v>
      </c>
      <c r="F627" s="41" t="s">
        <v>756</v>
      </c>
      <c r="G627" s="41" t="s">
        <v>53</v>
      </c>
      <c r="H627" s="55">
        <v>173.91</v>
      </c>
      <c r="I627" s="56">
        <v>0.16</v>
      </c>
      <c r="J627" s="55">
        <v>32</v>
      </c>
      <c r="K627" s="55">
        <v>21.951229749999996</v>
      </c>
      <c r="L627" s="55">
        <v>26.09</v>
      </c>
      <c r="M627" s="41" t="s">
        <v>10</v>
      </c>
      <c r="N627" s="41" t="s">
        <v>54</v>
      </c>
      <c r="O627" s="41" t="s">
        <v>55</v>
      </c>
      <c r="P627" s="57">
        <v>45747</v>
      </c>
      <c r="Q627" s="41">
        <f>+H627+L627</f>
        <v>200</v>
      </c>
      <c r="R627" s="41">
        <f>+J627+K627+L627</f>
        <v>80.041229749999999</v>
      </c>
      <c r="S627" s="41">
        <f>+MONTH(B627)</f>
        <v>3</v>
      </c>
      <c r="T627" s="41">
        <f>+YEAR(B627)</f>
        <v>2025</v>
      </c>
      <c r="U627" s="41" t="s">
        <v>364</v>
      </c>
    </row>
    <row r="628" spans="1:21" ht="15" customHeight="1" x14ac:dyDescent="0.3">
      <c r="A628" s="41"/>
      <c r="B628" s="20">
        <v>45701</v>
      </c>
      <c r="C628" s="41"/>
      <c r="D628" s="41" t="s">
        <v>925</v>
      </c>
      <c r="E628" s="41" t="s">
        <v>419</v>
      </c>
      <c r="F628" s="41" t="s">
        <v>363</v>
      </c>
      <c r="G628" s="41" t="s">
        <v>53</v>
      </c>
      <c r="H628" s="55">
        <v>86.96</v>
      </c>
      <c r="I628" s="56">
        <v>0.17499999999999999</v>
      </c>
      <c r="J628" s="55">
        <v>17.5</v>
      </c>
      <c r="K628" s="55">
        <v>9.4771659999999969</v>
      </c>
      <c r="L628" s="55">
        <v>13.04</v>
      </c>
      <c r="M628" s="41" t="s">
        <v>10</v>
      </c>
      <c r="N628" s="41" t="s">
        <v>54</v>
      </c>
      <c r="O628" s="41" t="s">
        <v>55</v>
      </c>
      <c r="P628" s="57">
        <v>45716</v>
      </c>
      <c r="Q628" s="41">
        <f>+H628+L628</f>
        <v>100</v>
      </c>
      <c r="R628" s="41">
        <f>+J628+K628+L628</f>
        <v>40.017165999999996</v>
      </c>
      <c r="S628" s="41">
        <f>+MONTH(B628)</f>
        <v>2</v>
      </c>
      <c r="T628" s="41">
        <f>+YEAR(B628)</f>
        <v>2025</v>
      </c>
      <c r="U628" s="41" t="s">
        <v>364</v>
      </c>
    </row>
    <row r="629" spans="1:21" ht="15" customHeight="1" x14ac:dyDescent="0.3">
      <c r="A629" s="41"/>
      <c r="B629" s="20">
        <v>45728</v>
      </c>
      <c r="C629" s="41"/>
      <c r="D629" s="41" t="s">
        <v>926</v>
      </c>
      <c r="E629" s="41" t="s">
        <v>362</v>
      </c>
      <c r="F629" s="41" t="s">
        <v>363</v>
      </c>
      <c r="G629" s="41" t="s">
        <v>53</v>
      </c>
      <c r="H629" s="55">
        <v>172.78</v>
      </c>
      <c r="I629" s="56">
        <v>0.17499999999999999</v>
      </c>
      <c r="J629" s="55">
        <v>34.772499999999994</v>
      </c>
      <c r="K629" s="55">
        <v>18.8281755</v>
      </c>
      <c r="L629" s="55">
        <v>25.92</v>
      </c>
      <c r="M629" s="41" t="s">
        <v>10</v>
      </c>
      <c r="N629" s="41" t="s">
        <v>54</v>
      </c>
      <c r="O629" s="41" t="s">
        <v>55</v>
      </c>
      <c r="P629" s="57">
        <v>45747</v>
      </c>
      <c r="Q629" s="41">
        <f>+H629+L629</f>
        <v>198.7</v>
      </c>
      <c r="R629" s="41">
        <f>+J629+K629+L629</f>
        <v>79.520675499999996</v>
      </c>
      <c r="S629" s="41">
        <f>+MONTH(B629)</f>
        <v>3</v>
      </c>
      <c r="T629" s="41">
        <f>+YEAR(B629)</f>
        <v>2025</v>
      </c>
      <c r="U629" s="41" t="s">
        <v>364</v>
      </c>
    </row>
    <row r="630" spans="1:21" ht="15" customHeight="1" x14ac:dyDescent="0.3">
      <c r="A630" s="41"/>
      <c r="B630" s="20">
        <v>45658</v>
      </c>
      <c r="C630" s="41"/>
      <c r="D630" s="41" t="s">
        <v>452</v>
      </c>
      <c r="E630" s="41" t="s">
        <v>398</v>
      </c>
      <c r="F630" s="41" t="s">
        <v>371</v>
      </c>
      <c r="G630" s="41" t="s">
        <v>53</v>
      </c>
      <c r="H630" s="55">
        <v>26086.959999999999</v>
      </c>
      <c r="I630" s="56">
        <v>0.14000000000000001</v>
      </c>
      <c r="J630" s="55">
        <v>4200</v>
      </c>
      <c r="K630" s="55">
        <v>3892.8271659999991</v>
      </c>
      <c r="L630" s="55">
        <v>3913.04</v>
      </c>
      <c r="M630" s="41" t="s">
        <v>10</v>
      </c>
      <c r="N630" s="41" t="s">
        <v>54</v>
      </c>
      <c r="O630" s="41" t="s">
        <v>55</v>
      </c>
      <c r="P630" s="57">
        <v>45688</v>
      </c>
      <c r="Q630" s="41">
        <f>+H630+L630</f>
        <v>30000</v>
      </c>
      <c r="R630" s="41">
        <f>+J630+K630+L630</f>
        <v>12005.867166</v>
      </c>
      <c r="S630" s="41">
        <f>+MONTH(B630)</f>
        <v>1</v>
      </c>
      <c r="T630" s="41">
        <f>+YEAR(B630)</f>
        <v>2025</v>
      </c>
      <c r="U630" s="41" t="s">
        <v>364</v>
      </c>
    </row>
    <row r="631" spans="1:21" ht="15" customHeight="1" x14ac:dyDescent="0.3">
      <c r="A631" s="41"/>
      <c r="B631" s="20">
        <v>45701</v>
      </c>
      <c r="C631" s="41"/>
      <c r="D631" s="41" t="s">
        <v>927</v>
      </c>
      <c r="E631" s="41" t="s">
        <v>835</v>
      </c>
      <c r="F631" s="41" t="s">
        <v>363</v>
      </c>
      <c r="G631" s="41" t="s">
        <v>53</v>
      </c>
      <c r="H631" s="55">
        <v>86.96</v>
      </c>
      <c r="I631" s="56">
        <v>0.17499999999999999</v>
      </c>
      <c r="J631" s="55">
        <v>17.5</v>
      </c>
      <c r="K631" s="55">
        <v>9.4771659999999969</v>
      </c>
      <c r="L631" s="55">
        <v>13.04</v>
      </c>
      <c r="M631" s="41" t="s">
        <v>10</v>
      </c>
      <c r="N631" s="41" t="s">
        <v>54</v>
      </c>
      <c r="O631" s="41" t="s">
        <v>55</v>
      </c>
      <c r="P631" s="57">
        <v>45716</v>
      </c>
      <c r="Q631" s="41">
        <f>+H631+L631</f>
        <v>100</v>
      </c>
      <c r="R631" s="41">
        <f>+J631+K631+L631</f>
        <v>40.017165999999996</v>
      </c>
      <c r="S631" s="41">
        <f>+MONTH(B631)</f>
        <v>2</v>
      </c>
      <c r="T631" s="41">
        <f>+YEAR(B631)</f>
        <v>2025</v>
      </c>
      <c r="U631" s="41" t="s">
        <v>364</v>
      </c>
    </row>
    <row r="632" spans="1:21" ht="15" customHeight="1" x14ac:dyDescent="0.3">
      <c r="A632" s="41"/>
      <c r="B632" s="20">
        <v>45724</v>
      </c>
      <c r="C632" s="41"/>
      <c r="D632" s="41" t="s">
        <v>928</v>
      </c>
      <c r="E632" s="41" t="s">
        <v>362</v>
      </c>
      <c r="F632" s="41" t="s">
        <v>363</v>
      </c>
      <c r="G632" s="41" t="s">
        <v>53</v>
      </c>
      <c r="H632" s="55">
        <v>86.96</v>
      </c>
      <c r="I632" s="56">
        <v>0.17499999999999999</v>
      </c>
      <c r="J632" s="55">
        <v>17.5</v>
      </c>
      <c r="K632" s="55">
        <v>9.4771659999999969</v>
      </c>
      <c r="L632" s="55">
        <v>13.04</v>
      </c>
      <c r="M632" s="41" t="s">
        <v>10</v>
      </c>
      <c r="N632" s="41" t="s">
        <v>54</v>
      </c>
      <c r="O632" s="41" t="s">
        <v>55</v>
      </c>
      <c r="P632" s="57">
        <v>45747</v>
      </c>
      <c r="Q632" s="41">
        <f>+H632+L632</f>
        <v>100</v>
      </c>
      <c r="R632" s="41">
        <f>+J632+K632+L632</f>
        <v>40.017165999999996</v>
      </c>
      <c r="S632" s="41">
        <f>+MONTH(B632)</f>
        <v>3</v>
      </c>
      <c r="T632" s="41">
        <f>+YEAR(B632)</f>
        <v>2025</v>
      </c>
      <c r="U632" s="41" t="s">
        <v>364</v>
      </c>
    </row>
    <row r="633" spans="1:21" ht="15" customHeight="1" x14ac:dyDescent="0.3">
      <c r="A633" s="41"/>
      <c r="B633" s="20">
        <v>45658</v>
      </c>
      <c r="C633" s="41"/>
      <c r="D633" s="41" t="s">
        <v>454</v>
      </c>
      <c r="E633" s="41" t="s">
        <v>398</v>
      </c>
      <c r="F633" s="41" t="s">
        <v>371</v>
      </c>
      <c r="G633" s="41" t="s">
        <v>53</v>
      </c>
      <c r="H633" s="55">
        <v>15652.17</v>
      </c>
      <c r="I633" s="56">
        <v>0.14000000000000001</v>
      </c>
      <c r="J633" s="55">
        <v>2520.0000000000005</v>
      </c>
      <c r="K633" s="55">
        <v>2335.6944382499992</v>
      </c>
      <c r="L633" s="55">
        <v>2347.83</v>
      </c>
      <c r="M633" s="41" t="s">
        <v>10</v>
      </c>
      <c r="N633" s="41" t="s">
        <v>54</v>
      </c>
      <c r="O633" s="41" t="s">
        <v>55</v>
      </c>
      <c r="P633" s="57">
        <v>45688</v>
      </c>
      <c r="Q633" s="41">
        <f>+H633+L633</f>
        <v>18000</v>
      </c>
      <c r="R633" s="41">
        <f>+J633+K633+L633</f>
        <v>7203.5244382499995</v>
      </c>
      <c r="S633" s="41">
        <f>+MONTH(B633)</f>
        <v>1</v>
      </c>
      <c r="T633" s="41">
        <f>+YEAR(B633)</f>
        <v>2025</v>
      </c>
      <c r="U633" s="41" t="s">
        <v>364</v>
      </c>
    </row>
    <row r="634" spans="1:21" ht="15" customHeight="1" x14ac:dyDescent="0.3">
      <c r="A634" s="41"/>
      <c r="B634" s="20">
        <v>45689</v>
      </c>
      <c r="C634" s="41"/>
      <c r="D634" s="41" t="s">
        <v>929</v>
      </c>
      <c r="E634" s="41" t="s">
        <v>362</v>
      </c>
      <c r="F634" s="41" t="s">
        <v>363</v>
      </c>
      <c r="G634" s="41" t="s">
        <v>53</v>
      </c>
      <c r="H634" s="55">
        <v>86.96</v>
      </c>
      <c r="I634" s="56">
        <v>0.17499999999999999</v>
      </c>
      <c r="J634" s="55">
        <v>17.5</v>
      </c>
      <c r="K634" s="55">
        <v>9.4771659999999969</v>
      </c>
      <c r="L634" s="55">
        <v>13.04</v>
      </c>
      <c r="M634" s="41" t="s">
        <v>10</v>
      </c>
      <c r="N634" s="41" t="s">
        <v>54</v>
      </c>
      <c r="O634" s="41" t="s">
        <v>55</v>
      </c>
      <c r="P634" s="57">
        <v>45716</v>
      </c>
      <c r="Q634" s="41">
        <f>+H634+L634</f>
        <v>100</v>
      </c>
      <c r="R634" s="41">
        <f>+J634+K634+L634</f>
        <v>40.017165999999996</v>
      </c>
      <c r="S634" s="41">
        <f>+MONTH(B634)</f>
        <v>2</v>
      </c>
      <c r="T634" s="41">
        <f>+YEAR(B634)</f>
        <v>2025</v>
      </c>
      <c r="U634" s="41" t="s">
        <v>364</v>
      </c>
    </row>
    <row r="635" spans="1:21" ht="15" customHeight="1" x14ac:dyDescent="0.3">
      <c r="A635" s="41"/>
      <c r="B635" s="20">
        <v>45658</v>
      </c>
      <c r="C635" s="41"/>
      <c r="D635" s="41" t="s">
        <v>440</v>
      </c>
      <c r="E635" s="41" t="s">
        <v>396</v>
      </c>
      <c r="F635" s="41" t="s">
        <v>371</v>
      </c>
      <c r="G635" s="41" t="s">
        <v>53</v>
      </c>
      <c r="H635" s="55">
        <v>23478.26</v>
      </c>
      <c r="I635" s="56">
        <v>0.14000000000000001</v>
      </c>
      <c r="J635" s="55">
        <v>3780.0000000000005</v>
      </c>
      <c r="K635" s="55">
        <v>3503.5432084999989</v>
      </c>
      <c r="L635" s="55">
        <v>3521.74</v>
      </c>
      <c r="M635" s="41" t="s">
        <v>10</v>
      </c>
      <c r="N635" s="41" t="s">
        <v>54</v>
      </c>
      <c r="O635" s="41" t="s">
        <v>55</v>
      </c>
      <c r="P635" s="57">
        <v>45688</v>
      </c>
      <c r="Q635" s="41">
        <f>+H635+L635</f>
        <v>27000</v>
      </c>
      <c r="R635" s="41">
        <f>+J635+K635+L635</f>
        <v>10805.283208499999</v>
      </c>
      <c r="S635" s="41">
        <f>+MONTH(B635)</f>
        <v>1</v>
      </c>
      <c r="T635" s="41">
        <f>+YEAR(B635)</f>
        <v>2025</v>
      </c>
      <c r="U635" s="41" t="s">
        <v>364</v>
      </c>
    </row>
    <row r="636" spans="1:21" ht="15" customHeight="1" x14ac:dyDescent="0.3">
      <c r="A636" s="41"/>
      <c r="B636" s="20">
        <v>45658</v>
      </c>
      <c r="C636" s="41"/>
      <c r="D636" s="41" t="s">
        <v>442</v>
      </c>
      <c r="E636" s="41" t="s">
        <v>396</v>
      </c>
      <c r="F636" s="41" t="s">
        <v>371</v>
      </c>
      <c r="G636" s="41" t="s">
        <v>53</v>
      </c>
      <c r="H636" s="55">
        <v>14086.96</v>
      </c>
      <c r="I636" s="56">
        <v>0.14000000000000001</v>
      </c>
      <c r="J636" s="55">
        <v>2268</v>
      </c>
      <c r="K636" s="55">
        <v>2102.1271659999993</v>
      </c>
      <c r="L636" s="55">
        <v>2113.04</v>
      </c>
      <c r="M636" s="41" t="s">
        <v>10</v>
      </c>
      <c r="N636" s="41" t="s">
        <v>54</v>
      </c>
      <c r="O636" s="41" t="s">
        <v>55</v>
      </c>
      <c r="P636" s="57">
        <v>45688</v>
      </c>
      <c r="Q636" s="41">
        <f>+H636+L636</f>
        <v>16200</v>
      </c>
      <c r="R636" s="41">
        <f>+J636+K636+L636</f>
        <v>6483.1671659999993</v>
      </c>
      <c r="S636" s="41">
        <f>+MONTH(B636)</f>
        <v>1</v>
      </c>
      <c r="T636" s="41">
        <f>+YEAR(B636)</f>
        <v>2025</v>
      </c>
      <c r="U636" s="41" t="s">
        <v>364</v>
      </c>
    </row>
    <row r="637" spans="1:21" ht="15" customHeight="1" x14ac:dyDescent="0.3">
      <c r="A637" s="41"/>
      <c r="B637" s="20">
        <v>45658</v>
      </c>
      <c r="C637" s="41"/>
      <c r="D637" s="41" t="s">
        <v>443</v>
      </c>
      <c r="E637" s="41" t="s">
        <v>402</v>
      </c>
      <c r="F637" s="41" t="s">
        <v>371</v>
      </c>
      <c r="G637" s="41" t="s">
        <v>53</v>
      </c>
      <c r="H637" s="55">
        <v>23478.26</v>
      </c>
      <c r="I637" s="56">
        <v>0.14000000000000001</v>
      </c>
      <c r="J637" s="55">
        <v>3780.0000000000005</v>
      </c>
      <c r="K637" s="55">
        <v>3503.5432084999989</v>
      </c>
      <c r="L637" s="55">
        <v>3521.74</v>
      </c>
      <c r="M637" s="41" t="s">
        <v>10</v>
      </c>
      <c r="N637" s="41" t="s">
        <v>54</v>
      </c>
      <c r="O637" s="41" t="s">
        <v>55</v>
      </c>
      <c r="P637" s="57">
        <v>45688</v>
      </c>
      <c r="Q637" s="41">
        <f>+H637+L637</f>
        <v>27000</v>
      </c>
      <c r="R637" s="41">
        <f>+J637+K637+L637</f>
        <v>10805.283208499999</v>
      </c>
      <c r="S637" s="41">
        <f>+MONTH(B637)</f>
        <v>1</v>
      </c>
      <c r="T637" s="41">
        <f>+YEAR(B637)</f>
        <v>2025</v>
      </c>
      <c r="U637" s="41" t="s">
        <v>364</v>
      </c>
    </row>
    <row r="638" spans="1:21" ht="15" customHeight="1" x14ac:dyDescent="0.3">
      <c r="A638" s="41"/>
      <c r="B638" s="20">
        <v>45658</v>
      </c>
      <c r="C638" s="41"/>
      <c r="D638" s="41" t="s">
        <v>449</v>
      </c>
      <c r="E638" s="41" t="s">
        <v>424</v>
      </c>
      <c r="F638" s="41" t="s">
        <v>371</v>
      </c>
      <c r="G638" s="41" t="s">
        <v>53</v>
      </c>
      <c r="H638" s="55">
        <v>23478.26</v>
      </c>
      <c r="I638" s="56">
        <v>0.14000000000000001</v>
      </c>
      <c r="J638" s="55">
        <v>3780.0000000000005</v>
      </c>
      <c r="K638" s="55">
        <v>3503.5432084999989</v>
      </c>
      <c r="L638" s="55">
        <v>3521.74</v>
      </c>
      <c r="M638" s="41" t="s">
        <v>10</v>
      </c>
      <c r="N638" s="41" t="s">
        <v>54</v>
      </c>
      <c r="O638" s="41" t="s">
        <v>55</v>
      </c>
      <c r="P638" s="57">
        <v>45688</v>
      </c>
      <c r="Q638" s="41">
        <f>+H638+L638</f>
        <v>27000</v>
      </c>
      <c r="R638" s="41">
        <f>+J638+K638+L638</f>
        <v>10805.283208499999</v>
      </c>
      <c r="S638" s="41">
        <f>+MONTH(B638)</f>
        <v>1</v>
      </c>
      <c r="T638" s="41">
        <f>+YEAR(B638)</f>
        <v>2025</v>
      </c>
      <c r="U638" s="41" t="s">
        <v>364</v>
      </c>
    </row>
    <row r="639" spans="1:21" ht="15" customHeight="1" x14ac:dyDescent="0.3">
      <c r="A639" s="41"/>
      <c r="B639" s="20">
        <v>45658</v>
      </c>
      <c r="C639" s="41"/>
      <c r="D639" s="41" t="s">
        <v>445</v>
      </c>
      <c r="E639" s="41" t="s">
        <v>402</v>
      </c>
      <c r="F639" s="41" t="s">
        <v>371</v>
      </c>
      <c r="G639" s="41" t="s">
        <v>53</v>
      </c>
      <c r="H639" s="55">
        <v>14086.96</v>
      </c>
      <c r="I639" s="56">
        <v>0.14000000000000001</v>
      </c>
      <c r="J639" s="55">
        <v>2268</v>
      </c>
      <c r="K639" s="55">
        <v>2102.1271659999993</v>
      </c>
      <c r="L639" s="55">
        <v>2113.04</v>
      </c>
      <c r="M639" s="41" t="s">
        <v>10</v>
      </c>
      <c r="N639" s="41" t="s">
        <v>54</v>
      </c>
      <c r="O639" s="41" t="s">
        <v>55</v>
      </c>
      <c r="P639" s="57">
        <v>45688</v>
      </c>
      <c r="Q639" s="41">
        <f>+H639+L639</f>
        <v>16200</v>
      </c>
      <c r="R639" s="41">
        <f>+J639+K639+L639</f>
        <v>6483.1671659999993</v>
      </c>
      <c r="S639" s="41">
        <f>+MONTH(B639)</f>
        <v>1</v>
      </c>
      <c r="T639" s="41">
        <f>+YEAR(B639)</f>
        <v>2025</v>
      </c>
      <c r="U639" s="41" t="s">
        <v>364</v>
      </c>
    </row>
    <row r="640" spans="1:21" ht="15" customHeight="1" x14ac:dyDescent="0.3">
      <c r="A640" s="41"/>
      <c r="B640" s="20">
        <v>45658</v>
      </c>
      <c r="C640" s="41"/>
      <c r="D640" s="41" t="s">
        <v>448</v>
      </c>
      <c r="E640" s="41" t="s">
        <v>427</v>
      </c>
      <c r="F640" s="41" t="s">
        <v>371</v>
      </c>
      <c r="G640" s="41" t="s">
        <v>53</v>
      </c>
      <c r="H640" s="55">
        <v>14086.96</v>
      </c>
      <c r="I640" s="56">
        <v>0.14000000000000001</v>
      </c>
      <c r="J640" s="55">
        <v>2268</v>
      </c>
      <c r="K640" s="55">
        <v>2102.1271659999993</v>
      </c>
      <c r="L640" s="55">
        <v>2113.04</v>
      </c>
      <c r="M640" s="41" t="s">
        <v>10</v>
      </c>
      <c r="N640" s="41" t="s">
        <v>54</v>
      </c>
      <c r="O640" s="41" t="s">
        <v>55</v>
      </c>
      <c r="P640" s="57">
        <v>45688</v>
      </c>
      <c r="Q640" s="41">
        <f>+H640+L640</f>
        <v>16200</v>
      </c>
      <c r="R640" s="41">
        <f>+J640+K640+L640</f>
        <v>6483.1671659999993</v>
      </c>
      <c r="S640" s="41">
        <f>+MONTH(B640)</f>
        <v>1</v>
      </c>
      <c r="T640" s="41">
        <f>+YEAR(B640)</f>
        <v>2025</v>
      </c>
      <c r="U640" s="41" t="s">
        <v>364</v>
      </c>
    </row>
    <row r="641" spans="1:21" ht="15" customHeight="1" x14ac:dyDescent="0.3">
      <c r="A641" s="41"/>
      <c r="B641" s="20">
        <v>45658</v>
      </c>
      <c r="C641" s="41"/>
      <c r="D641" s="41" t="s">
        <v>451</v>
      </c>
      <c r="E641" s="41" t="s">
        <v>424</v>
      </c>
      <c r="F641" s="41" t="s">
        <v>371</v>
      </c>
      <c r="G641" s="41" t="s">
        <v>53</v>
      </c>
      <c r="H641" s="55">
        <v>14086.96</v>
      </c>
      <c r="I641" s="56">
        <v>0.14000000000000001</v>
      </c>
      <c r="J641" s="55">
        <v>2268</v>
      </c>
      <c r="K641" s="55">
        <v>2102.1271659999993</v>
      </c>
      <c r="L641" s="55">
        <v>2113.04</v>
      </c>
      <c r="M641" s="41" t="s">
        <v>10</v>
      </c>
      <c r="N641" s="41" t="s">
        <v>54</v>
      </c>
      <c r="O641" s="41" t="s">
        <v>55</v>
      </c>
      <c r="P641" s="57">
        <v>45688</v>
      </c>
      <c r="Q641" s="41">
        <f>+H641+L641</f>
        <v>16200</v>
      </c>
      <c r="R641" s="41">
        <f>+J641+K641+L641</f>
        <v>6483.1671659999993</v>
      </c>
      <c r="S641" s="41">
        <f>+MONTH(B641)</f>
        <v>1</v>
      </c>
      <c r="T641" s="41">
        <f>+YEAR(B641)</f>
        <v>2025</v>
      </c>
      <c r="U641" s="41" t="s">
        <v>364</v>
      </c>
    </row>
    <row r="642" spans="1:21" ht="15" customHeight="1" x14ac:dyDescent="0.3">
      <c r="A642" s="41"/>
      <c r="B642" s="20">
        <v>45631</v>
      </c>
      <c r="C642" s="41"/>
      <c r="D642" s="41" t="s">
        <v>930</v>
      </c>
      <c r="E642" s="41" t="s">
        <v>419</v>
      </c>
      <c r="F642" s="41" t="s">
        <v>363</v>
      </c>
      <c r="G642" s="41" t="s">
        <v>53</v>
      </c>
      <c r="H642" s="55">
        <v>187.51</v>
      </c>
      <c r="I642" s="56">
        <v>0.17499999999999999</v>
      </c>
      <c r="J642" s="55">
        <v>37.736999999999995</v>
      </c>
      <c r="K642" s="55">
        <v>20.133273750000001</v>
      </c>
      <c r="L642" s="55">
        <v>28.13</v>
      </c>
      <c r="M642" s="41" t="s">
        <v>10</v>
      </c>
      <c r="N642" s="41" t="s">
        <v>54</v>
      </c>
      <c r="O642" s="41" t="s">
        <v>55</v>
      </c>
      <c r="P642" s="57">
        <v>45657</v>
      </c>
      <c r="Q642" s="41">
        <f>+H642+L642</f>
        <v>215.64</v>
      </c>
      <c r="R642" s="41">
        <f>+J642+K642+L642</f>
        <v>86.000273749999991</v>
      </c>
      <c r="S642" s="41">
        <f>+MONTH(B642)</f>
        <v>12</v>
      </c>
      <c r="T642" s="41">
        <f>+YEAR(B642)</f>
        <v>2024</v>
      </c>
      <c r="U642" s="41" t="s">
        <v>364</v>
      </c>
    </row>
    <row r="643" spans="1:21" ht="15" customHeight="1" x14ac:dyDescent="0.3">
      <c r="A643" s="41"/>
      <c r="B643" s="20">
        <v>45620</v>
      </c>
      <c r="C643" s="41"/>
      <c r="D643" s="41" t="s">
        <v>931</v>
      </c>
      <c r="E643" s="41" t="s">
        <v>868</v>
      </c>
      <c r="F643" s="41" t="s">
        <v>363</v>
      </c>
      <c r="G643" s="41" t="s">
        <v>53</v>
      </c>
      <c r="H643" s="55">
        <v>1525.65</v>
      </c>
      <c r="I643" s="56">
        <v>0.17499999999999999</v>
      </c>
      <c r="J643" s="55">
        <v>307.03749999999997</v>
      </c>
      <c r="K643" s="55">
        <v>163.81623125000004</v>
      </c>
      <c r="L643" s="55">
        <v>228.85</v>
      </c>
      <c r="M643" s="41" t="s">
        <v>10</v>
      </c>
      <c r="N643" s="41" t="s">
        <v>54</v>
      </c>
      <c r="O643" s="41" t="s">
        <v>55</v>
      </c>
      <c r="P643" s="57">
        <v>45626</v>
      </c>
      <c r="Q643" s="41">
        <f>+H643+L643</f>
        <v>1754.5</v>
      </c>
      <c r="R643" s="41">
        <f>+J643+K643+L643</f>
        <v>699.70373125000003</v>
      </c>
      <c r="S643" s="41">
        <f>+MONTH(B643)</f>
        <v>11</v>
      </c>
      <c r="T643" s="41">
        <f>+YEAR(B643)</f>
        <v>2024</v>
      </c>
      <c r="U643" s="41" t="s">
        <v>364</v>
      </c>
    </row>
    <row r="644" spans="1:21" ht="15" customHeight="1" x14ac:dyDescent="0.3">
      <c r="A644" s="41"/>
      <c r="B644" s="20">
        <v>45658</v>
      </c>
      <c r="C644" s="41"/>
      <c r="D644" s="41" t="s">
        <v>446</v>
      </c>
      <c r="E644" s="41" t="s">
        <v>427</v>
      </c>
      <c r="F644" s="41" t="s">
        <v>371</v>
      </c>
      <c r="G644" s="41" t="s">
        <v>53</v>
      </c>
      <c r="H644" s="55">
        <v>23478.26</v>
      </c>
      <c r="I644" s="56">
        <v>0.14000000000000001</v>
      </c>
      <c r="J644" s="55">
        <v>3780.0000000000005</v>
      </c>
      <c r="K644" s="55">
        <v>3503.5432084999989</v>
      </c>
      <c r="L644" s="55">
        <v>3521.74</v>
      </c>
      <c r="M644" s="41" t="s">
        <v>10</v>
      </c>
      <c r="N644" s="41" t="s">
        <v>54</v>
      </c>
      <c r="O644" s="41" t="s">
        <v>55</v>
      </c>
      <c r="P644" s="57">
        <v>45688</v>
      </c>
      <c r="Q644" s="41">
        <f>+H644+L644</f>
        <v>27000</v>
      </c>
      <c r="R644" s="41">
        <f>+J644+K644+L644</f>
        <v>10805.283208499999</v>
      </c>
      <c r="S644" s="41">
        <f>+MONTH(B644)</f>
        <v>1</v>
      </c>
      <c r="T644" s="41">
        <f>+YEAR(B644)</f>
        <v>2025</v>
      </c>
      <c r="U644" s="41" t="s">
        <v>364</v>
      </c>
    </row>
    <row r="645" spans="1:21" ht="15" customHeight="1" x14ac:dyDescent="0.3">
      <c r="A645" s="41"/>
      <c r="B645" s="20">
        <v>45672</v>
      </c>
      <c r="C645" s="41"/>
      <c r="D645" s="41" t="s">
        <v>932</v>
      </c>
      <c r="E645" s="41" t="s">
        <v>412</v>
      </c>
      <c r="F645" s="41" t="s">
        <v>363</v>
      </c>
      <c r="G645" s="41" t="s">
        <v>53</v>
      </c>
      <c r="H645" s="55">
        <v>1490.87</v>
      </c>
      <c r="I645" s="56">
        <v>0.17499999999999999</v>
      </c>
      <c r="J645" s="55">
        <v>300.03749999999997</v>
      </c>
      <c r="K645" s="55">
        <v>162.46764574999997</v>
      </c>
      <c r="L645" s="55">
        <v>223.63</v>
      </c>
      <c r="M645" s="41" t="s">
        <v>10</v>
      </c>
      <c r="N645" s="41" t="s">
        <v>54</v>
      </c>
      <c r="O645" s="41" t="s">
        <v>55</v>
      </c>
      <c r="P645" s="57">
        <v>45688</v>
      </c>
      <c r="Q645" s="41">
        <f>+H645+L645</f>
        <v>1714.5</v>
      </c>
      <c r="R645" s="41">
        <f>+J645+K645+L645</f>
        <v>686.13514574999999</v>
      </c>
      <c r="S645" s="41">
        <f>+MONTH(B645)</f>
        <v>1</v>
      </c>
      <c r="T645" s="41">
        <f>+YEAR(B645)</f>
        <v>2025</v>
      </c>
      <c r="U645" s="41" t="s">
        <v>364</v>
      </c>
    </row>
    <row r="646" spans="1:21" ht="15" customHeight="1" x14ac:dyDescent="0.3">
      <c r="A646" s="41"/>
      <c r="B646" s="20">
        <v>45642</v>
      </c>
      <c r="C646" s="41"/>
      <c r="D646" s="41" t="s">
        <v>933</v>
      </c>
      <c r="E646" s="41" t="s">
        <v>875</v>
      </c>
      <c r="F646" s="41" t="s">
        <v>876</v>
      </c>
      <c r="G646" s="41" t="s">
        <v>53</v>
      </c>
      <c r="H646" s="55">
        <v>300.89999999999998</v>
      </c>
      <c r="I646" s="56">
        <v>0.13500000000000001</v>
      </c>
      <c r="J646" s="55">
        <v>46.71405</v>
      </c>
      <c r="K646" s="55">
        <v>46.151212499999986</v>
      </c>
      <c r="L646" s="55">
        <v>45.13</v>
      </c>
      <c r="M646" s="41" t="s">
        <v>10</v>
      </c>
      <c r="N646" s="41" t="s">
        <v>54</v>
      </c>
      <c r="O646" s="41" t="s">
        <v>55</v>
      </c>
      <c r="P646" s="57">
        <v>45657</v>
      </c>
      <c r="Q646" s="41">
        <f>+H646+L646</f>
        <v>346.03</v>
      </c>
      <c r="R646" s="41">
        <f>+J646+K646+L646</f>
        <v>137.9952625</v>
      </c>
      <c r="S646" s="41">
        <f>+MONTH(B646)</f>
        <v>12</v>
      </c>
      <c r="T646" s="41">
        <f>+YEAR(B646)</f>
        <v>2024</v>
      </c>
      <c r="U646" s="41" t="s">
        <v>364</v>
      </c>
    </row>
    <row r="647" spans="1:21" ht="15" customHeight="1" x14ac:dyDescent="0.3">
      <c r="A647" s="41"/>
      <c r="B647" s="20">
        <v>45642</v>
      </c>
      <c r="C647" s="41"/>
      <c r="D647" s="41" t="s">
        <v>934</v>
      </c>
      <c r="E647" s="41" t="s">
        <v>875</v>
      </c>
      <c r="F647" s="41" t="s">
        <v>876</v>
      </c>
      <c r="G647" s="41" t="s">
        <v>53</v>
      </c>
      <c r="H647" s="55">
        <v>268.48</v>
      </c>
      <c r="I647" s="56">
        <v>0.13500000000000001</v>
      </c>
      <c r="J647" s="55">
        <v>41.681250000000006</v>
      </c>
      <c r="K647" s="55">
        <v>41.178389999999993</v>
      </c>
      <c r="L647" s="55">
        <v>40.270000000000003</v>
      </c>
      <c r="M647" s="41" t="s">
        <v>10</v>
      </c>
      <c r="N647" s="41" t="s">
        <v>54</v>
      </c>
      <c r="O647" s="41" t="s">
        <v>55</v>
      </c>
      <c r="P647" s="57">
        <v>45657</v>
      </c>
      <c r="Q647" s="41">
        <f>+H647+L647</f>
        <v>308.75</v>
      </c>
      <c r="R647" s="41">
        <f>+J647+K647+L647</f>
        <v>123.12963999999999</v>
      </c>
      <c r="S647" s="41">
        <f>+MONTH(B647)</f>
        <v>12</v>
      </c>
      <c r="T647" s="41">
        <f>+YEAR(B647)</f>
        <v>2024</v>
      </c>
      <c r="U647" s="41" t="s">
        <v>364</v>
      </c>
    </row>
    <row r="648" spans="1:21" ht="15" customHeight="1" x14ac:dyDescent="0.3">
      <c r="A648" s="41"/>
      <c r="B648" s="20">
        <v>45656</v>
      </c>
      <c r="C648" s="41"/>
      <c r="D648" s="41" t="s">
        <v>935</v>
      </c>
      <c r="E648" s="41" t="s">
        <v>870</v>
      </c>
      <c r="F648" s="41" t="s">
        <v>363</v>
      </c>
      <c r="G648" s="41" t="s">
        <v>53</v>
      </c>
      <c r="H648" s="55">
        <v>208.96</v>
      </c>
      <c r="I648" s="56">
        <v>0.17499999999999999</v>
      </c>
      <c r="J648" s="55">
        <v>42.052500000000002</v>
      </c>
      <c r="K648" s="55">
        <v>22.437779999999997</v>
      </c>
      <c r="L648" s="55">
        <v>31.34</v>
      </c>
      <c r="M648" s="41" t="s">
        <v>10</v>
      </c>
      <c r="N648" s="41" t="s">
        <v>54</v>
      </c>
      <c r="O648" s="41" t="s">
        <v>55</v>
      </c>
      <c r="P648" s="57">
        <v>45657</v>
      </c>
      <c r="Q648" s="41">
        <f>+H648+L648</f>
        <v>240.3</v>
      </c>
      <c r="R648" s="41">
        <f>+J648+K648+L648</f>
        <v>95.830280000000002</v>
      </c>
      <c r="S648" s="41">
        <f>+MONTH(B648)</f>
        <v>12</v>
      </c>
      <c r="T648" s="41">
        <f>+YEAR(B648)</f>
        <v>2024</v>
      </c>
      <c r="U648" s="41" t="s">
        <v>364</v>
      </c>
    </row>
    <row r="649" spans="1:21" ht="15" customHeight="1" x14ac:dyDescent="0.3">
      <c r="A649" s="41"/>
      <c r="B649" s="20">
        <v>45678</v>
      </c>
      <c r="C649" s="41"/>
      <c r="D649" s="41" t="s">
        <v>936</v>
      </c>
      <c r="E649" s="41" t="s">
        <v>362</v>
      </c>
      <c r="F649" s="41" t="s">
        <v>363</v>
      </c>
      <c r="G649" s="41" t="s">
        <v>53</v>
      </c>
      <c r="H649" s="55">
        <v>86.96</v>
      </c>
      <c r="I649" s="56">
        <v>0.17499999999999999</v>
      </c>
      <c r="J649" s="55">
        <v>17.5</v>
      </c>
      <c r="K649" s="55">
        <v>9.4771659999999969</v>
      </c>
      <c r="L649" s="55">
        <v>13.04</v>
      </c>
      <c r="M649" s="41" t="s">
        <v>10</v>
      </c>
      <c r="N649" s="41" t="s">
        <v>54</v>
      </c>
      <c r="O649" s="41" t="s">
        <v>55</v>
      </c>
      <c r="P649" s="57">
        <v>45688</v>
      </c>
      <c r="Q649" s="41">
        <f>+H649+L649</f>
        <v>100</v>
      </c>
      <c r="R649" s="41">
        <f>+J649+K649+L649</f>
        <v>40.017165999999996</v>
      </c>
      <c r="S649" s="41">
        <f>+MONTH(B649)</f>
        <v>1</v>
      </c>
      <c r="T649" s="41">
        <f>+YEAR(B649)</f>
        <v>2025</v>
      </c>
      <c r="U649" s="41" t="s">
        <v>364</v>
      </c>
    </row>
    <row r="650" spans="1:21" ht="15" customHeight="1" x14ac:dyDescent="0.3">
      <c r="A650" s="41"/>
      <c r="B650" s="20">
        <v>45658</v>
      </c>
      <c r="C650" s="41"/>
      <c r="D650" s="41" t="s">
        <v>435</v>
      </c>
      <c r="E650" s="41" t="s">
        <v>387</v>
      </c>
      <c r="F650" s="41" t="s">
        <v>371</v>
      </c>
      <c r="G650" s="41" t="s">
        <v>53</v>
      </c>
      <c r="H650" s="55">
        <v>23478.26</v>
      </c>
      <c r="I650" s="56">
        <v>0.14000000000000001</v>
      </c>
      <c r="J650" s="55">
        <v>3780.0000000000005</v>
      </c>
      <c r="K650" s="55">
        <v>3503.5432084999989</v>
      </c>
      <c r="L650" s="55">
        <v>3521.74</v>
      </c>
      <c r="M650" s="41" t="s">
        <v>10</v>
      </c>
      <c r="N650" s="41" t="s">
        <v>54</v>
      </c>
      <c r="O650" s="41" t="s">
        <v>55</v>
      </c>
      <c r="P650" s="57">
        <v>45688</v>
      </c>
      <c r="Q650" s="41">
        <f>+H650+L650</f>
        <v>27000</v>
      </c>
      <c r="R650" s="41">
        <f>+J650+K650+L650</f>
        <v>10805.283208499999</v>
      </c>
      <c r="S650" s="41">
        <f>+MONTH(B650)</f>
        <v>1</v>
      </c>
      <c r="T650" s="41">
        <f>+YEAR(B650)</f>
        <v>2025</v>
      </c>
      <c r="U650" s="41" t="s">
        <v>364</v>
      </c>
    </row>
    <row r="651" spans="1:21" ht="15" customHeight="1" x14ac:dyDescent="0.3">
      <c r="A651" s="41"/>
      <c r="B651" s="20">
        <v>45653</v>
      </c>
      <c r="C651" s="41"/>
      <c r="D651" s="41" t="s">
        <v>937</v>
      </c>
      <c r="E651" s="41" t="s">
        <v>870</v>
      </c>
      <c r="F651" s="41" t="s">
        <v>363</v>
      </c>
      <c r="G651" s="41" t="s">
        <v>53</v>
      </c>
      <c r="H651" s="55">
        <v>152.61000000000001</v>
      </c>
      <c r="I651" s="56">
        <v>0.17499999999999999</v>
      </c>
      <c r="J651" s="55">
        <v>30.712499999999999</v>
      </c>
      <c r="K651" s="55">
        <v>16.386761250000006</v>
      </c>
      <c r="L651" s="55">
        <v>22.89</v>
      </c>
      <c r="M651" s="41" t="s">
        <v>10</v>
      </c>
      <c r="N651" s="41" t="s">
        <v>54</v>
      </c>
      <c r="O651" s="41" t="s">
        <v>55</v>
      </c>
      <c r="P651" s="57">
        <v>45657</v>
      </c>
      <c r="Q651" s="41">
        <f>+H651+L651</f>
        <v>175.5</v>
      </c>
      <c r="R651" s="41">
        <f>+J651+K651+L651</f>
        <v>69.989261249999998</v>
      </c>
      <c r="S651" s="41">
        <f>+MONTH(B651)</f>
        <v>12</v>
      </c>
      <c r="T651" s="41">
        <f>+YEAR(B651)</f>
        <v>2024</v>
      </c>
      <c r="U651" s="41" t="s">
        <v>364</v>
      </c>
    </row>
    <row r="652" spans="1:21" ht="15" customHeight="1" x14ac:dyDescent="0.3">
      <c r="A652" s="41"/>
      <c r="B652" s="20">
        <v>45628</v>
      </c>
      <c r="C652" s="41"/>
      <c r="D652" s="41" t="s">
        <v>938</v>
      </c>
      <c r="E652" s="41" t="s">
        <v>865</v>
      </c>
      <c r="F652" s="41" t="s">
        <v>363</v>
      </c>
      <c r="G652" s="41" t="s">
        <v>53</v>
      </c>
      <c r="H652" s="55">
        <v>212.81</v>
      </c>
      <c r="I652" s="56">
        <v>0.17499999999999999</v>
      </c>
      <c r="J652" s="55">
        <v>42.827750000000002</v>
      </c>
      <c r="K652" s="55">
        <v>22.85073624999999</v>
      </c>
      <c r="L652" s="55">
        <v>31.92</v>
      </c>
      <c r="M652" s="41" t="s">
        <v>10</v>
      </c>
      <c r="N652" s="41" t="s">
        <v>54</v>
      </c>
      <c r="O652" s="41" t="s">
        <v>55</v>
      </c>
      <c r="P652" s="57">
        <v>45657</v>
      </c>
      <c r="Q652" s="41">
        <f>+H652+L652</f>
        <v>244.73000000000002</v>
      </c>
      <c r="R652" s="41">
        <f>+J652+K652+L652</f>
        <v>97.598486249999993</v>
      </c>
      <c r="S652" s="41">
        <f>+MONTH(B652)</f>
        <v>12</v>
      </c>
      <c r="T652" s="41">
        <f>+YEAR(B652)</f>
        <v>2024</v>
      </c>
      <c r="U652" s="41" t="s">
        <v>364</v>
      </c>
    </row>
    <row r="653" spans="1:21" ht="15" customHeight="1" x14ac:dyDescent="0.3">
      <c r="A653" s="41"/>
      <c r="B653" s="20">
        <v>45678</v>
      </c>
      <c r="C653" s="41"/>
      <c r="D653" s="41" t="s">
        <v>939</v>
      </c>
      <c r="E653" s="41" t="s">
        <v>362</v>
      </c>
      <c r="F653" s="41" t="s">
        <v>363</v>
      </c>
      <c r="G653" s="41" t="s">
        <v>53</v>
      </c>
      <c r="H653" s="55">
        <v>86.96</v>
      </c>
      <c r="I653" s="56">
        <v>0.17499999999999999</v>
      </c>
      <c r="J653" s="55">
        <v>17.5</v>
      </c>
      <c r="K653" s="55">
        <v>9.4771659999999969</v>
      </c>
      <c r="L653" s="55">
        <v>13.04</v>
      </c>
      <c r="M653" s="41" t="s">
        <v>10</v>
      </c>
      <c r="N653" s="41" t="s">
        <v>54</v>
      </c>
      <c r="O653" s="41" t="s">
        <v>55</v>
      </c>
      <c r="P653" s="57">
        <v>45688</v>
      </c>
      <c r="Q653" s="41">
        <f>+H653+L653</f>
        <v>100</v>
      </c>
      <c r="R653" s="41">
        <f>+J653+K653+L653</f>
        <v>40.017165999999996</v>
      </c>
      <c r="S653" s="41">
        <f>+MONTH(B653)</f>
        <v>1</v>
      </c>
      <c r="T653" s="41">
        <f>+YEAR(B653)</f>
        <v>2025</v>
      </c>
      <c r="U653" s="41" t="s">
        <v>364</v>
      </c>
    </row>
    <row r="654" spans="1:21" ht="15" customHeight="1" x14ac:dyDescent="0.3">
      <c r="A654" s="41"/>
      <c r="B654" s="20">
        <v>45658</v>
      </c>
      <c r="C654" s="41"/>
      <c r="D654" s="41" t="s">
        <v>437</v>
      </c>
      <c r="E654" s="41" t="s">
        <v>387</v>
      </c>
      <c r="F654" s="41" t="s">
        <v>371</v>
      </c>
      <c r="G654" s="41" t="s">
        <v>53</v>
      </c>
      <c r="H654" s="55">
        <v>14086.96</v>
      </c>
      <c r="I654" s="56">
        <v>0.14000000000000001</v>
      </c>
      <c r="J654" s="55">
        <v>2268</v>
      </c>
      <c r="K654" s="55">
        <v>2102.1271659999993</v>
      </c>
      <c r="L654" s="55">
        <v>2113.04</v>
      </c>
      <c r="M654" s="41" t="s">
        <v>10</v>
      </c>
      <c r="N654" s="41" t="s">
        <v>54</v>
      </c>
      <c r="O654" s="41" t="s">
        <v>55</v>
      </c>
      <c r="P654" s="57">
        <v>45688</v>
      </c>
      <c r="Q654" s="41">
        <f>+H654+L654</f>
        <v>16200</v>
      </c>
      <c r="R654" s="41">
        <f>+J654+K654+L654</f>
        <v>6483.1671659999993</v>
      </c>
      <c r="S654" s="41">
        <f>+MONTH(B654)</f>
        <v>1</v>
      </c>
      <c r="T654" s="41">
        <f>+YEAR(B654)</f>
        <v>2025</v>
      </c>
      <c r="U654" s="41" t="s">
        <v>364</v>
      </c>
    </row>
    <row r="655" spans="1:21" ht="15" customHeight="1" x14ac:dyDescent="0.3">
      <c r="A655" s="41"/>
      <c r="B655" s="20">
        <v>45686</v>
      </c>
      <c r="C655" s="41"/>
      <c r="D655" s="41" t="s">
        <v>940</v>
      </c>
      <c r="E655" s="41" t="s">
        <v>419</v>
      </c>
      <c r="F655" s="41" t="s">
        <v>363</v>
      </c>
      <c r="G655" s="41" t="s">
        <v>53</v>
      </c>
      <c r="H655" s="55">
        <v>419.95</v>
      </c>
      <c r="I655" s="56">
        <v>0.17499999999999999</v>
      </c>
      <c r="J655" s="55">
        <v>84.514499999999998</v>
      </c>
      <c r="K655" s="55">
        <v>45.764488749999998</v>
      </c>
      <c r="L655" s="55">
        <v>62.99</v>
      </c>
      <c r="M655" s="41" t="s">
        <v>10</v>
      </c>
      <c r="N655" s="41" t="s">
        <v>54</v>
      </c>
      <c r="O655" s="41" t="s">
        <v>55</v>
      </c>
      <c r="P655" s="57">
        <v>45688</v>
      </c>
      <c r="Q655" s="41">
        <f>+H655+L655</f>
        <v>482.94</v>
      </c>
      <c r="R655" s="41">
        <f>+J655+K655+L655</f>
        <v>193.26898875000001</v>
      </c>
      <c r="S655" s="41">
        <f>+MONTH(B655)</f>
        <v>1</v>
      </c>
      <c r="T655" s="41">
        <f>+YEAR(B655)</f>
        <v>2025</v>
      </c>
      <c r="U655" s="41" t="s">
        <v>364</v>
      </c>
    </row>
    <row r="656" spans="1:21" ht="15" customHeight="1" x14ac:dyDescent="0.3">
      <c r="A656" s="41"/>
      <c r="B656" s="20">
        <v>45658</v>
      </c>
      <c r="C656" s="41"/>
      <c r="D656" s="41" t="s">
        <v>438</v>
      </c>
      <c r="E656" s="41" t="s">
        <v>407</v>
      </c>
      <c r="F656" s="41" t="s">
        <v>371</v>
      </c>
      <c r="G656" s="41" t="s">
        <v>53</v>
      </c>
      <c r="H656" s="55">
        <v>4173.91</v>
      </c>
      <c r="I656" s="56">
        <v>0.14000000000000001</v>
      </c>
      <c r="J656" s="55">
        <v>672.00000000000011</v>
      </c>
      <c r="K656" s="55">
        <v>622.85122974999979</v>
      </c>
      <c r="L656" s="55">
        <v>626.09</v>
      </c>
      <c r="M656" s="41" t="s">
        <v>10</v>
      </c>
      <c r="N656" s="41" t="s">
        <v>54</v>
      </c>
      <c r="O656" s="41" t="s">
        <v>55</v>
      </c>
      <c r="P656" s="57">
        <v>45688</v>
      </c>
      <c r="Q656" s="41">
        <f>+H656+L656</f>
        <v>4800</v>
      </c>
      <c r="R656" s="41">
        <f>+J656+K656+L656</f>
        <v>1920.9412297499998</v>
      </c>
      <c r="S656" s="41">
        <f>+MONTH(B656)</f>
        <v>1</v>
      </c>
      <c r="T656" s="41">
        <f>+YEAR(B656)</f>
        <v>2025</v>
      </c>
      <c r="U656" s="41" t="s">
        <v>364</v>
      </c>
    </row>
    <row r="657" spans="1:21" ht="15" customHeight="1" x14ac:dyDescent="0.3">
      <c r="A657" s="41"/>
      <c r="B657" s="20">
        <v>45677</v>
      </c>
      <c r="C657" s="41"/>
      <c r="D657" s="41" t="s">
        <v>941</v>
      </c>
      <c r="E657" s="41" t="s">
        <v>373</v>
      </c>
      <c r="F657" s="41" t="s">
        <v>363</v>
      </c>
      <c r="G657" s="41" t="s">
        <v>53</v>
      </c>
      <c r="H657" s="55">
        <v>40000</v>
      </c>
      <c r="I657" s="56">
        <v>0.17499999999999999</v>
      </c>
      <c r="J657" s="55">
        <v>8049.9999999999991</v>
      </c>
      <c r="K657" s="55">
        <v>4358.9999999999991</v>
      </c>
      <c r="L657" s="55">
        <v>6000</v>
      </c>
      <c r="M657" s="41" t="s">
        <v>10</v>
      </c>
      <c r="N657" s="41" t="s">
        <v>54</v>
      </c>
      <c r="O657" s="41" t="s">
        <v>55</v>
      </c>
      <c r="P657" s="57">
        <v>45688</v>
      </c>
      <c r="Q657" s="41">
        <f>+H657+L657</f>
        <v>46000</v>
      </c>
      <c r="R657" s="41">
        <f>+J657+K657+L657</f>
        <v>18409</v>
      </c>
      <c r="S657" s="41">
        <f>+MONTH(B657)</f>
        <v>1</v>
      </c>
      <c r="T657" s="41">
        <f>+YEAR(B657)</f>
        <v>2025</v>
      </c>
      <c r="U657" s="41" t="s">
        <v>364</v>
      </c>
    </row>
    <row r="658" spans="1:21" ht="15" customHeight="1" x14ac:dyDescent="0.3">
      <c r="A658" s="41"/>
      <c r="B658" s="20">
        <v>45664</v>
      </c>
      <c r="C658" s="41"/>
      <c r="D658" s="41" t="s">
        <v>942</v>
      </c>
      <c r="E658" s="41" t="s">
        <v>415</v>
      </c>
      <c r="F658" s="41" t="s">
        <v>416</v>
      </c>
      <c r="G658" s="41" t="s">
        <v>53</v>
      </c>
      <c r="H658" s="55">
        <v>173.91</v>
      </c>
      <c r="I658" s="56">
        <v>0.15</v>
      </c>
      <c r="J658" s="55">
        <v>30</v>
      </c>
      <c r="K658" s="55">
        <v>23.951229749999996</v>
      </c>
      <c r="L658" s="55">
        <v>26.09</v>
      </c>
      <c r="M658" s="41" t="s">
        <v>10</v>
      </c>
      <c r="N658" s="41" t="s">
        <v>54</v>
      </c>
      <c r="O658" s="41" t="s">
        <v>55</v>
      </c>
      <c r="P658" s="57">
        <v>45688</v>
      </c>
      <c r="Q658" s="41">
        <f>+H658+L658</f>
        <v>200</v>
      </c>
      <c r="R658" s="41">
        <f>+J658+K658+L658</f>
        <v>80.041229749999999</v>
      </c>
      <c r="S658" s="41">
        <f>+MONTH(B658)</f>
        <v>1</v>
      </c>
      <c r="T658" s="41">
        <f>+YEAR(B658)</f>
        <v>2025</v>
      </c>
      <c r="U658" s="41" t="s">
        <v>364</v>
      </c>
    </row>
    <row r="659" spans="1:21" ht="15" customHeight="1" x14ac:dyDescent="0.3">
      <c r="A659" s="41"/>
      <c r="B659" s="20">
        <v>45868</v>
      </c>
      <c r="C659" s="41"/>
      <c r="D659" s="41" t="s">
        <v>943</v>
      </c>
      <c r="E659" s="41" t="s">
        <v>362</v>
      </c>
      <c r="F659" s="41" t="s">
        <v>363</v>
      </c>
      <c r="G659" s="41" t="s">
        <v>53</v>
      </c>
      <c r="H659" s="55">
        <v>151.47</v>
      </c>
      <c r="I659" s="56">
        <v>0.17499999999999999</v>
      </c>
      <c r="J659" s="55">
        <v>30.483249999999998</v>
      </c>
      <c r="K659" s="55">
        <v>16.506530749999996</v>
      </c>
      <c r="L659" s="55">
        <v>22.72</v>
      </c>
      <c r="M659" s="41" t="s">
        <v>10</v>
      </c>
      <c r="N659" s="41" t="s">
        <v>54</v>
      </c>
      <c r="O659" s="41" t="s">
        <v>55</v>
      </c>
      <c r="P659" s="57">
        <v>45869</v>
      </c>
      <c r="Q659" s="41">
        <f>+H659+L659</f>
        <v>174.19</v>
      </c>
      <c r="R659" s="41">
        <f>+J659+K659+L659</f>
        <v>69.709780749999993</v>
      </c>
      <c r="S659" s="41">
        <f>+MONTH(B659)</f>
        <v>7</v>
      </c>
      <c r="T659" s="41">
        <f>+YEAR(B659)</f>
        <v>2025</v>
      </c>
      <c r="U659" s="41" t="s">
        <v>364</v>
      </c>
    </row>
    <row r="660" spans="1:21" ht="15" customHeight="1" x14ac:dyDescent="0.3">
      <c r="A660" s="41"/>
      <c r="B660" s="20">
        <v>45743</v>
      </c>
      <c r="C660" s="41"/>
      <c r="D660" s="41" t="s">
        <v>944</v>
      </c>
      <c r="E660" s="41" t="s">
        <v>945</v>
      </c>
      <c r="F660" s="41" t="s">
        <v>363</v>
      </c>
      <c r="G660" s="41" t="s">
        <v>53</v>
      </c>
      <c r="H660" s="55">
        <v>1025.07</v>
      </c>
      <c r="I660" s="56">
        <v>0.17499999999999999</v>
      </c>
      <c r="J660" s="55">
        <v>206.29524999999998</v>
      </c>
      <c r="K660" s="55">
        <v>111.70709074999999</v>
      </c>
      <c r="L660" s="55">
        <v>153.76</v>
      </c>
      <c r="M660" s="41" t="s">
        <v>10</v>
      </c>
      <c r="N660" s="41" t="s">
        <v>54</v>
      </c>
      <c r="O660" s="41" t="s">
        <v>55</v>
      </c>
      <c r="P660" s="57">
        <v>45747</v>
      </c>
      <c r="Q660" s="41">
        <f>+H660+L660</f>
        <v>1178.83</v>
      </c>
      <c r="R660" s="41">
        <f>+J660+K660+L660</f>
        <v>471.76234074999996</v>
      </c>
      <c r="S660" s="41">
        <f>+MONTH(B660)</f>
        <v>3</v>
      </c>
      <c r="T660" s="41">
        <f>+YEAR(B660)</f>
        <v>2025</v>
      </c>
      <c r="U660" s="41" t="s">
        <v>364</v>
      </c>
    </row>
    <row r="661" spans="1:21" ht="15" customHeight="1" x14ac:dyDescent="0.3">
      <c r="A661" s="41"/>
      <c r="B661" s="20">
        <v>45744</v>
      </c>
      <c r="C661" s="41"/>
      <c r="D661" s="41" t="s">
        <v>946</v>
      </c>
      <c r="E661" s="41" t="s">
        <v>786</v>
      </c>
      <c r="F661" s="41" t="s">
        <v>363</v>
      </c>
      <c r="G661" s="41" t="s">
        <v>53</v>
      </c>
      <c r="H661" s="55">
        <v>791.3</v>
      </c>
      <c r="I661" s="56">
        <v>0.17499999999999999</v>
      </c>
      <c r="J661" s="55">
        <v>159.25</v>
      </c>
      <c r="K661" s="55">
        <v>86.231042499999973</v>
      </c>
      <c r="L661" s="55">
        <v>118.7</v>
      </c>
      <c r="M661" s="41" t="s">
        <v>10</v>
      </c>
      <c r="N661" s="41" t="s">
        <v>54</v>
      </c>
      <c r="O661" s="41" t="s">
        <v>55</v>
      </c>
      <c r="P661" s="57">
        <v>45747</v>
      </c>
      <c r="Q661" s="41">
        <f>+H661+L661</f>
        <v>910</v>
      </c>
      <c r="R661" s="41">
        <f>+J661+K661+L661</f>
        <v>364.18104249999999</v>
      </c>
      <c r="S661" s="41">
        <f>+MONTH(B661)</f>
        <v>3</v>
      </c>
      <c r="T661" s="41">
        <f>+YEAR(B661)</f>
        <v>2025</v>
      </c>
      <c r="U661" s="41" t="s">
        <v>364</v>
      </c>
    </row>
    <row r="662" spans="1:21" ht="15" customHeight="1" x14ac:dyDescent="0.3">
      <c r="A662" s="41"/>
      <c r="B662" s="20">
        <v>45744</v>
      </c>
      <c r="C662" s="41"/>
      <c r="D662" s="41" t="s">
        <v>947</v>
      </c>
      <c r="E662" s="41" t="s">
        <v>780</v>
      </c>
      <c r="F662" s="41" t="s">
        <v>363</v>
      </c>
      <c r="G662" s="41" t="s">
        <v>53</v>
      </c>
      <c r="H662" s="55">
        <v>649.27</v>
      </c>
      <c r="I662" s="56">
        <v>0.17499999999999999</v>
      </c>
      <c r="J662" s="55">
        <v>130.66549999999998</v>
      </c>
      <c r="K662" s="55">
        <v>70.754285750000008</v>
      </c>
      <c r="L662" s="55">
        <v>97.39</v>
      </c>
      <c r="M662" s="41" t="s">
        <v>10</v>
      </c>
      <c r="N662" s="41" t="s">
        <v>54</v>
      </c>
      <c r="O662" s="41" t="s">
        <v>55</v>
      </c>
      <c r="P662" s="57">
        <v>45747</v>
      </c>
      <c r="Q662" s="41">
        <f>+H662+L662</f>
        <v>746.66</v>
      </c>
      <c r="R662" s="41">
        <f>+J662+K662+L662</f>
        <v>298.80978575</v>
      </c>
      <c r="S662" s="41">
        <f>+MONTH(B662)</f>
        <v>3</v>
      </c>
      <c r="T662" s="41">
        <f>+YEAR(B662)</f>
        <v>2025</v>
      </c>
      <c r="U662" s="41" t="s">
        <v>364</v>
      </c>
    </row>
    <row r="663" spans="1:21" ht="15" customHeight="1" x14ac:dyDescent="0.3">
      <c r="A663" s="41"/>
      <c r="B663" s="20">
        <v>45746</v>
      </c>
      <c r="C663" s="41"/>
      <c r="D663" s="41" t="s">
        <v>948</v>
      </c>
      <c r="E663" s="41" t="s">
        <v>362</v>
      </c>
      <c r="F663" s="41" t="s">
        <v>363</v>
      </c>
      <c r="G663" s="41" t="s">
        <v>53</v>
      </c>
      <c r="H663" s="55">
        <v>450.51</v>
      </c>
      <c r="I663" s="56">
        <v>0.17499999999999999</v>
      </c>
      <c r="J663" s="55">
        <v>90.665750000000003</v>
      </c>
      <c r="K663" s="55">
        <v>49.093714749999975</v>
      </c>
      <c r="L663" s="55">
        <v>67.58</v>
      </c>
      <c r="M663" s="41" t="s">
        <v>10</v>
      </c>
      <c r="N663" s="41" t="s">
        <v>54</v>
      </c>
      <c r="O663" s="41" t="s">
        <v>55</v>
      </c>
      <c r="P663" s="57">
        <v>45747</v>
      </c>
      <c r="Q663" s="41">
        <f>+H663+L663</f>
        <v>518.09</v>
      </c>
      <c r="R663" s="41">
        <f>+J663+K663+L663</f>
        <v>207.33946474999999</v>
      </c>
      <c r="S663" s="41">
        <f>+MONTH(B663)</f>
        <v>3</v>
      </c>
      <c r="T663" s="41">
        <f>+YEAR(B663)</f>
        <v>2025</v>
      </c>
      <c r="U663" s="41" t="s">
        <v>364</v>
      </c>
    </row>
    <row r="664" spans="1:21" ht="15" customHeight="1" x14ac:dyDescent="0.3">
      <c r="A664" s="41"/>
      <c r="B664" s="20">
        <v>45820</v>
      </c>
      <c r="C664" s="41"/>
      <c r="D664" s="41" t="s">
        <v>949</v>
      </c>
      <c r="E664" s="41" t="s">
        <v>790</v>
      </c>
      <c r="F664" s="41" t="s">
        <v>363</v>
      </c>
      <c r="G664" s="41" t="s">
        <v>53</v>
      </c>
      <c r="H664" s="55">
        <v>350.43</v>
      </c>
      <c r="I664" s="56">
        <v>0.17499999999999999</v>
      </c>
      <c r="J664" s="55">
        <v>70.524999999999991</v>
      </c>
      <c r="K664" s="55">
        <v>38.187146749999997</v>
      </c>
      <c r="L664" s="55">
        <v>52.57</v>
      </c>
      <c r="M664" s="41" t="s">
        <v>10</v>
      </c>
      <c r="N664" s="41" t="s">
        <v>54</v>
      </c>
      <c r="O664" s="41" t="s">
        <v>55</v>
      </c>
      <c r="P664" s="57">
        <v>45838</v>
      </c>
      <c r="Q664" s="41">
        <f>+H664+L664</f>
        <v>403</v>
      </c>
      <c r="R664" s="41">
        <f>+J664+K664+L664</f>
        <v>161.28214674999998</v>
      </c>
      <c r="S664" s="41">
        <f>+MONTH(B664)</f>
        <v>6</v>
      </c>
      <c r="T664" s="41">
        <f>+YEAR(B664)</f>
        <v>2025</v>
      </c>
      <c r="U664" s="41" t="s">
        <v>364</v>
      </c>
    </row>
    <row r="665" spans="1:21" ht="15" customHeight="1" x14ac:dyDescent="0.3">
      <c r="A665" s="41"/>
      <c r="B665" s="20">
        <v>45833</v>
      </c>
      <c r="C665" s="41"/>
      <c r="D665" s="41" t="s">
        <v>950</v>
      </c>
      <c r="E665" s="41" t="s">
        <v>776</v>
      </c>
      <c r="F665" s="41" t="s">
        <v>363</v>
      </c>
      <c r="G665" s="41" t="s">
        <v>53</v>
      </c>
      <c r="H665" s="55">
        <v>106.36</v>
      </c>
      <c r="I665" s="56">
        <v>0.17499999999999999</v>
      </c>
      <c r="J665" s="55">
        <v>21.404249999999998</v>
      </c>
      <c r="K665" s="55">
        <v>11.591281000000002</v>
      </c>
      <c r="L665" s="55">
        <v>15.95</v>
      </c>
      <c r="M665" s="41" t="s">
        <v>10</v>
      </c>
      <c r="N665" s="41" t="s">
        <v>54</v>
      </c>
      <c r="O665" s="41" t="s">
        <v>55</v>
      </c>
      <c r="P665" s="57">
        <v>45838</v>
      </c>
      <c r="Q665" s="41">
        <f>+H665+L665</f>
        <v>122.31</v>
      </c>
      <c r="R665" s="41">
        <f>+J665+K665+L665</f>
        <v>48.945531000000003</v>
      </c>
      <c r="S665" s="41">
        <f>+MONTH(B665)</f>
        <v>6</v>
      </c>
      <c r="T665" s="41">
        <f>+YEAR(B665)</f>
        <v>2025</v>
      </c>
      <c r="U665" s="41" t="s">
        <v>364</v>
      </c>
    </row>
    <row r="666" spans="1:21" ht="15" customHeight="1" x14ac:dyDescent="0.3">
      <c r="A666" s="41"/>
      <c r="B666" s="20">
        <v>45816</v>
      </c>
      <c r="C666" s="41"/>
      <c r="D666" s="41" t="s">
        <v>951</v>
      </c>
      <c r="E666" s="41" t="s">
        <v>362</v>
      </c>
      <c r="F666" s="41" t="s">
        <v>363</v>
      </c>
      <c r="G666" s="41" t="s">
        <v>53</v>
      </c>
      <c r="H666" s="55">
        <v>86.96</v>
      </c>
      <c r="I666" s="56">
        <v>0.17499999999999999</v>
      </c>
      <c r="J666" s="55">
        <v>17.5</v>
      </c>
      <c r="K666" s="55">
        <v>9.4771659999999969</v>
      </c>
      <c r="L666" s="55">
        <v>13.04</v>
      </c>
      <c r="M666" s="41" t="s">
        <v>10</v>
      </c>
      <c r="N666" s="41" t="s">
        <v>54</v>
      </c>
      <c r="O666" s="41" t="s">
        <v>55</v>
      </c>
      <c r="P666" s="57">
        <v>45838</v>
      </c>
      <c r="Q666" s="41">
        <f>+H666+L666</f>
        <v>100</v>
      </c>
      <c r="R666" s="41">
        <f>+J666+K666+L666</f>
        <v>40.017165999999996</v>
      </c>
      <c r="S666" s="41">
        <f>+MONTH(B666)</f>
        <v>6</v>
      </c>
      <c r="T666" s="41">
        <f>+YEAR(B666)</f>
        <v>2025</v>
      </c>
      <c r="U666" s="41" t="s">
        <v>364</v>
      </c>
    </row>
    <row r="667" spans="1:21" ht="15" customHeight="1" x14ac:dyDescent="0.3">
      <c r="A667" s="41"/>
      <c r="B667" s="20">
        <v>45729</v>
      </c>
      <c r="C667" s="41"/>
      <c r="D667" s="41" t="s">
        <v>952</v>
      </c>
      <c r="E667" s="41" t="s">
        <v>835</v>
      </c>
      <c r="F667" s="41" t="s">
        <v>363</v>
      </c>
      <c r="G667" s="41" t="s">
        <v>53</v>
      </c>
      <c r="H667" s="55">
        <v>86.96</v>
      </c>
      <c r="I667" s="56">
        <v>0.17499999999999999</v>
      </c>
      <c r="J667" s="55">
        <v>17.5</v>
      </c>
      <c r="K667" s="55">
        <v>9.4771659999999969</v>
      </c>
      <c r="L667" s="55">
        <v>13.04</v>
      </c>
      <c r="M667" s="41" t="s">
        <v>10</v>
      </c>
      <c r="N667" s="41" t="s">
        <v>54</v>
      </c>
      <c r="O667" s="41" t="s">
        <v>55</v>
      </c>
      <c r="P667" s="57">
        <v>45747</v>
      </c>
      <c r="Q667" s="41">
        <f>+H667+L667</f>
        <v>100</v>
      </c>
      <c r="R667" s="41">
        <f>+J667+K667+L667</f>
        <v>40.017165999999996</v>
      </c>
      <c r="S667" s="41">
        <f>+MONTH(B667)</f>
        <v>3</v>
      </c>
      <c r="T667" s="41">
        <f>+YEAR(B667)</f>
        <v>2025</v>
      </c>
      <c r="U667" s="41" t="s">
        <v>364</v>
      </c>
    </row>
    <row r="668" spans="1:21" ht="15" customHeight="1" x14ac:dyDescent="0.3">
      <c r="A668" s="41"/>
      <c r="B668" s="20">
        <v>45729</v>
      </c>
      <c r="C668" s="41"/>
      <c r="D668" s="41" t="s">
        <v>953</v>
      </c>
      <c r="E668" s="41" t="s">
        <v>835</v>
      </c>
      <c r="F668" s="41" t="s">
        <v>363</v>
      </c>
      <c r="G668" s="41" t="s">
        <v>53</v>
      </c>
      <c r="H668" s="55">
        <v>152.01</v>
      </c>
      <c r="I668" s="56">
        <v>0.17499999999999999</v>
      </c>
      <c r="J668" s="55">
        <v>30.591749999999998</v>
      </c>
      <c r="K668" s="55">
        <v>16.565552249999996</v>
      </c>
      <c r="L668" s="55">
        <v>22.8</v>
      </c>
      <c r="M668" s="41" t="s">
        <v>10</v>
      </c>
      <c r="N668" s="41" t="s">
        <v>54</v>
      </c>
      <c r="O668" s="41" t="s">
        <v>55</v>
      </c>
      <c r="P668" s="57">
        <v>45747</v>
      </c>
      <c r="Q668" s="41">
        <f>+H668+L668</f>
        <v>174.81</v>
      </c>
      <c r="R668" s="41">
        <f>+J668+K668+L668</f>
        <v>69.957302249999998</v>
      </c>
      <c r="S668" s="41">
        <f>+MONTH(B668)</f>
        <v>3</v>
      </c>
      <c r="T668" s="41">
        <f>+YEAR(B668)</f>
        <v>2025</v>
      </c>
      <c r="U668" s="41" t="s">
        <v>364</v>
      </c>
    </row>
    <row r="669" spans="1:21" ht="15" customHeight="1" x14ac:dyDescent="0.3">
      <c r="A669" s="41"/>
      <c r="B669" s="20">
        <v>45720</v>
      </c>
      <c r="C669" s="41"/>
      <c r="D669" s="41" t="s">
        <v>954</v>
      </c>
      <c r="E669" s="41" t="s">
        <v>854</v>
      </c>
      <c r="F669" s="41" t="s">
        <v>363</v>
      </c>
      <c r="G669" s="41" t="s">
        <v>53</v>
      </c>
      <c r="H669" s="55">
        <v>205.43</v>
      </c>
      <c r="I669" s="56">
        <v>0.17499999999999999</v>
      </c>
      <c r="J669" s="55">
        <v>41.34375</v>
      </c>
      <c r="K669" s="55">
        <v>22.385771749999996</v>
      </c>
      <c r="L669" s="55">
        <v>30.82</v>
      </c>
      <c r="M669" s="41" t="s">
        <v>10</v>
      </c>
      <c r="N669" s="41" t="s">
        <v>54</v>
      </c>
      <c r="O669" s="41" t="s">
        <v>55</v>
      </c>
      <c r="P669" s="57">
        <v>45747</v>
      </c>
      <c r="Q669" s="41">
        <f>+H669+L669</f>
        <v>236.25</v>
      </c>
      <c r="R669" s="41">
        <f>+J669+K669+L669</f>
        <v>94.549521749999997</v>
      </c>
      <c r="S669" s="41">
        <f>+MONTH(B669)</f>
        <v>3</v>
      </c>
      <c r="T669" s="41">
        <f>+YEAR(B669)</f>
        <v>2025</v>
      </c>
      <c r="U669" s="41" t="s">
        <v>364</v>
      </c>
    </row>
    <row r="670" spans="1:21" ht="15" customHeight="1" x14ac:dyDescent="0.3">
      <c r="A670" s="41"/>
      <c r="B670" s="20">
        <v>45741</v>
      </c>
      <c r="C670" s="41"/>
      <c r="D670" s="41" t="s">
        <v>955</v>
      </c>
      <c r="E670" s="41" t="s">
        <v>825</v>
      </c>
      <c r="F670" s="41" t="s">
        <v>383</v>
      </c>
      <c r="G670" s="41" t="s">
        <v>53</v>
      </c>
      <c r="H670" s="55">
        <v>173.91</v>
      </c>
      <c r="I670" s="56">
        <v>0.13500000000000001</v>
      </c>
      <c r="J670" s="55">
        <v>27</v>
      </c>
      <c r="K670" s="55">
        <v>26.951229749999996</v>
      </c>
      <c r="L670" s="55">
        <v>26.09</v>
      </c>
      <c r="M670" s="41" t="s">
        <v>10</v>
      </c>
      <c r="N670" s="41" t="s">
        <v>54</v>
      </c>
      <c r="O670" s="41" t="s">
        <v>55</v>
      </c>
      <c r="P670" s="57">
        <v>45747</v>
      </c>
      <c r="Q670" s="41">
        <f>+H670+L670</f>
        <v>200</v>
      </c>
      <c r="R670" s="41">
        <f>+J670+K670+L670</f>
        <v>80.041229749999999</v>
      </c>
      <c r="S670" s="41">
        <f>+MONTH(B670)</f>
        <v>3</v>
      </c>
      <c r="T670" s="41">
        <f>+YEAR(B670)</f>
        <v>2025</v>
      </c>
      <c r="U670" s="41" t="s">
        <v>364</v>
      </c>
    </row>
    <row r="671" spans="1:21" ht="15" customHeight="1" x14ac:dyDescent="0.3">
      <c r="A671" s="41"/>
      <c r="B671" s="20">
        <v>45739</v>
      </c>
      <c r="C671" s="41"/>
      <c r="D671" s="41" t="s">
        <v>956</v>
      </c>
      <c r="E671" s="41" t="s">
        <v>419</v>
      </c>
      <c r="F671" s="41" t="s">
        <v>363</v>
      </c>
      <c r="G671" s="41" t="s">
        <v>53</v>
      </c>
      <c r="H671" s="55">
        <v>86.96</v>
      </c>
      <c r="I671" s="56">
        <v>0.17499999999999999</v>
      </c>
      <c r="J671" s="55">
        <v>17.5</v>
      </c>
      <c r="K671" s="55">
        <v>9.4771659999999969</v>
      </c>
      <c r="L671" s="55">
        <v>13.04</v>
      </c>
      <c r="M671" s="41" t="s">
        <v>10</v>
      </c>
      <c r="N671" s="41" t="s">
        <v>54</v>
      </c>
      <c r="O671" s="41" t="s">
        <v>55</v>
      </c>
      <c r="P671" s="57">
        <v>45747</v>
      </c>
      <c r="Q671" s="41">
        <f>+H671+L671</f>
        <v>100</v>
      </c>
      <c r="R671" s="41">
        <f>+J671+K671+L671</f>
        <v>40.017165999999996</v>
      </c>
      <c r="S671" s="41">
        <f>+MONTH(B671)</f>
        <v>3</v>
      </c>
      <c r="T671" s="41">
        <f>+YEAR(B671)</f>
        <v>2025</v>
      </c>
      <c r="U671" s="41" t="s">
        <v>364</v>
      </c>
    </row>
    <row r="672" spans="1:21" ht="15" customHeight="1" x14ac:dyDescent="0.3">
      <c r="A672" s="41"/>
      <c r="B672" s="20">
        <v>45738</v>
      </c>
      <c r="C672" s="41"/>
      <c r="D672" s="41" t="s">
        <v>455</v>
      </c>
      <c r="E672" s="41" t="s">
        <v>957</v>
      </c>
      <c r="F672" s="41" t="s">
        <v>371</v>
      </c>
      <c r="G672" s="41" t="s">
        <v>53</v>
      </c>
      <c r="H672" s="55">
        <v>13208.71</v>
      </c>
      <c r="I672" s="56">
        <v>0.14000000000000001</v>
      </c>
      <c r="J672" s="55">
        <v>2126.6000000000004</v>
      </c>
      <c r="K672" s="55">
        <v>1971.0720597499994</v>
      </c>
      <c r="L672" s="55">
        <v>1981.29</v>
      </c>
      <c r="M672" s="41" t="s">
        <v>10</v>
      </c>
      <c r="N672" s="41" t="s">
        <v>54</v>
      </c>
      <c r="O672" s="41" t="s">
        <v>55</v>
      </c>
      <c r="P672" s="57">
        <v>45747</v>
      </c>
      <c r="Q672" s="41">
        <f>+H672+L672</f>
        <v>15190</v>
      </c>
      <c r="R672" s="41">
        <f>+J672+K672+L672</f>
        <v>6078.9620597499998</v>
      </c>
      <c r="S672" s="41">
        <f>+MONTH(B672)</f>
        <v>3</v>
      </c>
      <c r="T672" s="41">
        <f>+YEAR(B672)</f>
        <v>2025</v>
      </c>
      <c r="U672" s="41" t="s">
        <v>364</v>
      </c>
    </row>
    <row r="673" spans="1:21" ht="15" customHeight="1" x14ac:dyDescent="0.3">
      <c r="A673" s="41"/>
      <c r="B673" s="20">
        <v>45738</v>
      </c>
      <c r="C673" s="41"/>
      <c r="D673" s="41" t="s">
        <v>457</v>
      </c>
      <c r="E673" s="41" t="s">
        <v>957</v>
      </c>
      <c r="F673" s="41" t="s">
        <v>371</v>
      </c>
      <c r="G673" s="41" t="s">
        <v>53</v>
      </c>
      <c r="H673" s="55">
        <v>13208.71</v>
      </c>
      <c r="I673" s="56">
        <v>0.14000000000000001</v>
      </c>
      <c r="J673" s="55">
        <v>2126.6000000000004</v>
      </c>
      <c r="K673" s="55">
        <v>1971.0720597499994</v>
      </c>
      <c r="L673" s="55">
        <v>1981.29</v>
      </c>
      <c r="M673" s="41" t="s">
        <v>10</v>
      </c>
      <c r="N673" s="41" t="s">
        <v>54</v>
      </c>
      <c r="O673" s="41" t="s">
        <v>55</v>
      </c>
      <c r="P673" s="57">
        <v>45747</v>
      </c>
      <c r="Q673" s="41">
        <f>+H673+L673</f>
        <v>15190</v>
      </c>
      <c r="R673" s="41">
        <f>+J673+K673+L673</f>
        <v>6078.9620597499998</v>
      </c>
      <c r="S673" s="41">
        <f>+MONTH(B673)</f>
        <v>3</v>
      </c>
      <c r="T673" s="41">
        <f>+YEAR(B673)</f>
        <v>2025</v>
      </c>
      <c r="U673" s="41" t="s">
        <v>364</v>
      </c>
    </row>
    <row r="674" spans="1:21" ht="15" customHeight="1" x14ac:dyDescent="0.3">
      <c r="A674" s="41"/>
      <c r="B674" s="20">
        <v>45751</v>
      </c>
      <c r="C674" s="41"/>
      <c r="D674" s="41" t="s">
        <v>958</v>
      </c>
      <c r="E674" s="41" t="s">
        <v>362</v>
      </c>
      <c r="F674" s="41" t="s">
        <v>363</v>
      </c>
      <c r="G674" s="41" t="s">
        <v>53</v>
      </c>
      <c r="H674" s="55">
        <v>450.51</v>
      </c>
      <c r="I674" s="56">
        <v>0.17499999999999999</v>
      </c>
      <c r="J674" s="55">
        <v>90.665750000000003</v>
      </c>
      <c r="K674" s="55">
        <v>49.093714749999975</v>
      </c>
      <c r="L674" s="55">
        <v>67.58</v>
      </c>
      <c r="M674" s="41" t="s">
        <v>10</v>
      </c>
      <c r="N674" s="41" t="s">
        <v>54</v>
      </c>
      <c r="O674" s="41" t="s">
        <v>55</v>
      </c>
      <c r="P674" s="57">
        <v>45777</v>
      </c>
      <c r="Q674" s="41">
        <f>+H674+L674</f>
        <v>518.09</v>
      </c>
      <c r="R674" s="41">
        <f>+J674+K674+L674</f>
        <v>207.33946474999999</v>
      </c>
      <c r="S674" s="41">
        <f>+MONTH(B674)</f>
        <v>4</v>
      </c>
      <c r="T674" s="41">
        <f>+YEAR(B674)</f>
        <v>2025</v>
      </c>
      <c r="U674" s="41" t="s">
        <v>364</v>
      </c>
    </row>
    <row r="675" spans="1:21" ht="15" customHeight="1" x14ac:dyDescent="0.3">
      <c r="A675" s="41"/>
      <c r="B675" s="20">
        <v>45758</v>
      </c>
      <c r="C675" s="41"/>
      <c r="D675" s="41" t="s">
        <v>959</v>
      </c>
      <c r="E675" s="41" t="s">
        <v>362</v>
      </c>
      <c r="F675" s="41" t="s">
        <v>363</v>
      </c>
      <c r="G675" s="41" t="s">
        <v>53</v>
      </c>
      <c r="H675" s="55">
        <v>86.96</v>
      </c>
      <c r="I675" s="56">
        <v>0.17499999999999999</v>
      </c>
      <c r="J675" s="55">
        <v>17.5</v>
      </c>
      <c r="K675" s="55">
        <v>9.4771659999999969</v>
      </c>
      <c r="L675" s="55">
        <v>13.04</v>
      </c>
      <c r="M675" s="41" t="s">
        <v>10</v>
      </c>
      <c r="N675" s="41" t="s">
        <v>54</v>
      </c>
      <c r="O675" s="41" t="s">
        <v>55</v>
      </c>
      <c r="P675" s="57">
        <v>45777</v>
      </c>
      <c r="Q675" s="41">
        <f>+H675+L675</f>
        <v>100</v>
      </c>
      <c r="R675" s="41">
        <f>+J675+K675+L675</f>
        <v>40.017165999999996</v>
      </c>
      <c r="S675" s="41">
        <f>+MONTH(B675)</f>
        <v>4</v>
      </c>
      <c r="T675" s="41">
        <f>+YEAR(B675)</f>
        <v>2025</v>
      </c>
      <c r="U675" s="41" t="s">
        <v>364</v>
      </c>
    </row>
    <row r="676" spans="1:21" ht="15" customHeight="1" x14ac:dyDescent="0.3">
      <c r="A676" s="41"/>
      <c r="B676" s="20">
        <v>45783</v>
      </c>
      <c r="C676" s="41"/>
      <c r="D676" s="41" t="s">
        <v>960</v>
      </c>
      <c r="E676" s="41" t="s">
        <v>776</v>
      </c>
      <c r="F676" s="41" t="s">
        <v>363</v>
      </c>
      <c r="G676" s="41" t="s">
        <v>53</v>
      </c>
      <c r="H676" s="55">
        <v>197.65</v>
      </c>
      <c r="I676" s="56">
        <v>0.17499999999999999</v>
      </c>
      <c r="J676" s="55">
        <v>39.777499999999996</v>
      </c>
      <c r="K676" s="55">
        <v>21.538471250000001</v>
      </c>
      <c r="L676" s="55">
        <v>29.65</v>
      </c>
      <c r="M676" s="41" t="s">
        <v>10</v>
      </c>
      <c r="N676" s="41" t="s">
        <v>54</v>
      </c>
      <c r="O676" s="41" t="s">
        <v>55</v>
      </c>
      <c r="P676" s="57">
        <v>45808</v>
      </c>
      <c r="Q676" s="41">
        <f>+H676+L676</f>
        <v>227.3</v>
      </c>
      <c r="R676" s="41">
        <f>+J676+K676+L676</f>
        <v>90.965971249999996</v>
      </c>
      <c r="S676" s="41">
        <f>+MONTH(B676)</f>
        <v>5</v>
      </c>
      <c r="T676" s="41">
        <f>+YEAR(B676)</f>
        <v>2025</v>
      </c>
      <c r="U676" s="41" t="s">
        <v>364</v>
      </c>
    </row>
    <row r="677" spans="1:21" ht="15" customHeight="1" x14ac:dyDescent="0.3">
      <c r="A677" s="41"/>
      <c r="B677" s="20">
        <v>45791</v>
      </c>
      <c r="C677" s="41"/>
      <c r="D677" s="41" t="s">
        <v>961</v>
      </c>
      <c r="E677" s="41" t="s">
        <v>622</v>
      </c>
      <c r="F677" s="41" t="s">
        <v>363</v>
      </c>
      <c r="G677" s="41" t="s">
        <v>53</v>
      </c>
      <c r="H677" s="55">
        <v>86.96</v>
      </c>
      <c r="I677" s="56">
        <v>0.17499999999999999</v>
      </c>
      <c r="J677" s="55">
        <v>17.5</v>
      </c>
      <c r="K677" s="55">
        <v>9.4771659999999969</v>
      </c>
      <c r="L677" s="55">
        <v>13.04</v>
      </c>
      <c r="M677" s="41" t="s">
        <v>10</v>
      </c>
      <c r="N677" s="41" t="s">
        <v>54</v>
      </c>
      <c r="O677" s="41" t="s">
        <v>55</v>
      </c>
      <c r="P677" s="57">
        <v>45808</v>
      </c>
      <c r="Q677" s="41">
        <f>+H677+L677</f>
        <v>100</v>
      </c>
      <c r="R677" s="41">
        <f>+J677+K677+L677</f>
        <v>40.017165999999996</v>
      </c>
      <c r="S677" s="41">
        <f>+MONTH(B677)</f>
        <v>5</v>
      </c>
      <c r="T677" s="41">
        <f>+YEAR(B677)</f>
        <v>2025</v>
      </c>
      <c r="U677" s="41" t="s">
        <v>364</v>
      </c>
    </row>
    <row r="678" spans="1:21" ht="15" customHeight="1" x14ac:dyDescent="0.3">
      <c r="A678" s="41"/>
      <c r="B678" s="20">
        <v>45797</v>
      </c>
      <c r="C678" s="41"/>
      <c r="D678" s="41" t="s">
        <v>962</v>
      </c>
      <c r="E678" s="41" t="s">
        <v>776</v>
      </c>
      <c r="F678" s="41" t="s">
        <v>363</v>
      </c>
      <c r="G678" s="41" t="s">
        <v>53</v>
      </c>
      <c r="H678" s="55">
        <v>86.96</v>
      </c>
      <c r="I678" s="56">
        <v>0.17499999999999999</v>
      </c>
      <c r="J678" s="55">
        <v>17.5</v>
      </c>
      <c r="K678" s="55">
        <v>9.4771659999999969</v>
      </c>
      <c r="L678" s="55">
        <v>13.04</v>
      </c>
      <c r="M678" s="41" t="s">
        <v>10</v>
      </c>
      <c r="N678" s="41" t="s">
        <v>54</v>
      </c>
      <c r="O678" s="41" t="s">
        <v>55</v>
      </c>
      <c r="P678" s="57">
        <v>45808</v>
      </c>
      <c r="Q678" s="41">
        <f>+H678+L678</f>
        <v>100</v>
      </c>
      <c r="R678" s="41">
        <f>+J678+K678+L678</f>
        <v>40.017165999999996</v>
      </c>
      <c r="S678" s="41">
        <f>+MONTH(B678)</f>
        <v>5</v>
      </c>
      <c r="T678" s="41">
        <f>+YEAR(B678)</f>
        <v>2025</v>
      </c>
      <c r="U678" s="41" t="s">
        <v>364</v>
      </c>
    </row>
    <row r="679" spans="1:21" ht="15" customHeight="1" x14ac:dyDescent="0.3">
      <c r="A679" s="41"/>
      <c r="B679" s="20">
        <v>45838</v>
      </c>
      <c r="C679" s="41"/>
      <c r="D679" s="41" t="s">
        <v>963</v>
      </c>
      <c r="E679" s="41" t="s">
        <v>362</v>
      </c>
      <c r="F679" s="41" t="s">
        <v>363</v>
      </c>
      <c r="G679" s="41" t="s">
        <v>53</v>
      </c>
      <c r="H679" s="55">
        <v>86.96</v>
      </c>
      <c r="I679" s="56">
        <v>0.17499999999999999</v>
      </c>
      <c r="J679" s="55">
        <v>17.5</v>
      </c>
      <c r="K679" s="55">
        <v>9.4771659999999969</v>
      </c>
      <c r="L679" s="55">
        <v>13.04</v>
      </c>
      <c r="M679" s="41" t="s">
        <v>10</v>
      </c>
      <c r="N679" s="41" t="s">
        <v>54</v>
      </c>
      <c r="O679" s="41" t="s">
        <v>55</v>
      </c>
      <c r="P679" s="57">
        <v>45838</v>
      </c>
      <c r="Q679" s="41">
        <f>+H679+L679</f>
        <v>100</v>
      </c>
      <c r="R679" s="41">
        <f>+J679+K679+L679</f>
        <v>40.017165999999996</v>
      </c>
      <c r="S679" s="41">
        <f>+MONTH(B679)</f>
        <v>6</v>
      </c>
      <c r="T679" s="41">
        <f>+YEAR(B679)</f>
        <v>2025</v>
      </c>
      <c r="U679" s="41" t="s">
        <v>364</v>
      </c>
    </row>
    <row r="680" spans="1:21" ht="15" customHeight="1" x14ac:dyDescent="0.3">
      <c r="A680" s="41"/>
      <c r="B680" s="20">
        <v>45830</v>
      </c>
      <c r="C680" s="41"/>
      <c r="D680" s="41" t="s">
        <v>964</v>
      </c>
      <c r="E680" s="41" t="s">
        <v>790</v>
      </c>
      <c r="F680" s="41" t="s">
        <v>363</v>
      </c>
      <c r="G680" s="41" t="s">
        <v>53</v>
      </c>
      <c r="H680" s="55">
        <v>339.13</v>
      </c>
      <c r="I680" s="56">
        <v>0.17499999999999999</v>
      </c>
      <c r="J680" s="55">
        <v>68.25</v>
      </c>
      <c r="K680" s="55">
        <v>36.956604249999984</v>
      </c>
      <c r="L680" s="55">
        <v>50.87</v>
      </c>
      <c r="M680" s="41" t="s">
        <v>10</v>
      </c>
      <c r="N680" s="41" t="s">
        <v>54</v>
      </c>
      <c r="O680" s="41" t="s">
        <v>55</v>
      </c>
      <c r="P680" s="57">
        <v>45838</v>
      </c>
      <c r="Q680" s="41">
        <f>+H680+L680</f>
        <v>390</v>
      </c>
      <c r="R680" s="41">
        <f>+J680+K680+L680</f>
        <v>156.07660424999997</v>
      </c>
      <c r="S680" s="41">
        <f>+MONTH(B680)</f>
        <v>6</v>
      </c>
      <c r="T680" s="41">
        <f>+YEAR(B680)</f>
        <v>2025</v>
      </c>
      <c r="U680" s="41" t="s">
        <v>364</v>
      </c>
    </row>
    <row r="681" spans="1:21" ht="15" customHeight="1" x14ac:dyDescent="0.3">
      <c r="A681" s="41"/>
      <c r="B681" s="20">
        <v>45817</v>
      </c>
      <c r="C681" s="41"/>
      <c r="D681" s="41" t="s">
        <v>965</v>
      </c>
      <c r="E681" s="41" t="s">
        <v>362</v>
      </c>
      <c r="F681" s="41" t="s">
        <v>363</v>
      </c>
      <c r="G681" s="41" t="s">
        <v>53</v>
      </c>
      <c r="H681" s="55">
        <v>86.96</v>
      </c>
      <c r="I681" s="56">
        <v>0.17499999999999999</v>
      </c>
      <c r="J681" s="55">
        <v>17.5</v>
      </c>
      <c r="K681" s="55">
        <v>9.4771659999999969</v>
      </c>
      <c r="L681" s="55">
        <v>13.04</v>
      </c>
      <c r="M681" s="41" t="s">
        <v>10</v>
      </c>
      <c r="N681" s="41" t="s">
        <v>54</v>
      </c>
      <c r="O681" s="41" t="s">
        <v>55</v>
      </c>
      <c r="P681" s="57">
        <v>45838</v>
      </c>
      <c r="Q681" s="41">
        <f>+H681+L681</f>
        <v>100</v>
      </c>
      <c r="R681" s="41">
        <f>+J681+K681+L681</f>
        <v>40.017165999999996</v>
      </c>
      <c r="S681" s="41">
        <f>+MONTH(B681)</f>
        <v>6</v>
      </c>
      <c r="T681" s="41">
        <f>+YEAR(B681)</f>
        <v>2025</v>
      </c>
      <c r="U681" s="41" t="s">
        <v>364</v>
      </c>
    </row>
    <row r="682" spans="1:21" ht="15" customHeight="1" x14ac:dyDescent="0.3">
      <c r="A682" s="41"/>
      <c r="B682" s="20">
        <v>45814</v>
      </c>
      <c r="C682" s="41"/>
      <c r="D682" s="41" t="s">
        <v>966</v>
      </c>
      <c r="E682" s="41" t="s">
        <v>967</v>
      </c>
      <c r="F682" s="41" t="s">
        <v>371</v>
      </c>
      <c r="G682" s="41" t="s">
        <v>53</v>
      </c>
      <c r="H682" s="55">
        <v>23060.87</v>
      </c>
      <c r="I682" s="56">
        <v>0.14000000000000001</v>
      </c>
      <c r="J682" s="55">
        <v>3712.8</v>
      </c>
      <c r="K682" s="55">
        <v>3441.2583957499992</v>
      </c>
      <c r="L682" s="55">
        <v>3459.13</v>
      </c>
      <c r="M682" s="41" t="s">
        <v>10</v>
      </c>
      <c r="N682" s="41" t="s">
        <v>54</v>
      </c>
      <c r="O682" s="41" t="s">
        <v>55</v>
      </c>
      <c r="P682" s="57">
        <v>45838</v>
      </c>
      <c r="Q682" s="41">
        <f>+H682+L682</f>
        <v>26520</v>
      </c>
      <c r="R682" s="41">
        <f>+J682+K682+L682</f>
        <v>10613.188395749999</v>
      </c>
      <c r="S682" s="41">
        <f>+MONTH(B682)</f>
        <v>6</v>
      </c>
      <c r="T682" s="41">
        <f>+YEAR(B682)</f>
        <v>2025</v>
      </c>
      <c r="U682" s="41" t="s">
        <v>364</v>
      </c>
    </row>
    <row r="683" spans="1:21" ht="15" customHeight="1" x14ac:dyDescent="0.3">
      <c r="A683" s="41"/>
      <c r="B683" s="20">
        <v>45825</v>
      </c>
      <c r="C683" s="41"/>
      <c r="D683" s="41" t="s">
        <v>968</v>
      </c>
      <c r="E683" s="41" t="s">
        <v>969</v>
      </c>
      <c r="F683" s="41" t="s">
        <v>363</v>
      </c>
      <c r="G683" s="41" t="s">
        <v>53</v>
      </c>
      <c r="H683" s="55">
        <v>86.96</v>
      </c>
      <c r="I683" s="56">
        <v>0.17499999999999999</v>
      </c>
      <c r="J683" s="55">
        <v>17.5</v>
      </c>
      <c r="K683" s="55">
        <v>9.4771659999999969</v>
      </c>
      <c r="L683" s="55">
        <v>13.04</v>
      </c>
      <c r="M683" s="41" t="s">
        <v>10</v>
      </c>
      <c r="N683" s="41" t="s">
        <v>54</v>
      </c>
      <c r="O683" s="41" t="s">
        <v>55</v>
      </c>
      <c r="P683" s="57">
        <v>45838</v>
      </c>
      <c r="Q683" s="41">
        <f>+H683+L683</f>
        <v>100</v>
      </c>
      <c r="R683" s="41">
        <f>+J683+K683+L683</f>
        <v>40.017165999999996</v>
      </c>
      <c r="S683" s="41">
        <f>+MONTH(B683)</f>
        <v>6</v>
      </c>
      <c r="T683" s="41">
        <f>+YEAR(B683)</f>
        <v>2025</v>
      </c>
      <c r="U683" s="41" t="s">
        <v>364</v>
      </c>
    </row>
    <row r="684" spans="1:21" ht="15" customHeight="1" x14ac:dyDescent="0.3">
      <c r="A684" s="41"/>
      <c r="B684" s="20">
        <v>45826</v>
      </c>
      <c r="C684" s="41"/>
      <c r="D684" s="41" t="s">
        <v>970</v>
      </c>
      <c r="E684" s="41" t="s">
        <v>862</v>
      </c>
      <c r="F684" s="41" t="s">
        <v>363</v>
      </c>
      <c r="G684" s="41" t="s">
        <v>53</v>
      </c>
      <c r="H684" s="55">
        <v>1862.94</v>
      </c>
      <c r="I684" s="56">
        <v>0.17499999999999999</v>
      </c>
      <c r="J684" s="55">
        <v>374.91649999999998</v>
      </c>
      <c r="K684" s="55">
        <v>203.01406149999997</v>
      </c>
      <c r="L684" s="55">
        <v>279.44</v>
      </c>
      <c r="M684" s="41" t="s">
        <v>10</v>
      </c>
      <c r="N684" s="41" t="s">
        <v>54</v>
      </c>
      <c r="O684" s="41" t="s">
        <v>55</v>
      </c>
      <c r="P684" s="57">
        <v>45838</v>
      </c>
      <c r="Q684" s="41">
        <f>+H684+L684</f>
        <v>2142.38</v>
      </c>
      <c r="R684" s="41">
        <f>+J684+K684+L684</f>
        <v>857.37056149999989</v>
      </c>
      <c r="S684" s="41">
        <f>+MONTH(B684)</f>
        <v>6</v>
      </c>
      <c r="T684" s="41">
        <f>+YEAR(B684)</f>
        <v>2025</v>
      </c>
      <c r="U684" s="41" t="s">
        <v>364</v>
      </c>
    </row>
    <row r="685" spans="1:21" ht="15" customHeight="1" x14ac:dyDescent="0.3">
      <c r="A685" s="41"/>
      <c r="B685" s="20">
        <v>45841</v>
      </c>
      <c r="C685" s="41"/>
      <c r="D685" s="41" t="s">
        <v>971</v>
      </c>
      <c r="E685" s="41" t="s">
        <v>622</v>
      </c>
      <c r="F685" s="41" t="s">
        <v>363</v>
      </c>
      <c r="G685" s="41" t="s">
        <v>53</v>
      </c>
      <c r="H685" s="55">
        <v>247.48</v>
      </c>
      <c r="I685" s="56">
        <v>0.17499999999999999</v>
      </c>
      <c r="J685" s="55">
        <v>49.804999999999993</v>
      </c>
      <c r="K685" s="55">
        <v>26.969482999999997</v>
      </c>
      <c r="L685" s="55">
        <v>37.119999999999997</v>
      </c>
      <c r="M685" s="41" t="s">
        <v>10</v>
      </c>
      <c r="N685" s="41" t="s">
        <v>54</v>
      </c>
      <c r="O685" s="41" t="s">
        <v>55</v>
      </c>
      <c r="P685" s="57">
        <v>45869</v>
      </c>
      <c r="Q685" s="41">
        <f>+H685+L685</f>
        <v>284.59999999999997</v>
      </c>
      <c r="R685" s="41">
        <f>+J685+K685+L685</f>
        <v>113.89448299999998</v>
      </c>
      <c r="S685" s="41">
        <f>+MONTH(B685)</f>
        <v>7</v>
      </c>
      <c r="T685" s="41">
        <f>+YEAR(B685)</f>
        <v>2025</v>
      </c>
      <c r="U685" s="41" t="s">
        <v>364</v>
      </c>
    </row>
    <row r="686" spans="1:21" ht="15" customHeight="1" x14ac:dyDescent="0.3">
      <c r="A686" s="41"/>
      <c r="B686" s="20">
        <v>45859</v>
      </c>
      <c r="C686" s="41"/>
      <c r="D686" s="41" t="s">
        <v>972</v>
      </c>
      <c r="E686" s="41" t="s">
        <v>973</v>
      </c>
      <c r="F686" s="41" t="s">
        <v>363</v>
      </c>
      <c r="G686" s="41" t="s">
        <v>53</v>
      </c>
      <c r="H686" s="55">
        <v>937.39</v>
      </c>
      <c r="I686" s="56">
        <v>0.17499999999999999</v>
      </c>
      <c r="J686" s="55">
        <v>188.64999999999998</v>
      </c>
      <c r="K686" s="55">
        <v>102.15181274999998</v>
      </c>
      <c r="L686" s="55">
        <v>140.61000000000001</v>
      </c>
      <c r="M686" s="41" t="s">
        <v>10</v>
      </c>
      <c r="N686" s="41" t="s">
        <v>54</v>
      </c>
      <c r="O686" s="41" t="s">
        <v>55</v>
      </c>
      <c r="P686" s="57">
        <v>45869</v>
      </c>
      <c r="Q686" s="41">
        <f>+H686+L686</f>
        <v>1078</v>
      </c>
      <c r="R686" s="41">
        <f>+J686+K686+L686</f>
        <v>431.41181274999997</v>
      </c>
      <c r="S686" s="41">
        <f>+MONTH(B686)</f>
        <v>7</v>
      </c>
      <c r="T686" s="41">
        <f>+YEAR(B686)</f>
        <v>2025</v>
      </c>
      <c r="U686" s="41" t="s">
        <v>364</v>
      </c>
    </row>
    <row r="687" spans="1:21" ht="15" customHeight="1" x14ac:dyDescent="0.3">
      <c r="A687" s="41"/>
      <c r="B687" s="20">
        <v>45857</v>
      </c>
      <c r="C687" s="41"/>
      <c r="D687" s="41" t="s">
        <v>974</v>
      </c>
      <c r="E687" s="41" t="s">
        <v>975</v>
      </c>
      <c r="F687" s="41" t="s">
        <v>363</v>
      </c>
      <c r="G687" s="41" t="s">
        <v>53</v>
      </c>
      <c r="H687" s="55">
        <v>545.65</v>
      </c>
      <c r="I687" s="56">
        <v>0.17499999999999999</v>
      </c>
      <c r="J687" s="55">
        <v>109.8125</v>
      </c>
      <c r="K687" s="55">
        <v>59.46177124999997</v>
      </c>
      <c r="L687" s="55">
        <v>81.849999999999994</v>
      </c>
      <c r="M687" s="41" t="s">
        <v>10</v>
      </c>
      <c r="N687" s="41" t="s">
        <v>54</v>
      </c>
      <c r="O687" s="41" t="s">
        <v>55</v>
      </c>
      <c r="P687" s="57">
        <v>45869</v>
      </c>
      <c r="Q687" s="41">
        <f>+H687+L687</f>
        <v>627.5</v>
      </c>
      <c r="R687" s="41">
        <f>+J687+K687+L687</f>
        <v>251.12427124999996</v>
      </c>
      <c r="S687" s="41">
        <f>+MONTH(B687)</f>
        <v>7</v>
      </c>
      <c r="T687" s="41">
        <f>+YEAR(B687)</f>
        <v>2025</v>
      </c>
      <c r="U687" s="41" t="s">
        <v>364</v>
      </c>
    </row>
    <row r="688" spans="1:21" ht="15" customHeight="1" x14ac:dyDescent="0.3">
      <c r="A688" s="41"/>
      <c r="B688" s="20">
        <v>45857</v>
      </c>
      <c r="C688" s="41"/>
      <c r="D688" s="41" t="s">
        <v>976</v>
      </c>
      <c r="E688" s="41" t="s">
        <v>975</v>
      </c>
      <c r="F688" s="41" t="s">
        <v>363</v>
      </c>
      <c r="G688" s="41" t="s">
        <v>53</v>
      </c>
      <c r="H688" s="55">
        <v>221.9</v>
      </c>
      <c r="I688" s="56">
        <v>0.17499999999999999</v>
      </c>
      <c r="J688" s="55">
        <v>44.656500000000001</v>
      </c>
      <c r="K688" s="55">
        <v>24.182427499999996</v>
      </c>
      <c r="L688" s="55">
        <v>33.28</v>
      </c>
      <c r="M688" s="41" t="s">
        <v>10</v>
      </c>
      <c r="N688" s="41" t="s">
        <v>54</v>
      </c>
      <c r="O688" s="41" t="s">
        <v>55</v>
      </c>
      <c r="P688" s="57">
        <v>45869</v>
      </c>
      <c r="Q688" s="41">
        <f>+H688+L688</f>
        <v>255.18</v>
      </c>
      <c r="R688" s="41">
        <f>+J688+K688+L688</f>
        <v>102.1189275</v>
      </c>
      <c r="S688" s="41">
        <f>+MONTH(B688)</f>
        <v>7</v>
      </c>
      <c r="T688" s="41">
        <f>+YEAR(B688)</f>
        <v>2025</v>
      </c>
      <c r="U688" s="41" t="s">
        <v>364</v>
      </c>
    </row>
    <row r="689" spans="1:21" ht="15" customHeight="1" x14ac:dyDescent="0.3">
      <c r="A689" s="41"/>
      <c r="B689" s="20">
        <v>45797</v>
      </c>
      <c r="C689" s="41"/>
      <c r="D689" s="41" t="s">
        <v>977</v>
      </c>
      <c r="E689" s="41" t="s">
        <v>362</v>
      </c>
      <c r="F689" s="41" t="s">
        <v>363</v>
      </c>
      <c r="G689" s="41" t="s">
        <v>53</v>
      </c>
      <c r="H689" s="55">
        <v>86.96</v>
      </c>
      <c r="I689" s="56">
        <v>0.17499999999999999</v>
      </c>
      <c r="J689" s="55">
        <v>17.5</v>
      </c>
      <c r="K689" s="55">
        <v>9.4771659999999969</v>
      </c>
      <c r="L689" s="55">
        <v>13.04</v>
      </c>
      <c r="M689" s="41" t="s">
        <v>10</v>
      </c>
      <c r="N689" s="41" t="s">
        <v>54</v>
      </c>
      <c r="O689" s="41" t="s">
        <v>55</v>
      </c>
      <c r="P689" s="57">
        <v>45808</v>
      </c>
      <c r="Q689" s="41">
        <f>+H689+L689</f>
        <v>100</v>
      </c>
      <c r="R689" s="41">
        <f>+J689+K689+L689</f>
        <v>40.017165999999996</v>
      </c>
      <c r="S689" s="41">
        <f>+MONTH(B689)</f>
        <v>5</v>
      </c>
      <c r="T689" s="41">
        <f>+YEAR(B689)</f>
        <v>2025</v>
      </c>
      <c r="U689" s="41" t="s">
        <v>364</v>
      </c>
    </row>
    <row r="690" spans="1:21" ht="15" customHeight="1" x14ac:dyDescent="0.3">
      <c r="A690" s="41"/>
      <c r="B690" s="20">
        <v>45797</v>
      </c>
      <c r="C690" s="41"/>
      <c r="D690" s="41" t="s">
        <v>978</v>
      </c>
      <c r="E690" s="41" t="s">
        <v>776</v>
      </c>
      <c r="F690" s="41" t="s">
        <v>363</v>
      </c>
      <c r="G690" s="41" t="s">
        <v>53</v>
      </c>
      <c r="H690" s="55">
        <v>86.96</v>
      </c>
      <c r="I690" s="56">
        <v>0.17499999999999999</v>
      </c>
      <c r="J690" s="55">
        <v>17.5</v>
      </c>
      <c r="K690" s="55">
        <v>9.4771659999999969</v>
      </c>
      <c r="L690" s="55">
        <v>13.04</v>
      </c>
      <c r="M690" s="41" t="s">
        <v>10</v>
      </c>
      <c r="N690" s="41" t="s">
        <v>54</v>
      </c>
      <c r="O690" s="41" t="s">
        <v>55</v>
      </c>
      <c r="P690" s="57">
        <v>45808</v>
      </c>
      <c r="Q690" s="41">
        <f>+H690+L690</f>
        <v>100</v>
      </c>
      <c r="R690" s="41">
        <f>+J690+K690+L690</f>
        <v>40.017165999999996</v>
      </c>
      <c r="S690" s="41">
        <f>+MONTH(B690)</f>
        <v>5</v>
      </c>
      <c r="T690" s="41">
        <f>+YEAR(B690)</f>
        <v>2025</v>
      </c>
      <c r="U690" s="41" t="s">
        <v>364</v>
      </c>
    </row>
    <row r="691" spans="1:21" ht="15" customHeight="1" x14ac:dyDescent="0.3">
      <c r="A691" s="41"/>
      <c r="B691" s="20">
        <v>45789</v>
      </c>
      <c r="C691" s="41"/>
      <c r="D691" s="41" t="s">
        <v>979</v>
      </c>
      <c r="E691" s="41" t="s">
        <v>980</v>
      </c>
      <c r="F691" s="41" t="s">
        <v>363</v>
      </c>
      <c r="G691" s="41" t="s">
        <v>53</v>
      </c>
      <c r="H691" s="55">
        <v>173.91</v>
      </c>
      <c r="I691" s="56">
        <v>0.17499999999999999</v>
      </c>
      <c r="J691" s="55">
        <v>35</v>
      </c>
      <c r="K691" s="55">
        <v>18.951229749999996</v>
      </c>
      <c r="L691" s="55">
        <v>26.09</v>
      </c>
      <c r="M691" s="41" t="s">
        <v>10</v>
      </c>
      <c r="N691" s="41" t="s">
        <v>54</v>
      </c>
      <c r="O691" s="41" t="s">
        <v>55</v>
      </c>
      <c r="P691" s="57">
        <v>45808</v>
      </c>
      <c r="Q691" s="41">
        <f>+H691+L691</f>
        <v>200</v>
      </c>
      <c r="R691" s="41">
        <f>+J691+K691+L691</f>
        <v>80.041229749999999</v>
      </c>
      <c r="S691" s="41">
        <f>+MONTH(B691)</f>
        <v>5</v>
      </c>
      <c r="T691" s="41">
        <f>+YEAR(B691)</f>
        <v>2025</v>
      </c>
      <c r="U691" s="41" t="s">
        <v>364</v>
      </c>
    </row>
    <row r="692" spans="1:21" ht="15" customHeight="1" x14ac:dyDescent="0.3">
      <c r="A692" s="41"/>
      <c r="B692" s="20">
        <v>45902</v>
      </c>
      <c r="C692" s="41"/>
      <c r="D692" s="41" t="s">
        <v>981</v>
      </c>
      <c r="E692" s="41" t="s">
        <v>982</v>
      </c>
      <c r="F692" s="41" t="s">
        <v>380</v>
      </c>
      <c r="G692" s="41" t="s">
        <v>53</v>
      </c>
      <c r="H692" s="55">
        <v>1487.65</v>
      </c>
      <c r="I692" s="56">
        <v>0.15</v>
      </c>
      <c r="J692" s="55">
        <v>256.62</v>
      </c>
      <c r="K692" s="55">
        <v>204.88622125000001</v>
      </c>
      <c r="L692" s="55">
        <v>223.15</v>
      </c>
      <c r="M692" s="41" t="s">
        <v>10</v>
      </c>
      <c r="N692" s="41" t="s">
        <v>54</v>
      </c>
      <c r="O692" s="41" t="s">
        <v>55</v>
      </c>
      <c r="P692" s="57">
        <v>45930</v>
      </c>
      <c r="Q692" s="41">
        <f>+H692+L692</f>
        <v>1710.8000000000002</v>
      </c>
      <c r="R692" s="41">
        <f>+J692+K692+L692</f>
        <v>684.65622125000004</v>
      </c>
      <c r="S692" s="41">
        <f>+MONTH(B692)</f>
        <v>9</v>
      </c>
      <c r="T692" s="41">
        <f>+YEAR(B692)</f>
        <v>2025</v>
      </c>
      <c r="U692" s="41" t="s">
        <v>364</v>
      </c>
    </row>
    <row r="693" spans="1:21" ht="15" customHeight="1" x14ac:dyDescent="0.3">
      <c r="A693" s="41"/>
      <c r="B693" s="20">
        <v>45929</v>
      </c>
      <c r="C693" s="41"/>
      <c r="D693" s="41" t="s">
        <v>983</v>
      </c>
      <c r="E693" s="41" t="s">
        <v>792</v>
      </c>
      <c r="F693" s="41" t="s">
        <v>363</v>
      </c>
      <c r="G693" s="41" t="s">
        <v>53</v>
      </c>
      <c r="H693" s="55">
        <v>86.96</v>
      </c>
      <c r="I693" s="56">
        <v>0.17499999999999999</v>
      </c>
      <c r="J693" s="55">
        <v>17.5</v>
      </c>
      <c r="K693" s="55">
        <v>9.4771659999999969</v>
      </c>
      <c r="L693" s="55">
        <v>13.04</v>
      </c>
      <c r="M693" s="41" t="s">
        <v>10</v>
      </c>
      <c r="N693" s="41" t="s">
        <v>54</v>
      </c>
      <c r="O693" s="41" t="s">
        <v>55</v>
      </c>
      <c r="P693" s="57">
        <v>45930</v>
      </c>
      <c r="Q693" s="41">
        <f>+H693+L693</f>
        <v>100</v>
      </c>
      <c r="R693" s="41">
        <f>+J693+K693+L693</f>
        <v>40.017165999999996</v>
      </c>
      <c r="S693" s="41">
        <f>+MONTH(B693)</f>
        <v>9</v>
      </c>
      <c r="T693" s="41">
        <f>+YEAR(B693)</f>
        <v>2025</v>
      </c>
      <c r="U693" s="41" t="s">
        <v>364</v>
      </c>
    </row>
    <row r="694" spans="1:21" ht="15" customHeight="1" x14ac:dyDescent="0.3">
      <c r="A694" s="41"/>
      <c r="B694" s="20">
        <v>45909</v>
      </c>
      <c r="C694" s="41"/>
      <c r="D694" s="41" t="s">
        <v>984</v>
      </c>
      <c r="E694" s="41" t="s">
        <v>776</v>
      </c>
      <c r="F694" s="41" t="s">
        <v>363</v>
      </c>
      <c r="G694" s="41" t="s">
        <v>53</v>
      </c>
      <c r="H694" s="55">
        <v>86.96</v>
      </c>
      <c r="I694" s="56">
        <v>0.17499999999999999</v>
      </c>
      <c r="J694" s="55">
        <v>17.5</v>
      </c>
      <c r="K694" s="55">
        <v>9.4771659999999969</v>
      </c>
      <c r="L694" s="55">
        <v>13.04</v>
      </c>
      <c r="M694" s="41" t="s">
        <v>10</v>
      </c>
      <c r="N694" s="41" t="s">
        <v>54</v>
      </c>
      <c r="O694" s="41" t="s">
        <v>55</v>
      </c>
      <c r="P694" s="57">
        <v>45930</v>
      </c>
      <c r="Q694" s="41">
        <f>+H694+L694</f>
        <v>100</v>
      </c>
      <c r="R694" s="41">
        <f>+J694+K694+L694</f>
        <v>40.017165999999996</v>
      </c>
      <c r="S694" s="41">
        <f>+MONTH(B694)</f>
        <v>9</v>
      </c>
      <c r="T694" s="41">
        <f>+YEAR(B694)</f>
        <v>2025</v>
      </c>
      <c r="U694" s="41" t="s">
        <v>364</v>
      </c>
    </row>
    <row r="695" spans="1:21" ht="15" customHeight="1" x14ac:dyDescent="0.3">
      <c r="A695" s="41"/>
      <c r="B695" s="20">
        <v>45929</v>
      </c>
      <c r="C695" s="41"/>
      <c r="D695" s="41" t="s">
        <v>985</v>
      </c>
      <c r="E695" s="41" t="s">
        <v>792</v>
      </c>
      <c r="F695" s="41" t="s">
        <v>363</v>
      </c>
      <c r="G695" s="41" t="s">
        <v>53</v>
      </c>
      <c r="H695" s="55">
        <v>86.96</v>
      </c>
      <c r="I695" s="56">
        <v>0.17499999999999999</v>
      </c>
      <c r="J695" s="55">
        <v>17.5</v>
      </c>
      <c r="K695" s="55">
        <v>9.4771659999999969</v>
      </c>
      <c r="L695" s="55">
        <v>13.04</v>
      </c>
      <c r="M695" s="41" t="s">
        <v>10</v>
      </c>
      <c r="N695" s="41" t="s">
        <v>54</v>
      </c>
      <c r="O695" s="41" t="s">
        <v>55</v>
      </c>
      <c r="P695" s="57">
        <v>45930</v>
      </c>
      <c r="Q695" s="41">
        <f>+H695+L695</f>
        <v>100</v>
      </c>
      <c r="R695" s="41">
        <f>+J695+K695+L695</f>
        <v>40.017165999999996</v>
      </c>
      <c r="S695" s="41">
        <f>+MONTH(B695)</f>
        <v>9</v>
      </c>
      <c r="T695" s="41">
        <f>+YEAR(B695)</f>
        <v>2025</v>
      </c>
      <c r="U695" s="41" t="s">
        <v>364</v>
      </c>
    </row>
    <row r="696" spans="1:21" ht="15" customHeight="1" x14ac:dyDescent="0.3">
      <c r="A696" s="41"/>
      <c r="B696" s="20">
        <v>45929</v>
      </c>
      <c r="C696" s="41"/>
      <c r="D696" s="41" t="s">
        <v>986</v>
      </c>
      <c r="E696" s="41" t="s">
        <v>792</v>
      </c>
      <c r="F696" s="41" t="s">
        <v>363</v>
      </c>
      <c r="G696" s="41" t="s">
        <v>53</v>
      </c>
      <c r="H696" s="55">
        <v>86.96</v>
      </c>
      <c r="I696" s="56">
        <v>0.17499999999999999</v>
      </c>
      <c r="J696" s="55">
        <v>17.5</v>
      </c>
      <c r="K696" s="55">
        <v>9.4771659999999969</v>
      </c>
      <c r="L696" s="55">
        <v>13.04</v>
      </c>
      <c r="M696" s="41" t="s">
        <v>10</v>
      </c>
      <c r="N696" s="41" t="s">
        <v>54</v>
      </c>
      <c r="O696" s="41" t="s">
        <v>55</v>
      </c>
      <c r="P696" s="57">
        <v>45930</v>
      </c>
      <c r="Q696" s="41">
        <f>+H696+L696</f>
        <v>100</v>
      </c>
      <c r="R696" s="41">
        <f>+J696+K696+L696</f>
        <v>40.017165999999996</v>
      </c>
      <c r="S696" s="41">
        <f>+MONTH(B696)</f>
        <v>9</v>
      </c>
      <c r="T696" s="41">
        <f>+YEAR(B696)</f>
        <v>2025</v>
      </c>
      <c r="U696" s="41" t="s">
        <v>364</v>
      </c>
    </row>
    <row r="697" spans="1:21" ht="15" customHeight="1" x14ac:dyDescent="0.3">
      <c r="A697" s="41"/>
      <c r="B697" s="20">
        <v>45924</v>
      </c>
      <c r="C697" s="41"/>
      <c r="D697" s="41" t="s">
        <v>987</v>
      </c>
      <c r="E697" s="41" t="s">
        <v>988</v>
      </c>
      <c r="F697" s="41" t="s">
        <v>615</v>
      </c>
      <c r="G697" s="41" t="s">
        <v>53</v>
      </c>
      <c r="H697" s="55">
        <v>4674.78</v>
      </c>
      <c r="I697" s="56">
        <v>0.15</v>
      </c>
      <c r="J697" s="55">
        <v>806.4</v>
      </c>
      <c r="K697" s="55">
        <v>643.83362549999981</v>
      </c>
      <c r="L697" s="55">
        <v>701.22</v>
      </c>
      <c r="M697" s="41" t="s">
        <v>10</v>
      </c>
      <c r="N697" s="41" t="s">
        <v>54</v>
      </c>
      <c r="O697" s="41" t="s">
        <v>55</v>
      </c>
      <c r="P697" s="57">
        <v>45930</v>
      </c>
      <c r="Q697" s="41">
        <f>+H697+L697</f>
        <v>5376</v>
      </c>
      <c r="R697" s="41">
        <f>+J697+K697+L697</f>
        <v>2151.4536254999998</v>
      </c>
      <c r="S697" s="41">
        <f>+MONTH(B697)</f>
        <v>9</v>
      </c>
      <c r="T697" s="41">
        <f>+YEAR(B697)</f>
        <v>2025</v>
      </c>
      <c r="U697" s="41" t="s">
        <v>364</v>
      </c>
    </row>
    <row r="698" spans="1:21" ht="15" customHeight="1" x14ac:dyDescent="0.3">
      <c r="A698" s="41"/>
      <c r="B698" s="20">
        <v>45929</v>
      </c>
      <c r="C698" s="41"/>
      <c r="D698" s="41" t="s">
        <v>989</v>
      </c>
      <c r="E698" s="41" t="s">
        <v>792</v>
      </c>
      <c r="F698" s="41" t="s">
        <v>363</v>
      </c>
      <c r="G698" s="41" t="s">
        <v>53</v>
      </c>
      <c r="H698" s="55">
        <v>86.96</v>
      </c>
      <c r="I698" s="56">
        <v>0.17499999999999999</v>
      </c>
      <c r="J698" s="55">
        <v>17.5</v>
      </c>
      <c r="K698" s="55">
        <v>9.4771659999999969</v>
      </c>
      <c r="L698" s="55">
        <v>13.04</v>
      </c>
      <c r="M698" s="41" t="s">
        <v>10</v>
      </c>
      <c r="N698" s="41" t="s">
        <v>54</v>
      </c>
      <c r="O698" s="41" t="s">
        <v>55</v>
      </c>
      <c r="P698" s="57">
        <v>45930</v>
      </c>
      <c r="Q698" s="41">
        <f>+H698+L698</f>
        <v>100</v>
      </c>
      <c r="R698" s="41">
        <f>+J698+K698+L698</f>
        <v>40.017165999999996</v>
      </c>
      <c r="S698" s="41">
        <f>+MONTH(B698)</f>
        <v>9</v>
      </c>
      <c r="T698" s="41">
        <f>+YEAR(B698)</f>
        <v>2025</v>
      </c>
      <c r="U698" s="41" t="s">
        <v>364</v>
      </c>
    </row>
    <row r="699" spans="1:21" ht="15" customHeight="1" x14ac:dyDescent="0.3">
      <c r="A699" s="41"/>
      <c r="B699" s="20">
        <v>45930</v>
      </c>
      <c r="C699" s="41"/>
      <c r="D699" s="41" t="s">
        <v>990</v>
      </c>
      <c r="E699" s="41" t="s">
        <v>865</v>
      </c>
      <c r="F699" s="41" t="s">
        <v>363</v>
      </c>
      <c r="G699" s="41" t="s">
        <v>53</v>
      </c>
      <c r="H699" s="55">
        <v>160.97</v>
      </c>
      <c r="I699" s="56">
        <v>0.17499999999999999</v>
      </c>
      <c r="J699" s="55">
        <v>32.396000000000001</v>
      </c>
      <c r="K699" s="55">
        <v>17.540918249999997</v>
      </c>
      <c r="L699" s="55">
        <v>24.15</v>
      </c>
      <c r="M699" s="41" t="s">
        <v>10</v>
      </c>
      <c r="N699" s="41" t="s">
        <v>54</v>
      </c>
      <c r="O699" s="41" t="s">
        <v>55</v>
      </c>
      <c r="P699" s="57">
        <v>45930</v>
      </c>
      <c r="Q699" s="41">
        <f>+H699+L699</f>
        <v>185.12</v>
      </c>
      <c r="R699" s="41">
        <f>+J699+K699+L699</f>
        <v>74.086918249999997</v>
      </c>
      <c r="S699" s="41">
        <f>+MONTH(B699)</f>
        <v>9</v>
      </c>
      <c r="T699" s="41">
        <f>+YEAR(B699)</f>
        <v>2025</v>
      </c>
      <c r="U699" s="41" t="s">
        <v>364</v>
      </c>
    </row>
    <row r="700" spans="1:21" ht="15" customHeight="1" x14ac:dyDescent="0.3">
      <c r="A700" s="41"/>
      <c r="B700" s="20">
        <v>45929</v>
      </c>
      <c r="C700" s="41"/>
      <c r="D700" s="41" t="s">
        <v>991</v>
      </c>
      <c r="E700" s="41" t="s">
        <v>792</v>
      </c>
      <c r="F700" s="41" t="s">
        <v>363</v>
      </c>
      <c r="G700" s="41" t="s">
        <v>53</v>
      </c>
      <c r="H700" s="55">
        <v>86.96</v>
      </c>
      <c r="I700" s="56">
        <v>0.17499999999999999</v>
      </c>
      <c r="J700" s="55">
        <v>17.5</v>
      </c>
      <c r="K700" s="55">
        <v>9.4771659999999969</v>
      </c>
      <c r="L700" s="55">
        <v>13.04</v>
      </c>
      <c r="M700" s="41" t="s">
        <v>10</v>
      </c>
      <c r="N700" s="41" t="s">
        <v>54</v>
      </c>
      <c r="O700" s="41" t="s">
        <v>55</v>
      </c>
      <c r="P700" s="57">
        <v>45930</v>
      </c>
      <c r="Q700" s="41">
        <f>+H700+L700</f>
        <v>100</v>
      </c>
      <c r="R700" s="41">
        <f>+J700+K700+L700</f>
        <v>40.017165999999996</v>
      </c>
      <c r="S700" s="41">
        <f>+MONTH(B700)</f>
        <v>9</v>
      </c>
      <c r="T700" s="41">
        <f>+YEAR(B700)</f>
        <v>2025</v>
      </c>
      <c r="U700" s="41" t="s">
        <v>364</v>
      </c>
    </row>
    <row r="701" spans="1:21" ht="15" customHeight="1" x14ac:dyDescent="0.3">
      <c r="A701" s="41"/>
      <c r="B701" s="20">
        <v>45929</v>
      </c>
      <c r="C701" s="41"/>
      <c r="D701" s="41" t="s">
        <v>992</v>
      </c>
      <c r="E701" s="41" t="s">
        <v>792</v>
      </c>
      <c r="F701" s="41" t="s">
        <v>363</v>
      </c>
      <c r="G701" s="41" t="s">
        <v>53</v>
      </c>
      <c r="H701" s="55">
        <v>86.96</v>
      </c>
      <c r="I701" s="56">
        <v>0.17499999999999999</v>
      </c>
      <c r="J701" s="55">
        <v>17.5</v>
      </c>
      <c r="K701" s="55">
        <v>9.4771659999999969</v>
      </c>
      <c r="L701" s="55">
        <v>13.04</v>
      </c>
      <c r="M701" s="41" t="s">
        <v>10</v>
      </c>
      <c r="N701" s="41" t="s">
        <v>54</v>
      </c>
      <c r="O701" s="41" t="s">
        <v>55</v>
      </c>
      <c r="P701" s="57">
        <v>45930</v>
      </c>
      <c r="Q701" s="41">
        <f>+H701+L701</f>
        <v>100</v>
      </c>
      <c r="R701" s="41">
        <f>+J701+K701+L701</f>
        <v>40.017165999999996</v>
      </c>
      <c r="S701" s="41">
        <f>+MONTH(B701)</f>
        <v>9</v>
      </c>
      <c r="T701" s="41">
        <f>+YEAR(B701)</f>
        <v>2025</v>
      </c>
      <c r="U701" s="41" t="s">
        <v>364</v>
      </c>
    </row>
    <row r="702" spans="1:21" ht="15" customHeight="1" x14ac:dyDescent="0.3">
      <c r="A702" s="41"/>
      <c r="B702" s="20">
        <v>45925</v>
      </c>
      <c r="C702" s="41"/>
      <c r="D702" s="41" t="s">
        <v>993</v>
      </c>
      <c r="E702" s="41" t="s">
        <v>912</v>
      </c>
      <c r="F702" s="41" t="s">
        <v>363</v>
      </c>
      <c r="G702" s="41" t="s">
        <v>53</v>
      </c>
      <c r="H702" s="55">
        <v>352.17</v>
      </c>
      <c r="I702" s="56">
        <v>0.17499999999999999</v>
      </c>
      <c r="J702" s="55">
        <v>70.875</v>
      </c>
      <c r="K702" s="55">
        <v>38.376938249999995</v>
      </c>
      <c r="L702" s="55">
        <v>52.83</v>
      </c>
      <c r="M702" s="41" t="s">
        <v>10</v>
      </c>
      <c r="N702" s="41" t="s">
        <v>54</v>
      </c>
      <c r="O702" s="41" t="s">
        <v>55</v>
      </c>
      <c r="P702" s="57">
        <v>45930</v>
      </c>
      <c r="Q702" s="41">
        <f>+H702+L702</f>
        <v>405</v>
      </c>
      <c r="R702" s="41">
        <f>+J702+K702+L702</f>
        <v>162.08193825000001</v>
      </c>
      <c r="S702" s="41">
        <f>+MONTH(B702)</f>
        <v>9</v>
      </c>
      <c r="T702" s="41">
        <f>+YEAR(B702)</f>
        <v>2025</v>
      </c>
      <c r="U702" s="41" t="s">
        <v>364</v>
      </c>
    </row>
    <row r="703" spans="1:21" ht="15" customHeight="1" x14ac:dyDescent="0.3">
      <c r="A703" s="41"/>
      <c r="B703" s="20">
        <v>45928</v>
      </c>
      <c r="C703" s="41"/>
      <c r="D703" s="41" t="s">
        <v>994</v>
      </c>
      <c r="E703" s="41" t="s">
        <v>914</v>
      </c>
      <c r="F703" s="41" t="s">
        <v>363</v>
      </c>
      <c r="G703" s="41" t="s">
        <v>53</v>
      </c>
      <c r="H703" s="55">
        <v>10099.9</v>
      </c>
      <c r="I703" s="56">
        <v>0.17499999999999999</v>
      </c>
      <c r="J703" s="55">
        <v>2032.6057499999997</v>
      </c>
      <c r="K703" s="55">
        <v>1100.6357275</v>
      </c>
      <c r="L703" s="55">
        <v>1514.99</v>
      </c>
      <c r="M703" s="41" t="s">
        <v>10</v>
      </c>
      <c r="N703" s="41" t="s">
        <v>54</v>
      </c>
      <c r="O703" s="41" t="s">
        <v>55</v>
      </c>
      <c r="P703" s="57">
        <v>45930</v>
      </c>
      <c r="Q703" s="41">
        <f>+H703+L703</f>
        <v>11614.89</v>
      </c>
      <c r="R703" s="41">
        <f>+J703+K703+L703</f>
        <v>4648.2314774999995</v>
      </c>
      <c r="S703" s="41">
        <f>+MONTH(B703)</f>
        <v>9</v>
      </c>
      <c r="T703" s="41">
        <f>+YEAR(B703)</f>
        <v>2025</v>
      </c>
      <c r="U703" s="41" t="s">
        <v>364</v>
      </c>
    </row>
    <row r="704" spans="1:21" ht="15" customHeight="1" x14ac:dyDescent="0.3">
      <c r="A704" s="41"/>
      <c r="B704" s="20">
        <v>45929</v>
      </c>
      <c r="C704" s="41"/>
      <c r="D704" s="41" t="s">
        <v>995</v>
      </c>
      <c r="E704" s="41" t="s">
        <v>792</v>
      </c>
      <c r="F704" s="41" t="s">
        <v>363</v>
      </c>
      <c r="G704" s="41" t="s">
        <v>53</v>
      </c>
      <c r="H704" s="55">
        <v>86.96</v>
      </c>
      <c r="I704" s="56">
        <v>0.17499999999999999</v>
      </c>
      <c r="J704" s="55">
        <v>17.5</v>
      </c>
      <c r="K704" s="55">
        <v>9.4771659999999969</v>
      </c>
      <c r="L704" s="55">
        <v>13.04</v>
      </c>
      <c r="M704" s="41" t="s">
        <v>10</v>
      </c>
      <c r="N704" s="41" t="s">
        <v>54</v>
      </c>
      <c r="O704" s="41" t="s">
        <v>55</v>
      </c>
      <c r="P704" s="57">
        <v>45930</v>
      </c>
      <c r="Q704" s="41">
        <f>+H704+L704</f>
        <v>100</v>
      </c>
      <c r="R704" s="41">
        <f>+J704+K704+L704</f>
        <v>40.017165999999996</v>
      </c>
      <c r="S704" s="41">
        <f>+MONTH(B704)</f>
        <v>9</v>
      </c>
      <c r="T704" s="41">
        <f>+YEAR(B704)</f>
        <v>2025</v>
      </c>
      <c r="U704" s="41" t="s">
        <v>364</v>
      </c>
    </row>
    <row r="705" spans="1:21" ht="15" customHeight="1" x14ac:dyDescent="0.3">
      <c r="A705" s="41"/>
      <c r="B705" s="20">
        <v>45923</v>
      </c>
      <c r="C705" s="41"/>
      <c r="D705" s="41" t="s">
        <v>996</v>
      </c>
      <c r="E705" s="41" t="s">
        <v>997</v>
      </c>
      <c r="F705" s="41" t="s">
        <v>380</v>
      </c>
      <c r="G705" s="41" t="s">
        <v>53</v>
      </c>
      <c r="H705" s="55">
        <v>1739.13</v>
      </c>
      <c r="I705" s="56">
        <v>0.15</v>
      </c>
      <c r="J705" s="55">
        <v>300</v>
      </c>
      <c r="K705" s="55">
        <v>239.52160425</v>
      </c>
      <c r="L705" s="55">
        <v>260.87</v>
      </c>
      <c r="M705" s="41" t="s">
        <v>10</v>
      </c>
      <c r="N705" s="41" t="s">
        <v>54</v>
      </c>
      <c r="O705" s="41" t="s">
        <v>55</v>
      </c>
      <c r="P705" s="57">
        <v>45930</v>
      </c>
      <c r="Q705" s="41">
        <f>+H705+L705</f>
        <v>2000</v>
      </c>
      <c r="R705" s="41">
        <f>+J705+K705+L705</f>
        <v>800.39160425</v>
      </c>
      <c r="S705" s="41">
        <f>+MONTH(B705)</f>
        <v>9</v>
      </c>
      <c r="T705" s="41">
        <f>+YEAR(B705)</f>
        <v>2025</v>
      </c>
      <c r="U705" s="41" t="s">
        <v>364</v>
      </c>
    </row>
    <row r="706" spans="1:21" ht="15" customHeight="1" x14ac:dyDescent="0.3">
      <c r="A706" s="41"/>
      <c r="B706" s="20">
        <v>45923</v>
      </c>
      <c r="C706" s="41"/>
      <c r="D706" s="41" t="s">
        <v>998</v>
      </c>
      <c r="E706" s="41" t="s">
        <v>997</v>
      </c>
      <c r="F706" s="41" t="s">
        <v>380</v>
      </c>
      <c r="G706" s="41" t="s">
        <v>53</v>
      </c>
      <c r="H706" s="55">
        <v>1304.3499999999999</v>
      </c>
      <c r="I706" s="56">
        <v>0.15</v>
      </c>
      <c r="J706" s="55">
        <v>225</v>
      </c>
      <c r="K706" s="55">
        <v>179.64197874999996</v>
      </c>
      <c r="L706" s="55">
        <v>195.65</v>
      </c>
      <c r="M706" s="41" t="s">
        <v>10</v>
      </c>
      <c r="N706" s="41" t="s">
        <v>54</v>
      </c>
      <c r="O706" s="41" t="s">
        <v>55</v>
      </c>
      <c r="P706" s="57">
        <v>45930</v>
      </c>
      <c r="Q706" s="41">
        <f>+H706+L706</f>
        <v>1500</v>
      </c>
      <c r="R706" s="41">
        <f>+J706+K706+L706</f>
        <v>600.29197875</v>
      </c>
      <c r="S706" s="41">
        <f>+MONTH(B706)</f>
        <v>9</v>
      </c>
      <c r="T706" s="41">
        <f>+YEAR(B706)</f>
        <v>2025</v>
      </c>
      <c r="U706" s="41" t="s">
        <v>364</v>
      </c>
    </row>
    <row r="707" spans="1:21" ht="15" customHeight="1" x14ac:dyDescent="0.3">
      <c r="A707" s="41"/>
      <c r="B707" s="20">
        <v>45871</v>
      </c>
      <c r="C707" s="41"/>
      <c r="D707" s="41" t="s">
        <v>999</v>
      </c>
      <c r="E707" s="41" t="s">
        <v>619</v>
      </c>
      <c r="F707" s="41" t="s">
        <v>383</v>
      </c>
      <c r="G707" s="41" t="s">
        <v>53</v>
      </c>
      <c r="H707" s="55">
        <v>1487.83</v>
      </c>
      <c r="I707" s="56">
        <v>0.13500000000000001</v>
      </c>
      <c r="J707" s="55">
        <v>230.98500000000001</v>
      </c>
      <c r="K707" s="55">
        <v>230.57706174999993</v>
      </c>
      <c r="L707" s="55">
        <v>223.17</v>
      </c>
      <c r="M707" s="41" t="s">
        <v>10</v>
      </c>
      <c r="N707" s="41" t="s">
        <v>54</v>
      </c>
      <c r="O707" s="41" t="s">
        <v>55</v>
      </c>
      <c r="P707" s="57">
        <v>45900</v>
      </c>
      <c r="Q707" s="41">
        <f>+H707+L707</f>
        <v>1711</v>
      </c>
      <c r="R707" s="41">
        <f>+J707+K707+L707</f>
        <v>684.73206174999996</v>
      </c>
      <c r="S707" s="41">
        <f>+MONTH(B707)</f>
        <v>8</v>
      </c>
      <c r="T707" s="41">
        <f>+YEAR(B707)</f>
        <v>2025</v>
      </c>
      <c r="U707" s="41" t="s">
        <v>364</v>
      </c>
    </row>
    <row r="708" spans="1:21" ht="15" customHeight="1" x14ac:dyDescent="0.3">
      <c r="A708" s="41"/>
      <c r="B708" s="20">
        <v>45875</v>
      </c>
      <c r="C708" s="41"/>
      <c r="D708" s="41" t="s">
        <v>1000</v>
      </c>
      <c r="E708" s="41" t="s">
        <v>1001</v>
      </c>
      <c r="F708" s="41" t="s">
        <v>1002</v>
      </c>
      <c r="G708" s="41" t="s">
        <v>53</v>
      </c>
      <c r="H708" s="55">
        <v>2781.78</v>
      </c>
      <c r="I708" s="56">
        <v>0.15</v>
      </c>
      <c r="J708" s="55">
        <v>479.85599999999999</v>
      </c>
      <c r="K708" s="55">
        <v>383.12170049999997</v>
      </c>
      <c r="L708" s="55">
        <v>417.26</v>
      </c>
      <c r="M708" s="41" t="s">
        <v>10</v>
      </c>
      <c r="N708" s="41" t="s">
        <v>54</v>
      </c>
      <c r="O708" s="41" t="s">
        <v>55</v>
      </c>
      <c r="P708" s="57">
        <v>45900</v>
      </c>
      <c r="Q708" s="41">
        <f>+H708+L708</f>
        <v>3199.04</v>
      </c>
      <c r="R708" s="41">
        <f>+J708+K708+L708</f>
        <v>1280.2377004999998</v>
      </c>
      <c r="S708" s="41">
        <f>+MONTH(B708)</f>
        <v>8</v>
      </c>
      <c r="T708" s="41">
        <f>+YEAR(B708)</f>
        <v>2025</v>
      </c>
      <c r="U708" s="41" t="s">
        <v>364</v>
      </c>
    </row>
    <row r="709" spans="1:21" ht="15" customHeight="1" x14ac:dyDescent="0.3">
      <c r="A709" s="41"/>
      <c r="B709" s="20">
        <v>45990</v>
      </c>
      <c r="C709" s="41"/>
      <c r="D709" s="41" t="s">
        <v>458</v>
      </c>
      <c r="E709" s="41" t="s">
        <v>1003</v>
      </c>
      <c r="F709" s="41" t="s">
        <v>1002</v>
      </c>
      <c r="G709" s="41" t="s">
        <v>53</v>
      </c>
      <c r="H709" s="55">
        <v>339.13</v>
      </c>
      <c r="I709" s="56">
        <v>0.15</v>
      </c>
      <c r="J709" s="55">
        <v>58.5</v>
      </c>
      <c r="K709" s="55">
        <v>46.706604249999984</v>
      </c>
      <c r="L709" s="55">
        <v>50.87</v>
      </c>
      <c r="M709" s="41" t="s">
        <v>10</v>
      </c>
      <c r="N709" s="41" t="s">
        <v>54</v>
      </c>
      <c r="O709" s="41" t="s">
        <v>55</v>
      </c>
      <c r="P709" s="57">
        <v>45991</v>
      </c>
      <c r="Q709" s="41">
        <f>+H709+L709</f>
        <v>390</v>
      </c>
      <c r="R709" s="41">
        <f>+J709+K709+L709</f>
        <v>156.07660424999997</v>
      </c>
      <c r="S709" s="41">
        <f>+MONTH(B709)</f>
        <v>11</v>
      </c>
      <c r="T709" s="41">
        <f>+YEAR(B709)</f>
        <v>2025</v>
      </c>
      <c r="U709" s="41" t="s">
        <v>364</v>
      </c>
    </row>
    <row r="710" spans="1:21" ht="15" customHeight="1" x14ac:dyDescent="0.3">
      <c r="A710" s="41"/>
      <c r="B710" s="20">
        <v>45940</v>
      </c>
      <c r="C710" s="41"/>
      <c r="D710" s="41" t="s">
        <v>1004</v>
      </c>
      <c r="E710" s="41" t="s">
        <v>792</v>
      </c>
      <c r="F710" s="41" t="s">
        <v>363</v>
      </c>
      <c r="G710" s="41" t="s">
        <v>53</v>
      </c>
      <c r="H710" s="55">
        <v>86.96</v>
      </c>
      <c r="I710" s="56">
        <v>0.17499999999999999</v>
      </c>
      <c r="J710" s="55">
        <v>17.5</v>
      </c>
      <c r="K710" s="55">
        <v>9.4771659999999969</v>
      </c>
      <c r="L710" s="55">
        <v>13.04</v>
      </c>
      <c r="M710" s="41" t="s">
        <v>10</v>
      </c>
      <c r="N710" s="41" t="s">
        <v>54</v>
      </c>
      <c r="O710" s="41" t="s">
        <v>55</v>
      </c>
      <c r="P710" s="57">
        <v>45961</v>
      </c>
      <c r="Q710" s="41">
        <f>+H710+L710</f>
        <v>100</v>
      </c>
      <c r="R710" s="41">
        <f>+J710+K710+L710</f>
        <v>40.017165999999996</v>
      </c>
      <c r="S710" s="41">
        <f>+MONTH(B710)</f>
        <v>10</v>
      </c>
      <c r="T710" s="41">
        <f>+YEAR(B710)</f>
        <v>2025</v>
      </c>
      <c r="U710" s="41" t="s">
        <v>364</v>
      </c>
    </row>
    <row r="711" spans="1:21" ht="15" customHeight="1" x14ac:dyDescent="0.3">
      <c r="A711" s="41"/>
      <c r="B711" s="20">
        <v>45940</v>
      </c>
      <c r="C711" s="41"/>
      <c r="D711" s="41" t="s">
        <v>1005</v>
      </c>
      <c r="E711" s="41" t="s">
        <v>792</v>
      </c>
      <c r="F711" s="41" t="s">
        <v>363</v>
      </c>
      <c r="G711" s="41" t="s">
        <v>53</v>
      </c>
      <c r="H711" s="55">
        <v>86.96</v>
      </c>
      <c r="I711" s="56">
        <v>0.17499999999999999</v>
      </c>
      <c r="J711" s="55">
        <v>17.5</v>
      </c>
      <c r="K711" s="55">
        <v>9.4771659999999969</v>
      </c>
      <c r="L711" s="55">
        <v>13.04</v>
      </c>
      <c r="M711" s="41" t="s">
        <v>10</v>
      </c>
      <c r="N711" s="41" t="s">
        <v>54</v>
      </c>
      <c r="O711" s="41" t="s">
        <v>55</v>
      </c>
      <c r="P711" s="57">
        <v>45961</v>
      </c>
      <c r="Q711" s="41">
        <f>+H711+L711</f>
        <v>100</v>
      </c>
      <c r="R711" s="41">
        <f>+J711+K711+L711</f>
        <v>40.017165999999996</v>
      </c>
      <c r="S711" s="41">
        <f>+MONTH(B711)</f>
        <v>10</v>
      </c>
      <c r="T711" s="41">
        <f>+YEAR(B711)</f>
        <v>2025</v>
      </c>
      <c r="U711" s="41" t="s">
        <v>364</v>
      </c>
    </row>
    <row r="712" spans="1:21" ht="15" customHeight="1" x14ac:dyDescent="0.3">
      <c r="A712" s="41"/>
      <c r="B712" s="20">
        <v>45940</v>
      </c>
      <c r="C712" s="41"/>
      <c r="D712" s="41" t="s">
        <v>1006</v>
      </c>
      <c r="E712" s="41" t="s">
        <v>792</v>
      </c>
      <c r="F712" s="41" t="s">
        <v>363</v>
      </c>
      <c r="G712" s="41" t="s">
        <v>53</v>
      </c>
      <c r="H712" s="55">
        <v>86.96</v>
      </c>
      <c r="I712" s="56">
        <v>0.17499999999999999</v>
      </c>
      <c r="J712" s="55">
        <v>17.5</v>
      </c>
      <c r="K712" s="55">
        <v>9.4771659999999969</v>
      </c>
      <c r="L712" s="55">
        <v>13.04</v>
      </c>
      <c r="M712" s="41" t="s">
        <v>10</v>
      </c>
      <c r="N712" s="41" t="s">
        <v>54</v>
      </c>
      <c r="O712" s="41" t="s">
        <v>55</v>
      </c>
      <c r="P712" s="57">
        <v>45961</v>
      </c>
      <c r="Q712" s="41">
        <f>+H712+L712</f>
        <v>100</v>
      </c>
      <c r="R712" s="41">
        <f>+J712+K712+L712</f>
        <v>40.017165999999996</v>
      </c>
      <c r="S712" s="41">
        <f>+MONTH(B712)</f>
        <v>10</v>
      </c>
      <c r="T712" s="41">
        <f>+YEAR(B712)</f>
        <v>2025</v>
      </c>
      <c r="U712" s="41" t="s">
        <v>364</v>
      </c>
    </row>
    <row r="713" spans="1:21" ht="15" customHeight="1" x14ac:dyDescent="0.3">
      <c r="A713" s="41"/>
      <c r="B713" s="20">
        <v>45932</v>
      </c>
      <c r="C713" s="41"/>
      <c r="D713" s="41" t="s">
        <v>1007</v>
      </c>
      <c r="E713" s="41" t="s">
        <v>903</v>
      </c>
      <c r="F713" s="41" t="s">
        <v>639</v>
      </c>
      <c r="G713" s="41" t="s">
        <v>53</v>
      </c>
      <c r="H713" s="55">
        <v>173.91</v>
      </c>
      <c r="I713" s="56">
        <v>0</v>
      </c>
      <c r="J713" s="55">
        <v>0</v>
      </c>
      <c r="K713" s="55">
        <v>53.951229749999996</v>
      </c>
      <c r="L713" s="55">
        <v>26.09</v>
      </c>
      <c r="M713" s="41" t="s">
        <v>10</v>
      </c>
      <c r="N713" s="41" t="s">
        <v>54</v>
      </c>
      <c r="O713" s="41" t="s">
        <v>55</v>
      </c>
      <c r="P713" s="57">
        <v>45961</v>
      </c>
      <c r="Q713" s="41">
        <f>+H713+L713</f>
        <v>200</v>
      </c>
      <c r="R713" s="41">
        <f>+J713+K713+L713</f>
        <v>80.041229749999999</v>
      </c>
      <c r="S713" s="41">
        <f>+MONTH(B713)</f>
        <v>10</v>
      </c>
      <c r="T713" s="41">
        <f>+YEAR(B713)</f>
        <v>2025</v>
      </c>
      <c r="U713" s="41" t="s">
        <v>364</v>
      </c>
    </row>
    <row r="714" spans="1:21" ht="15" customHeight="1" x14ac:dyDescent="0.3">
      <c r="A714" s="41"/>
      <c r="B714" s="20">
        <v>45938</v>
      </c>
      <c r="C714" s="41"/>
      <c r="D714" s="41" t="s">
        <v>1008</v>
      </c>
      <c r="E714" s="41" t="s">
        <v>907</v>
      </c>
      <c r="F714" s="41" t="s">
        <v>363</v>
      </c>
      <c r="G714" s="41" t="s">
        <v>53</v>
      </c>
      <c r="H714" s="55">
        <v>86.96</v>
      </c>
      <c r="I714" s="56">
        <v>0.17499999999999999</v>
      </c>
      <c r="J714" s="55">
        <v>17.5</v>
      </c>
      <c r="K714" s="55">
        <v>9.4771659999999969</v>
      </c>
      <c r="L714" s="55">
        <v>13.04</v>
      </c>
      <c r="M714" s="41" t="s">
        <v>10</v>
      </c>
      <c r="N714" s="41" t="s">
        <v>54</v>
      </c>
      <c r="O714" s="41" t="s">
        <v>55</v>
      </c>
      <c r="P714" s="57">
        <v>45961</v>
      </c>
      <c r="Q714" s="41">
        <f>+H714+L714</f>
        <v>100</v>
      </c>
      <c r="R714" s="41">
        <f>+J714+K714+L714</f>
        <v>40.017165999999996</v>
      </c>
      <c r="S714" s="41">
        <f>+MONTH(B714)</f>
        <v>10</v>
      </c>
      <c r="T714" s="41">
        <f>+YEAR(B714)</f>
        <v>2025</v>
      </c>
      <c r="U714" s="41" t="s">
        <v>364</v>
      </c>
    </row>
    <row r="715" spans="1:21" ht="15" customHeight="1" x14ac:dyDescent="0.3">
      <c r="A715" s="41"/>
      <c r="B715" s="20">
        <v>45940</v>
      </c>
      <c r="C715" s="41"/>
      <c r="D715" s="41" t="s">
        <v>1009</v>
      </c>
      <c r="E715" s="41" t="s">
        <v>792</v>
      </c>
      <c r="F715" s="41" t="s">
        <v>363</v>
      </c>
      <c r="G715" s="41" t="s">
        <v>53</v>
      </c>
      <c r="H715" s="55">
        <v>86.96</v>
      </c>
      <c r="I715" s="56">
        <v>0.17499999999999999</v>
      </c>
      <c r="J715" s="55">
        <v>17.5</v>
      </c>
      <c r="K715" s="55">
        <v>9.4771659999999969</v>
      </c>
      <c r="L715" s="55">
        <v>13.04</v>
      </c>
      <c r="M715" s="41" t="s">
        <v>10</v>
      </c>
      <c r="N715" s="41" t="s">
        <v>54</v>
      </c>
      <c r="O715" s="41" t="s">
        <v>55</v>
      </c>
      <c r="P715" s="57">
        <v>45961</v>
      </c>
      <c r="Q715" s="41">
        <f>+H715+L715</f>
        <v>100</v>
      </c>
      <c r="R715" s="41">
        <f>+J715+K715+L715</f>
        <v>40.017165999999996</v>
      </c>
      <c r="S715" s="41">
        <f>+MONTH(B715)</f>
        <v>10</v>
      </c>
      <c r="T715" s="41">
        <f>+YEAR(B715)</f>
        <v>2025</v>
      </c>
      <c r="U715" s="41" t="s">
        <v>364</v>
      </c>
    </row>
    <row r="716" spans="1:21" ht="15" customHeight="1" x14ac:dyDescent="0.3">
      <c r="A716" s="41"/>
      <c r="B716" s="20">
        <v>45905</v>
      </c>
      <c r="C716" s="41"/>
      <c r="D716" s="41" t="s">
        <v>1010</v>
      </c>
      <c r="E716" s="41" t="s">
        <v>1011</v>
      </c>
      <c r="F716" s="41" t="s">
        <v>1012</v>
      </c>
      <c r="G716" s="41" t="s">
        <v>53</v>
      </c>
      <c r="H716" s="55">
        <v>387.45</v>
      </c>
      <c r="I716" s="56">
        <v>0.1</v>
      </c>
      <c r="J716" s="55">
        <v>44.557000000000002</v>
      </c>
      <c r="K716" s="55">
        <v>75.63967624999998</v>
      </c>
      <c r="L716" s="55">
        <v>58.12</v>
      </c>
      <c r="M716" s="41" t="s">
        <v>10</v>
      </c>
      <c r="N716" s="41" t="s">
        <v>54</v>
      </c>
      <c r="O716" s="41" t="s">
        <v>55</v>
      </c>
      <c r="P716" s="57">
        <v>45930</v>
      </c>
      <c r="Q716" s="41">
        <f>+H716+L716</f>
        <v>445.57</v>
      </c>
      <c r="R716" s="41">
        <f>+J716+K716+L716</f>
        <v>178.31667624999997</v>
      </c>
      <c r="S716" s="41">
        <f>+MONTH(B716)</f>
        <v>9</v>
      </c>
      <c r="T716" s="41">
        <f>+YEAR(B716)</f>
        <v>2025</v>
      </c>
      <c r="U716" s="41" t="s">
        <v>364</v>
      </c>
    </row>
    <row r="717" spans="1:21" ht="15" customHeight="1" x14ac:dyDescent="0.3">
      <c r="A717" s="41"/>
      <c r="B717" s="20">
        <v>45937</v>
      </c>
      <c r="C717" s="41"/>
      <c r="D717" s="41" t="s">
        <v>1013</v>
      </c>
      <c r="E717" s="41" t="s">
        <v>792</v>
      </c>
      <c r="F717" s="41" t="s">
        <v>363</v>
      </c>
      <c r="G717" s="41" t="s">
        <v>53</v>
      </c>
      <c r="H717" s="55">
        <v>86.96</v>
      </c>
      <c r="I717" s="56">
        <v>0.17499999999999999</v>
      </c>
      <c r="J717" s="55">
        <v>17.5</v>
      </c>
      <c r="K717" s="55">
        <v>9.4771659999999969</v>
      </c>
      <c r="L717" s="55">
        <v>13.04</v>
      </c>
      <c r="M717" s="41" t="s">
        <v>10</v>
      </c>
      <c r="N717" s="41" t="s">
        <v>54</v>
      </c>
      <c r="O717" s="41" t="s">
        <v>55</v>
      </c>
      <c r="P717" s="57">
        <v>45961</v>
      </c>
      <c r="Q717" s="41">
        <f>+H717+L717</f>
        <v>100</v>
      </c>
      <c r="R717" s="41">
        <f>+J717+K717+L717</f>
        <v>40.017165999999996</v>
      </c>
      <c r="S717" s="41">
        <f>+MONTH(B717)</f>
        <v>10</v>
      </c>
      <c r="T717" s="41">
        <f>+YEAR(B717)</f>
        <v>2025</v>
      </c>
      <c r="U717" s="41" t="s">
        <v>364</v>
      </c>
    </row>
    <row r="718" spans="1:21" ht="15" customHeight="1" x14ac:dyDescent="0.3">
      <c r="A718" s="41"/>
      <c r="B718" s="20">
        <v>45953</v>
      </c>
      <c r="C718" s="41"/>
      <c r="D718" s="41" t="s">
        <v>1014</v>
      </c>
      <c r="E718" s="41" t="s">
        <v>792</v>
      </c>
      <c r="F718" s="41" t="s">
        <v>363</v>
      </c>
      <c r="G718" s="41" t="s">
        <v>53</v>
      </c>
      <c r="H718" s="55">
        <v>86.96</v>
      </c>
      <c r="I718" s="56">
        <v>0.17499999999999999</v>
      </c>
      <c r="J718" s="55">
        <v>17.5</v>
      </c>
      <c r="K718" s="55">
        <v>9.4771659999999969</v>
      </c>
      <c r="L718" s="55">
        <v>13.04</v>
      </c>
      <c r="M718" s="41" t="s">
        <v>10</v>
      </c>
      <c r="N718" s="41" t="s">
        <v>54</v>
      </c>
      <c r="O718" s="41" t="s">
        <v>55</v>
      </c>
      <c r="P718" s="57">
        <v>45961</v>
      </c>
      <c r="Q718" s="41">
        <f>+H718+L718</f>
        <v>100</v>
      </c>
      <c r="R718" s="41">
        <f>+J718+K718+L718</f>
        <v>40.017165999999996</v>
      </c>
      <c r="S718" s="41">
        <f>+MONTH(B718)</f>
        <v>10</v>
      </c>
      <c r="T718" s="41">
        <f>+YEAR(B718)</f>
        <v>2025</v>
      </c>
      <c r="U718" s="41" t="s">
        <v>364</v>
      </c>
    </row>
    <row r="719" spans="1:21" ht="15" customHeight="1" x14ac:dyDescent="0.3">
      <c r="A719" s="41"/>
      <c r="B719" s="20">
        <v>45954</v>
      </c>
      <c r="C719" s="41"/>
      <c r="D719" s="41" t="s">
        <v>1015</v>
      </c>
      <c r="E719" s="41" t="s">
        <v>916</v>
      </c>
      <c r="F719" s="41" t="s">
        <v>363</v>
      </c>
      <c r="G719" s="41" t="s">
        <v>53</v>
      </c>
      <c r="H719" s="55">
        <v>514.09</v>
      </c>
      <c r="I719" s="56">
        <v>0.17499999999999999</v>
      </c>
      <c r="J719" s="55">
        <v>103.46000000000001</v>
      </c>
      <c r="K719" s="55">
        <v>56.023570249999977</v>
      </c>
      <c r="L719" s="55">
        <v>77.11</v>
      </c>
      <c r="M719" s="41" t="s">
        <v>10</v>
      </c>
      <c r="N719" s="41" t="s">
        <v>54</v>
      </c>
      <c r="O719" s="41" t="s">
        <v>55</v>
      </c>
      <c r="P719" s="57">
        <v>45961</v>
      </c>
      <c r="Q719" s="41">
        <f>+H719+L719</f>
        <v>591.20000000000005</v>
      </c>
      <c r="R719" s="41">
        <f>+J719+K719+L719</f>
        <v>236.59357024999997</v>
      </c>
      <c r="S719" s="41">
        <f>+MONTH(B719)</f>
        <v>10</v>
      </c>
      <c r="T719" s="41">
        <f>+YEAR(B719)</f>
        <v>2025</v>
      </c>
      <c r="U719" s="41" t="s">
        <v>364</v>
      </c>
    </row>
    <row r="720" spans="1:21" ht="15" customHeight="1" x14ac:dyDescent="0.3">
      <c r="A720" s="41"/>
      <c r="B720" s="20">
        <v>45954</v>
      </c>
      <c r="C720" s="41"/>
      <c r="D720" s="41" t="s">
        <v>1016</v>
      </c>
      <c r="E720" s="41" t="s">
        <v>916</v>
      </c>
      <c r="F720" s="41" t="s">
        <v>363</v>
      </c>
      <c r="G720" s="41" t="s">
        <v>53</v>
      </c>
      <c r="H720" s="55">
        <v>204.87</v>
      </c>
      <c r="I720" s="56">
        <v>0.17499999999999999</v>
      </c>
      <c r="J720" s="55">
        <v>41.23</v>
      </c>
      <c r="K720" s="55">
        <v>22.325795749999997</v>
      </c>
      <c r="L720" s="55">
        <v>30.73</v>
      </c>
      <c r="M720" s="41" t="s">
        <v>10</v>
      </c>
      <c r="N720" s="41" t="s">
        <v>54</v>
      </c>
      <c r="O720" s="41" t="s">
        <v>55</v>
      </c>
      <c r="P720" s="57">
        <v>45961</v>
      </c>
      <c r="Q720" s="41">
        <f>+H720+L720</f>
        <v>235.6</v>
      </c>
      <c r="R720" s="41">
        <f>+J720+K720+L720</f>
        <v>94.285795749999991</v>
      </c>
      <c r="S720" s="41">
        <f>+MONTH(B720)</f>
        <v>10</v>
      </c>
      <c r="T720" s="41">
        <f>+YEAR(B720)</f>
        <v>2025</v>
      </c>
      <c r="U720" s="41" t="s">
        <v>364</v>
      </c>
    </row>
    <row r="721" spans="1:21" ht="15" customHeight="1" x14ac:dyDescent="0.3">
      <c r="A721" s="41"/>
      <c r="B721" s="20">
        <v>45953</v>
      </c>
      <c r="C721" s="41"/>
      <c r="D721" s="41" t="s">
        <v>1017</v>
      </c>
      <c r="E721" s="41" t="s">
        <v>792</v>
      </c>
      <c r="F721" s="41" t="s">
        <v>363</v>
      </c>
      <c r="G721" s="41" t="s">
        <v>53</v>
      </c>
      <c r="H721" s="55">
        <v>86.96</v>
      </c>
      <c r="I721" s="56">
        <v>0.17499999999999999</v>
      </c>
      <c r="J721" s="55">
        <v>17.5</v>
      </c>
      <c r="K721" s="55">
        <v>9.4771659999999969</v>
      </c>
      <c r="L721" s="55">
        <v>13.04</v>
      </c>
      <c r="M721" s="41" t="s">
        <v>10</v>
      </c>
      <c r="N721" s="41" t="s">
        <v>54</v>
      </c>
      <c r="O721" s="41" t="s">
        <v>55</v>
      </c>
      <c r="P721" s="57">
        <v>45961</v>
      </c>
      <c r="Q721" s="41">
        <f>+H721+L721</f>
        <v>100</v>
      </c>
      <c r="R721" s="41">
        <f>+J721+K721+L721</f>
        <v>40.017165999999996</v>
      </c>
      <c r="S721" s="41">
        <f>+MONTH(B721)</f>
        <v>10</v>
      </c>
      <c r="T721" s="41">
        <f>+YEAR(B721)</f>
        <v>2025</v>
      </c>
      <c r="U721" s="41" t="s">
        <v>364</v>
      </c>
    </row>
    <row r="722" spans="1:21" ht="15" customHeight="1" x14ac:dyDescent="0.3">
      <c r="A722" s="41"/>
      <c r="B722" s="20">
        <v>45940</v>
      </c>
      <c r="C722" s="41"/>
      <c r="D722" s="41" t="s">
        <v>1018</v>
      </c>
      <c r="E722" s="41" t="s">
        <v>792</v>
      </c>
      <c r="F722" s="41" t="s">
        <v>363</v>
      </c>
      <c r="G722" s="41" t="s">
        <v>53</v>
      </c>
      <c r="H722" s="55">
        <v>86.96</v>
      </c>
      <c r="I722" s="56">
        <v>0.17499999999999999</v>
      </c>
      <c r="J722" s="55">
        <v>17.5</v>
      </c>
      <c r="K722" s="55">
        <v>9.4771659999999969</v>
      </c>
      <c r="L722" s="55">
        <v>13.04</v>
      </c>
      <c r="M722" s="41" t="s">
        <v>10</v>
      </c>
      <c r="N722" s="41" t="s">
        <v>54</v>
      </c>
      <c r="O722" s="41" t="s">
        <v>55</v>
      </c>
      <c r="P722" s="57">
        <v>45961</v>
      </c>
      <c r="Q722" s="41">
        <f>+H722+L722</f>
        <v>100</v>
      </c>
      <c r="R722" s="41">
        <f>+J722+K722+L722</f>
        <v>40.017165999999996</v>
      </c>
      <c r="S722" s="41">
        <f>+MONTH(B722)</f>
        <v>10</v>
      </c>
      <c r="T722" s="41">
        <f>+YEAR(B722)</f>
        <v>2025</v>
      </c>
      <c r="U722" s="41" t="s">
        <v>364</v>
      </c>
    </row>
    <row r="723" spans="1:21" ht="15" customHeight="1" x14ac:dyDescent="0.3">
      <c r="A723" s="41"/>
      <c r="B723" s="20">
        <v>45954</v>
      </c>
      <c r="C723" s="41"/>
      <c r="D723" s="41" t="s">
        <v>1019</v>
      </c>
      <c r="E723" s="41" t="s">
        <v>916</v>
      </c>
      <c r="F723" s="41" t="s">
        <v>363</v>
      </c>
      <c r="G723" s="41" t="s">
        <v>53</v>
      </c>
      <c r="H723" s="55">
        <v>234.89</v>
      </c>
      <c r="I723" s="56">
        <v>0.17499999999999999</v>
      </c>
      <c r="J723" s="55">
        <v>47.271000000000001</v>
      </c>
      <c r="K723" s="55">
        <v>25.59775024999999</v>
      </c>
      <c r="L723" s="55">
        <v>35.229999999999997</v>
      </c>
      <c r="M723" s="41" t="s">
        <v>10</v>
      </c>
      <c r="N723" s="41" t="s">
        <v>54</v>
      </c>
      <c r="O723" s="41" t="s">
        <v>55</v>
      </c>
      <c r="P723" s="57">
        <v>45961</v>
      </c>
      <c r="Q723" s="41">
        <f>+H723+L723</f>
        <v>270.12</v>
      </c>
      <c r="R723" s="41">
        <f>+J723+K723+L723</f>
        <v>108.09875024999999</v>
      </c>
      <c r="S723" s="41">
        <f>+MONTH(B723)</f>
        <v>10</v>
      </c>
      <c r="T723" s="41">
        <f>+YEAR(B723)</f>
        <v>2025</v>
      </c>
      <c r="U723" s="41" t="s">
        <v>364</v>
      </c>
    </row>
    <row r="724" spans="1:21" ht="15" customHeight="1" x14ac:dyDescent="0.3">
      <c r="A724" s="41"/>
      <c r="B724" s="20">
        <v>45937</v>
      </c>
      <c r="C724" s="41"/>
      <c r="D724" s="41" t="s">
        <v>1020</v>
      </c>
      <c r="E724" s="41" t="s">
        <v>792</v>
      </c>
      <c r="F724" s="41" t="s">
        <v>363</v>
      </c>
      <c r="G724" s="41" t="s">
        <v>53</v>
      </c>
      <c r="H724" s="55">
        <v>86.96</v>
      </c>
      <c r="I724" s="56">
        <v>0.17499999999999999</v>
      </c>
      <c r="J724" s="55">
        <v>17.5</v>
      </c>
      <c r="K724" s="55">
        <v>9.4771659999999969</v>
      </c>
      <c r="L724" s="55">
        <v>13.04</v>
      </c>
      <c r="M724" s="41" t="s">
        <v>10</v>
      </c>
      <c r="N724" s="41" t="s">
        <v>54</v>
      </c>
      <c r="O724" s="41" t="s">
        <v>55</v>
      </c>
      <c r="P724" s="57">
        <v>45961</v>
      </c>
      <c r="Q724" s="41">
        <f>+H724+L724</f>
        <v>100</v>
      </c>
      <c r="R724" s="41">
        <f>+J724+K724+L724</f>
        <v>40.017165999999996</v>
      </c>
      <c r="S724" s="41">
        <f>+MONTH(B724)</f>
        <v>10</v>
      </c>
      <c r="T724" s="41">
        <f>+YEAR(B724)</f>
        <v>2025</v>
      </c>
      <c r="U724" s="41" t="s">
        <v>364</v>
      </c>
    </row>
    <row r="725" spans="1:21" ht="15" customHeight="1" x14ac:dyDescent="0.3">
      <c r="A725" s="41"/>
      <c r="B725" s="20">
        <v>45964</v>
      </c>
      <c r="C725" s="41"/>
      <c r="D725" s="41" t="s">
        <v>1021</v>
      </c>
      <c r="E725" s="41" t="s">
        <v>1022</v>
      </c>
      <c r="F725" s="41" t="s">
        <v>1023</v>
      </c>
      <c r="G725" s="41" t="s">
        <v>53</v>
      </c>
      <c r="H725" s="55">
        <v>22608.7</v>
      </c>
      <c r="I725" s="56">
        <v>0.16500000000000001</v>
      </c>
      <c r="J725" s="55">
        <v>4290</v>
      </c>
      <c r="K725" s="55">
        <v>2723.7839574999998</v>
      </c>
      <c r="L725" s="55">
        <v>3391.3</v>
      </c>
      <c r="M725" s="41" t="s">
        <v>10</v>
      </c>
      <c r="N725" s="41" t="s">
        <v>54</v>
      </c>
      <c r="O725" s="41" t="s">
        <v>55</v>
      </c>
      <c r="P725" s="57">
        <v>45991</v>
      </c>
      <c r="Q725" s="41">
        <f>+H725+L725</f>
        <v>26000</v>
      </c>
      <c r="R725" s="41">
        <f>+J725+K725+L725</f>
        <v>10405.083957499999</v>
      </c>
      <c r="S725" s="41">
        <f>+MONTH(B725)</f>
        <v>11</v>
      </c>
      <c r="T725" s="41">
        <f>+YEAR(B725)</f>
        <v>2025</v>
      </c>
      <c r="U725" s="41" t="s">
        <v>364</v>
      </c>
    </row>
    <row r="726" spans="1:21" ht="15" customHeight="1" x14ac:dyDescent="0.3">
      <c r="A726" s="41"/>
      <c r="B726" s="20">
        <v>45940</v>
      </c>
      <c r="C726" s="41"/>
      <c r="D726" s="41" t="s">
        <v>1024</v>
      </c>
      <c r="E726" s="41" t="s">
        <v>792</v>
      </c>
      <c r="F726" s="41" t="s">
        <v>363</v>
      </c>
      <c r="G726" s="41" t="s">
        <v>53</v>
      </c>
      <c r="H726" s="55">
        <v>86.96</v>
      </c>
      <c r="I726" s="56">
        <v>0.17499999999999999</v>
      </c>
      <c r="J726" s="55">
        <v>17.5</v>
      </c>
      <c r="K726" s="55">
        <v>9.4771659999999969</v>
      </c>
      <c r="L726" s="55">
        <v>13.04</v>
      </c>
      <c r="M726" s="41" t="s">
        <v>10</v>
      </c>
      <c r="N726" s="41" t="s">
        <v>54</v>
      </c>
      <c r="O726" s="41" t="s">
        <v>55</v>
      </c>
      <c r="P726" s="57">
        <v>45961</v>
      </c>
      <c r="Q726" s="41">
        <f>+H726+L726</f>
        <v>100</v>
      </c>
      <c r="R726" s="41">
        <f>+J726+K726+L726</f>
        <v>40.017165999999996</v>
      </c>
      <c r="S726" s="41">
        <f>+MONTH(B726)</f>
        <v>10</v>
      </c>
      <c r="T726" s="41">
        <f>+YEAR(B726)</f>
        <v>2025</v>
      </c>
      <c r="U726" s="41" t="s">
        <v>364</v>
      </c>
    </row>
    <row r="727" spans="1:21" ht="15" customHeight="1" x14ac:dyDescent="0.3">
      <c r="A727" s="41"/>
      <c r="B727" s="20">
        <v>45940</v>
      </c>
      <c r="C727" s="41"/>
      <c r="D727" s="41" t="s">
        <v>1025</v>
      </c>
      <c r="E727" s="41" t="s">
        <v>792</v>
      </c>
      <c r="F727" s="41" t="s">
        <v>363</v>
      </c>
      <c r="G727" s="41" t="s">
        <v>53</v>
      </c>
      <c r="H727" s="55">
        <v>86.96</v>
      </c>
      <c r="I727" s="56">
        <v>0.17499999999999999</v>
      </c>
      <c r="J727" s="55">
        <v>17.5</v>
      </c>
      <c r="K727" s="55">
        <v>9.4771659999999969</v>
      </c>
      <c r="L727" s="55">
        <v>13.04</v>
      </c>
      <c r="M727" s="41" t="s">
        <v>10</v>
      </c>
      <c r="N727" s="41" t="s">
        <v>54</v>
      </c>
      <c r="O727" s="41" t="s">
        <v>55</v>
      </c>
      <c r="P727" s="57">
        <v>45961</v>
      </c>
      <c r="Q727" s="41">
        <f>+H727+L727</f>
        <v>100</v>
      </c>
      <c r="R727" s="41">
        <f>+J727+K727+L727</f>
        <v>40.017165999999996</v>
      </c>
      <c r="S727" s="41">
        <f>+MONTH(B727)</f>
        <v>10</v>
      </c>
      <c r="T727" s="41">
        <f>+YEAR(B727)</f>
        <v>2025</v>
      </c>
      <c r="U727" s="41" t="s">
        <v>364</v>
      </c>
    </row>
    <row r="728" spans="1:21" ht="15" customHeight="1" x14ac:dyDescent="0.3">
      <c r="A728" s="41"/>
      <c r="B728" s="20">
        <v>45980</v>
      </c>
      <c r="C728" s="41"/>
      <c r="D728" s="41" t="s">
        <v>1026</v>
      </c>
      <c r="E728" s="41" t="s">
        <v>362</v>
      </c>
      <c r="F728" s="41" t="s">
        <v>363</v>
      </c>
      <c r="G728" s="41" t="s">
        <v>53</v>
      </c>
      <c r="H728" s="55">
        <v>124.37</v>
      </c>
      <c r="I728" s="56">
        <v>0.17499999999999999</v>
      </c>
      <c r="J728" s="55">
        <v>25.030249999999999</v>
      </c>
      <c r="K728" s="55">
        <v>13.552433249999996</v>
      </c>
      <c r="L728" s="55">
        <v>18.66</v>
      </c>
      <c r="M728" s="41" t="s">
        <v>10</v>
      </c>
      <c r="N728" s="41" t="s">
        <v>54</v>
      </c>
      <c r="O728" s="41" t="s">
        <v>55</v>
      </c>
      <c r="P728" s="57">
        <v>45991</v>
      </c>
      <c r="Q728" s="41">
        <f>+H728+L728</f>
        <v>143.03</v>
      </c>
      <c r="R728" s="41">
        <f>+J728+K728+L728</f>
        <v>57.242683249999999</v>
      </c>
      <c r="S728" s="41">
        <f>+MONTH(B728)</f>
        <v>11</v>
      </c>
      <c r="T728" s="41">
        <f>+YEAR(B728)</f>
        <v>2025</v>
      </c>
      <c r="U728" s="41" t="s">
        <v>364</v>
      </c>
    </row>
    <row r="729" spans="1:21" ht="15" customHeight="1" x14ac:dyDescent="0.3">
      <c r="A729" s="41"/>
      <c r="B729" s="20">
        <v>45980</v>
      </c>
      <c r="C729" s="41"/>
      <c r="D729" s="41" t="s">
        <v>1027</v>
      </c>
      <c r="E729" s="41" t="s">
        <v>362</v>
      </c>
      <c r="F729" s="41" t="s">
        <v>363</v>
      </c>
      <c r="G729" s="41" t="s">
        <v>53</v>
      </c>
      <c r="H729" s="55">
        <v>110.02</v>
      </c>
      <c r="I729" s="56">
        <v>0.17499999999999999</v>
      </c>
      <c r="J729" s="55">
        <v>22.140999999999998</v>
      </c>
      <c r="K729" s="55">
        <v>11.989954499999996</v>
      </c>
      <c r="L729" s="55">
        <v>16.5</v>
      </c>
      <c r="M729" s="41" t="s">
        <v>10</v>
      </c>
      <c r="N729" s="41" t="s">
        <v>54</v>
      </c>
      <c r="O729" s="41" t="s">
        <v>55</v>
      </c>
      <c r="P729" s="57">
        <v>45991</v>
      </c>
      <c r="Q729" s="41">
        <f>+H729+L729</f>
        <v>126.52</v>
      </c>
      <c r="R729" s="41">
        <f>+J729+K729+L729</f>
        <v>50.630954499999994</v>
      </c>
      <c r="S729" s="41">
        <f>+MONTH(B729)</f>
        <v>11</v>
      </c>
      <c r="T729" s="41">
        <f>+YEAR(B729)</f>
        <v>2025</v>
      </c>
      <c r="U729" s="41" t="s">
        <v>364</v>
      </c>
    </row>
    <row r="730" spans="1:21" ht="15" customHeight="1" x14ac:dyDescent="0.3">
      <c r="A730" s="41"/>
      <c r="B730" s="20">
        <v>45973</v>
      </c>
      <c r="C730" s="41"/>
      <c r="D730" s="41" t="s">
        <v>1028</v>
      </c>
      <c r="E730" s="41" t="s">
        <v>362</v>
      </c>
      <c r="F730" s="41" t="s">
        <v>363</v>
      </c>
      <c r="G730" s="41" t="s">
        <v>53</v>
      </c>
      <c r="H730" s="55">
        <v>86.96</v>
      </c>
      <c r="I730" s="56">
        <v>0.17499999999999999</v>
      </c>
      <c r="J730" s="55">
        <v>17.5</v>
      </c>
      <c r="K730" s="55">
        <v>9.4771659999999969</v>
      </c>
      <c r="L730" s="55">
        <v>13.04</v>
      </c>
      <c r="M730" s="41" t="s">
        <v>10</v>
      </c>
      <c r="N730" s="41" t="s">
        <v>54</v>
      </c>
      <c r="O730" s="41" t="s">
        <v>55</v>
      </c>
      <c r="P730" s="57">
        <v>45991</v>
      </c>
      <c r="Q730" s="41">
        <f>+H730+L730</f>
        <v>100</v>
      </c>
      <c r="R730" s="41">
        <f>+J730+K730+L730</f>
        <v>40.017165999999996</v>
      </c>
      <c r="S730" s="41">
        <f>+MONTH(B730)</f>
        <v>11</v>
      </c>
      <c r="T730" s="41">
        <f>+YEAR(B730)</f>
        <v>2025</v>
      </c>
      <c r="U730" s="41" t="s">
        <v>364</v>
      </c>
    </row>
    <row r="731" spans="1:21" ht="15" customHeight="1" x14ac:dyDescent="0.3">
      <c r="A731" s="41"/>
      <c r="B731" s="20">
        <v>45980</v>
      </c>
      <c r="C731" s="41"/>
      <c r="D731" s="41" t="s">
        <v>1029</v>
      </c>
      <c r="E731" s="41" t="s">
        <v>362</v>
      </c>
      <c r="F731" s="41" t="s">
        <v>363</v>
      </c>
      <c r="G731" s="41" t="s">
        <v>53</v>
      </c>
      <c r="H731" s="55">
        <v>86.96</v>
      </c>
      <c r="I731" s="56">
        <v>0.17499999999999999</v>
      </c>
      <c r="J731" s="55">
        <v>17.5</v>
      </c>
      <c r="K731" s="55">
        <v>9.4771659999999969</v>
      </c>
      <c r="L731" s="55">
        <v>13.04</v>
      </c>
      <c r="M731" s="41" t="s">
        <v>10</v>
      </c>
      <c r="N731" s="41" t="s">
        <v>54</v>
      </c>
      <c r="O731" s="41" t="s">
        <v>55</v>
      </c>
      <c r="P731" s="57">
        <v>45991</v>
      </c>
      <c r="Q731" s="41">
        <f>+H731+L731</f>
        <v>100</v>
      </c>
      <c r="R731" s="41">
        <f>+J731+K731+L731</f>
        <v>40.017165999999996</v>
      </c>
      <c r="S731" s="41">
        <f>+MONTH(B731)</f>
        <v>11</v>
      </c>
      <c r="T731" s="41">
        <f>+YEAR(B731)</f>
        <v>2025</v>
      </c>
      <c r="U731" s="41" t="s">
        <v>364</v>
      </c>
    </row>
    <row r="732" spans="1:21" ht="15" customHeight="1" x14ac:dyDescent="0.3">
      <c r="A732" s="41"/>
      <c r="B732" s="20">
        <v>45987</v>
      </c>
      <c r="C732" s="41"/>
      <c r="D732" s="41" t="s">
        <v>1030</v>
      </c>
      <c r="E732" s="41" t="s">
        <v>362</v>
      </c>
      <c r="F732" s="41" t="s">
        <v>363</v>
      </c>
      <c r="G732" s="41" t="s">
        <v>53</v>
      </c>
      <c r="H732" s="55">
        <v>140.22999999999999</v>
      </c>
      <c r="I732" s="56">
        <v>0.17499999999999999</v>
      </c>
      <c r="J732" s="55">
        <v>28.220499999999998</v>
      </c>
      <c r="K732" s="55">
        <v>15.282351749999993</v>
      </c>
      <c r="L732" s="55">
        <v>21.03</v>
      </c>
      <c r="M732" s="41" t="s">
        <v>10</v>
      </c>
      <c r="N732" s="41" t="s">
        <v>54</v>
      </c>
      <c r="O732" s="41" t="s">
        <v>55</v>
      </c>
      <c r="P732" s="57">
        <v>45991</v>
      </c>
      <c r="Q732" s="41">
        <f>+H732+L732</f>
        <v>161.26</v>
      </c>
      <c r="R732" s="41">
        <f>+J732+K732+L732</f>
        <v>64.532851749999992</v>
      </c>
      <c r="S732" s="41">
        <f>+MONTH(B732)</f>
        <v>11</v>
      </c>
      <c r="T732" s="41">
        <f>+YEAR(B732)</f>
        <v>2025</v>
      </c>
      <c r="U732" s="41" t="s">
        <v>364</v>
      </c>
    </row>
    <row r="733" spans="1:21" ht="15" customHeight="1" x14ac:dyDescent="0.3">
      <c r="A733" s="41"/>
      <c r="B733" s="20">
        <v>45985</v>
      </c>
      <c r="C733" s="41"/>
      <c r="D733" s="41" t="s">
        <v>1031</v>
      </c>
      <c r="E733" s="41" t="s">
        <v>868</v>
      </c>
      <c r="F733" s="41" t="s">
        <v>363</v>
      </c>
      <c r="G733" s="41" t="s">
        <v>53</v>
      </c>
      <c r="H733" s="55">
        <v>1525.65</v>
      </c>
      <c r="I733" s="56">
        <v>0.17499999999999999</v>
      </c>
      <c r="J733" s="55">
        <v>307.03749999999997</v>
      </c>
      <c r="K733" s="55">
        <v>166.25727125000003</v>
      </c>
      <c r="L733" s="55">
        <v>228.85</v>
      </c>
      <c r="M733" s="41" t="s">
        <v>10</v>
      </c>
      <c r="N733" s="41" t="s">
        <v>54</v>
      </c>
      <c r="O733" s="41" t="s">
        <v>55</v>
      </c>
      <c r="P733" s="57">
        <v>45991</v>
      </c>
      <c r="Q733" s="41">
        <f>+H733+L733</f>
        <v>1754.5</v>
      </c>
      <c r="R733" s="41">
        <f>+J733+K733+L733</f>
        <v>702.14477124999996</v>
      </c>
      <c r="S733" s="41">
        <f>+MONTH(B733)</f>
        <v>11</v>
      </c>
      <c r="T733" s="41">
        <f>+YEAR(B733)</f>
        <v>2025</v>
      </c>
      <c r="U733" s="41" t="s">
        <v>364</v>
      </c>
    </row>
    <row r="734" spans="1:21" ht="15" customHeight="1" x14ac:dyDescent="0.3">
      <c r="A734" s="41"/>
      <c r="B734" s="20">
        <v>45980</v>
      </c>
      <c r="C734" s="41"/>
      <c r="D734" s="41" t="s">
        <v>1032</v>
      </c>
      <c r="E734" s="41" t="s">
        <v>362</v>
      </c>
      <c r="F734" s="41" t="s">
        <v>363</v>
      </c>
      <c r="G734" s="41" t="s">
        <v>53</v>
      </c>
      <c r="H734" s="55">
        <v>86.96</v>
      </c>
      <c r="I734" s="56">
        <v>0.17499999999999999</v>
      </c>
      <c r="J734" s="55">
        <v>17.5</v>
      </c>
      <c r="K734" s="55">
        <v>9.4771659999999969</v>
      </c>
      <c r="L734" s="55">
        <v>13.04</v>
      </c>
      <c r="M734" s="41" t="s">
        <v>10</v>
      </c>
      <c r="N734" s="41" t="s">
        <v>54</v>
      </c>
      <c r="O734" s="41" t="s">
        <v>55</v>
      </c>
      <c r="P734" s="57">
        <v>45991</v>
      </c>
      <c r="Q734" s="41">
        <f>+H734+L734</f>
        <v>100</v>
      </c>
      <c r="R734" s="41">
        <f>+J734+K734+L734</f>
        <v>40.017165999999996</v>
      </c>
      <c r="S734" s="41">
        <f>+MONTH(B734)</f>
        <v>11</v>
      </c>
      <c r="T734" s="41">
        <f>+YEAR(B734)</f>
        <v>2025</v>
      </c>
      <c r="U734" s="41" t="s">
        <v>364</v>
      </c>
    </row>
    <row r="735" spans="1:21" ht="15" customHeight="1" x14ac:dyDescent="0.3">
      <c r="A735" s="41"/>
      <c r="B735" s="20">
        <v>45987</v>
      </c>
      <c r="C735" s="41"/>
      <c r="D735" s="41" t="s">
        <v>1033</v>
      </c>
      <c r="E735" s="41" t="s">
        <v>755</v>
      </c>
      <c r="F735" s="41" t="s">
        <v>756</v>
      </c>
      <c r="G735" s="41" t="s">
        <v>53</v>
      </c>
      <c r="H735" s="55">
        <v>173.91</v>
      </c>
      <c r="I735" s="56">
        <v>0.16</v>
      </c>
      <c r="J735" s="55">
        <v>32</v>
      </c>
      <c r="K735" s="55">
        <v>21.951229749999996</v>
      </c>
      <c r="L735" s="55">
        <v>26.09</v>
      </c>
      <c r="M735" s="41" t="s">
        <v>10</v>
      </c>
      <c r="N735" s="41" t="s">
        <v>54</v>
      </c>
      <c r="O735" s="41" t="s">
        <v>55</v>
      </c>
      <c r="P735" s="57">
        <v>45991</v>
      </c>
      <c r="Q735" s="41">
        <f>+H735+L735</f>
        <v>200</v>
      </c>
      <c r="R735" s="41">
        <f>+J735+K735+L735</f>
        <v>80.041229749999999</v>
      </c>
      <c r="S735" s="41">
        <f>+MONTH(B735)</f>
        <v>11</v>
      </c>
      <c r="T735" s="41">
        <f>+YEAR(B735)</f>
        <v>2025</v>
      </c>
      <c r="U735" s="41" t="s">
        <v>364</v>
      </c>
    </row>
    <row r="736" spans="1:21" ht="15" customHeight="1" x14ac:dyDescent="0.3">
      <c r="A736" s="41"/>
      <c r="B736" s="20">
        <v>45988</v>
      </c>
      <c r="C736" s="41"/>
      <c r="D736" s="41" t="s">
        <v>1034</v>
      </c>
      <c r="E736" s="41" t="s">
        <v>1035</v>
      </c>
      <c r="F736" s="41" t="s">
        <v>367</v>
      </c>
      <c r="G736" s="41" t="s">
        <v>53</v>
      </c>
      <c r="H736" s="55">
        <v>212.78</v>
      </c>
      <c r="I736" s="56">
        <v>0.14000000000000001</v>
      </c>
      <c r="J736" s="55">
        <v>34.258000000000003</v>
      </c>
      <c r="K736" s="55">
        <v>31.751675499999997</v>
      </c>
      <c r="L736" s="55">
        <v>31.92</v>
      </c>
      <c r="M736" s="41" t="s">
        <v>10</v>
      </c>
      <c r="N736" s="41" t="s">
        <v>54</v>
      </c>
      <c r="O736" s="41" t="s">
        <v>55</v>
      </c>
      <c r="P736" s="57">
        <v>45991</v>
      </c>
      <c r="Q736" s="41">
        <f>+H736+L736</f>
        <v>244.7</v>
      </c>
      <c r="R736" s="41">
        <f>+J736+K736+L736</f>
        <v>97.929675500000002</v>
      </c>
      <c r="S736" s="41">
        <f>+MONTH(B736)</f>
        <v>11</v>
      </c>
      <c r="T736" s="41">
        <f>+YEAR(B736)</f>
        <v>2025</v>
      </c>
      <c r="U736" s="41" t="s">
        <v>364</v>
      </c>
    </row>
    <row r="737" spans="1:21" ht="15" customHeight="1" x14ac:dyDescent="0.3">
      <c r="A737" s="41"/>
      <c r="B737" s="20">
        <v>45996</v>
      </c>
      <c r="C737" s="41"/>
      <c r="D737" s="41" t="s">
        <v>1036</v>
      </c>
      <c r="E737" s="41" t="s">
        <v>419</v>
      </c>
      <c r="F737" s="41" t="s">
        <v>363</v>
      </c>
      <c r="G737" s="41" t="s">
        <v>53</v>
      </c>
      <c r="H737" s="55">
        <v>187.51</v>
      </c>
      <c r="I737" s="56">
        <v>0.17499999999999999</v>
      </c>
      <c r="J737" s="55">
        <v>37.736999999999995</v>
      </c>
      <c r="K737" s="55">
        <v>20.43328975</v>
      </c>
      <c r="L737" s="55">
        <v>28.13</v>
      </c>
      <c r="M737" s="41" t="s">
        <v>10</v>
      </c>
      <c r="N737" s="41" t="s">
        <v>54</v>
      </c>
      <c r="O737" s="41" t="s">
        <v>55</v>
      </c>
      <c r="P737" s="57">
        <v>46022</v>
      </c>
      <c r="Q737" s="41">
        <f>+H737+L737</f>
        <v>215.64</v>
      </c>
      <c r="R737" s="41">
        <f>+J737+K737+L737</f>
        <v>86.30028974999999</v>
      </c>
      <c r="S737" s="41">
        <f>+MONTH(B737)</f>
        <v>12</v>
      </c>
      <c r="T737" s="41">
        <f>+YEAR(B737)</f>
        <v>2025</v>
      </c>
      <c r="U737" s="41" t="s">
        <v>364</v>
      </c>
    </row>
    <row r="738" spans="1:21" ht="15" customHeight="1" x14ac:dyDescent="0.3">
      <c r="A738" s="41"/>
      <c r="B738" s="20">
        <v>45993</v>
      </c>
      <c r="C738" s="41"/>
      <c r="D738" s="41" t="s">
        <v>474</v>
      </c>
      <c r="E738" s="41" t="s">
        <v>1037</v>
      </c>
      <c r="F738" s="41" t="s">
        <v>380</v>
      </c>
      <c r="G738" s="41" t="s">
        <v>53</v>
      </c>
      <c r="H738" s="55">
        <v>20869.580000000002</v>
      </c>
      <c r="I738" s="56">
        <v>0.15</v>
      </c>
      <c r="J738" s="55">
        <v>3600</v>
      </c>
      <c r="K738" s="55">
        <v>2874.2654554999999</v>
      </c>
      <c r="L738" s="55">
        <v>3130.42</v>
      </c>
      <c r="M738" s="41" t="s">
        <v>10</v>
      </c>
      <c r="N738" s="41" t="s">
        <v>54</v>
      </c>
      <c r="O738" s="41" t="s">
        <v>55</v>
      </c>
      <c r="P738" s="57">
        <v>46022</v>
      </c>
      <c r="Q738" s="41">
        <f>+H738+L738</f>
        <v>24000</v>
      </c>
      <c r="R738" s="41">
        <f>+J738+K738+L738</f>
        <v>9604.6854554999991</v>
      </c>
      <c r="S738" s="41">
        <f>+MONTH(B738)</f>
        <v>12</v>
      </c>
      <c r="T738" s="41">
        <f>+YEAR(B738)</f>
        <v>2025</v>
      </c>
      <c r="U738" s="41" t="s">
        <v>364</v>
      </c>
    </row>
    <row r="739" spans="1:21" ht="15" customHeight="1" x14ac:dyDescent="0.3">
      <c r="A739" s="41"/>
      <c r="B739" s="20">
        <v>45993</v>
      </c>
      <c r="C739" s="41"/>
      <c r="D739" s="41" t="s">
        <v>471</v>
      </c>
      <c r="E739" s="41" t="s">
        <v>1037</v>
      </c>
      <c r="F739" s="41" t="s">
        <v>380</v>
      </c>
      <c r="G739" s="41" t="s">
        <v>53</v>
      </c>
      <c r="H739" s="55">
        <v>9391.31</v>
      </c>
      <c r="I739" s="56">
        <v>0.15</v>
      </c>
      <c r="J739" s="55">
        <v>1620</v>
      </c>
      <c r="K739" s="55">
        <v>1293.4191447499998</v>
      </c>
      <c r="L739" s="55">
        <v>1408.69</v>
      </c>
      <c r="M739" s="41" t="s">
        <v>10</v>
      </c>
      <c r="N739" s="41" t="s">
        <v>54</v>
      </c>
      <c r="O739" s="41" t="s">
        <v>55</v>
      </c>
      <c r="P739" s="57">
        <v>46022</v>
      </c>
      <c r="Q739" s="41">
        <f>+H739+L739</f>
        <v>10800</v>
      </c>
      <c r="R739" s="41">
        <f>+J739+K739+L739</f>
        <v>4322.1091447500003</v>
      </c>
      <c r="S739" s="41">
        <f>+MONTH(B739)</f>
        <v>12</v>
      </c>
      <c r="T739" s="41">
        <f>+YEAR(B739)</f>
        <v>2025</v>
      </c>
      <c r="U739" s="41" t="s">
        <v>364</v>
      </c>
    </row>
    <row r="740" spans="1:21" ht="15" customHeight="1" x14ac:dyDescent="0.3">
      <c r="A740" s="41"/>
      <c r="B740" s="20">
        <v>46007</v>
      </c>
      <c r="C740" s="41"/>
      <c r="D740" s="41" t="s">
        <v>1038</v>
      </c>
      <c r="E740" s="41" t="s">
        <v>875</v>
      </c>
      <c r="F740" s="41" t="s">
        <v>876</v>
      </c>
      <c r="G740" s="41" t="s">
        <v>53</v>
      </c>
      <c r="H740" s="55">
        <v>268.48</v>
      </c>
      <c r="I740" s="56">
        <v>0.13500000000000001</v>
      </c>
      <c r="J740" s="55">
        <v>41.681250000000006</v>
      </c>
      <c r="K740" s="55">
        <v>41.607957999999996</v>
      </c>
      <c r="L740" s="55">
        <v>40.270000000000003</v>
      </c>
      <c r="M740" s="41" t="s">
        <v>10</v>
      </c>
      <c r="N740" s="41" t="s">
        <v>54</v>
      </c>
      <c r="O740" s="41" t="s">
        <v>55</v>
      </c>
      <c r="P740" s="57">
        <v>46022</v>
      </c>
      <c r="Q740" s="41">
        <f>+H740+L740</f>
        <v>308.75</v>
      </c>
      <c r="R740" s="41">
        <f>+J740+K740+L740</f>
        <v>123.55920800000001</v>
      </c>
      <c r="S740" s="41">
        <f>+MONTH(B740)</f>
        <v>12</v>
      </c>
      <c r="T740" s="41">
        <f>+YEAR(B740)</f>
        <v>2025</v>
      </c>
      <c r="U740" s="41" t="s">
        <v>364</v>
      </c>
    </row>
    <row r="741" spans="1:21" ht="15" customHeight="1" x14ac:dyDescent="0.3">
      <c r="A741" s="41"/>
      <c r="B741" s="20">
        <v>46003</v>
      </c>
      <c r="C741" s="41"/>
      <c r="D741" s="41" t="s">
        <v>475</v>
      </c>
      <c r="E741" s="41" t="s">
        <v>1039</v>
      </c>
      <c r="F741" s="41" t="s">
        <v>615</v>
      </c>
      <c r="G741" s="41" t="s">
        <v>53</v>
      </c>
      <c r="H741" s="55">
        <v>2211.13</v>
      </c>
      <c r="I741" s="56">
        <v>0.15</v>
      </c>
      <c r="J741" s="55">
        <v>381.42</v>
      </c>
      <c r="K741" s="55">
        <v>304.52780424999997</v>
      </c>
      <c r="L741" s="55">
        <v>331.67</v>
      </c>
      <c r="M741" s="41" t="s">
        <v>10</v>
      </c>
      <c r="N741" s="41" t="s">
        <v>54</v>
      </c>
      <c r="O741" s="41" t="s">
        <v>55</v>
      </c>
      <c r="P741" s="57">
        <v>46022</v>
      </c>
      <c r="Q741" s="41">
        <f>+H741+L741</f>
        <v>2542.8000000000002</v>
      </c>
      <c r="R741" s="41">
        <f>+J741+K741+L741</f>
        <v>1017.6178042500001</v>
      </c>
      <c r="S741" s="41">
        <f>+MONTH(B741)</f>
        <v>12</v>
      </c>
      <c r="T741" s="41">
        <f>+YEAR(B741)</f>
        <v>2025</v>
      </c>
      <c r="U741" s="41" t="s">
        <v>364</v>
      </c>
    </row>
    <row r="742" spans="1:21" ht="15" customHeight="1" x14ac:dyDescent="0.3">
      <c r="A742" s="41"/>
      <c r="B742" s="20">
        <v>46012</v>
      </c>
      <c r="C742" s="41"/>
      <c r="D742" s="41" t="s">
        <v>1040</v>
      </c>
      <c r="E742" s="41" t="s">
        <v>1041</v>
      </c>
      <c r="F742" s="41" t="s">
        <v>367</v>
      </c>
      <c r="G742" s="41" t="s">
        <v>53</v>
      </c>
      <c r="H742" s="55">
        <v>173.91</v>
      </c>
      <c r="I742" s="56">
        <v>0.14000000000000001</v>
      </c>
      <c r="J742" s="55">
        <v>28.000000000000004</v>
      </c>
      <c r="K742" s="55">
        <v>25.951229749999992</v>
      </c>
      <c r="L742" s="55">
        <v>26.09</v>
      </c>
      <c r="M742" s="41" t="s">
        <v>10</v>
      </c>
      <c r="N742" s="41" t="s">
        <v>54</v>
      </c>
      <c r="O742" s="41" t="s">
        <v>55</v>
      </c>
      <c r="P742" s="57">
        <v>46022</v>
      </c>
      <c r="Q742" s="41">
        <f>+H742+L742</f>
        <v>200</v>
      </c>
      <c r="R742" s="41">
        <f>+J742+K742+L742</f>
        <v>80.041229749999999</v>
      </c>
      <c r="S742" s="41">
        <f>+MONTH(B742)</f>
        <v>12</v>
      </c>
      <c r="T742" s="41">
        <f>+YEAR(B742)</f>
        <v>2025</v>
      </c>
      <c r="U742" s="41" t="s">
        <v>364</v>
      </c>
    </row>
    <row r="743" spans="1:21" ht="15" customHeight="1" x14ac:dyDescent="0.3">
      <c r="A743" s="41"/>
      <c r="B743" s="20">
        <v>46001</v>
      </c>
      <c r="C743" s="41"/>
      <c r="D743" s="41" t="s">
        <v>1042</v>
      </c>
      <c r="E743" s="41" t="s">
        <v>1043</v>
      </c>
      <c r="F743" s="41" t="s">
        <v>363</v>
      </c>
      <c r="G743" s="41" t="s">
        <v>53</v>
      </c>
      <c r="H743" s="55">
        <v>86.96</v>
      </c>
      <c r="I743" s="56">
        <v>0.17499999999999999</v>
      </c>
      <c r="J743" s="55">
        <v>17.5</v>
      </c>
      <c r="K743" s="55">
        <v>9.4771659999999969</v>
      </c>
      <c r="L743" s="55">
        <v>13.04</v>
      </c>
      <c r="M743" s="41" t="s">
        <v>10</v>
      </c>
      <c r="N743" s="41" t="s">
        <v>54</v>
      </c>
      <c r="O743" s="41" t="s">
        <v>55</v>
      </c>
      <c r="P743" s="57">
        <v>46022</v>
      </c>
      <c r="Q743" s="41">
        <f>+H743+L743</f>
        <v>100</v>
      </c>
      <c r="R743" s="41">
        <f>+J743+K743+L743</f>
        <v>40.017165999999996</v>
      </c>
      <c r="S743" s="41">
        <f>+MONTH(B743)</f>
        <v>12</v>
      </c>
      <c r="T743" s="41">
        <f>+YEAR(B743)</f>
        <v>2025</v>
      </c>
      <c r="U743" s="41" t="s">
        <v>364</v>
      </c>
    </row>
    <row r="744" spans="1:21" ht="15" customHeight="1" x14ac:dyDescent="0.3">
      <c r="A744" s="41"/>
      <c r="B744" s="20">
        <v>46021</v>
      </c>
      <c r="C744" s="41"/>
      <c r="D744" s="41" t="s">
        <v>1044</v>
      </c>
      <c r="E744" s="41" t="s">
        <v>870</v>
      </c>
      <c r="F744" s="41" t="s">
        <v>363</v>
      </c>
      <c r="G744" s="41" t="s">
        <v>53</v>
      </c>
      <c r="H744" s="55">
        <v>208.96</v>
      </c>
      <c r="I744" s="56">
        <v>0.17499999999999999</v>
      </c>
      <c r="J744" s="55">
        <v>42.052500000000002</v>
      </c>
      <c r="K744" s="55">
        <v>22.77211599999999</v>
      </c>
      <c r="L744" s="55">
        <v>31.34</v>
      </c>
      <c r="M744" s="41" t="s">
        <v>10</v>
      </c>
      <c r="N744" s="41" t="s">
        <v>54</v>
      </c>
      <c r="O744" s="41" t="s">
        <v>55</v>
      </c>
      <c r="P744" s="57">
        <v>46022</v>
      </c>
      <c r="Q744" s="41">
        <f>+H744+L744</f>
        <v>240.3</v>
      </c>
      <c r="R744" s="41">
        <f>+J744+K744+L744</f>
        <v>96.164615999999995</v>
      </c>
      <c r="S744" s="41">
        <f>+MONTH(B744)</f>
        <v>12</v>
      </c>
      <c r="T744" s="41">
        <f>+YEAR(B744)</f>
        <v>2025</v>
      </c>
      <c r="U744" s="41" t="s">
        <v>364</v>
      </c>
    </row>
    <row r="745" spans="1:21" ht="15" customHeight="1" x14ac:dyDescent="0.3">
      <c r="A745" s="41"/>
      <c r="B745" s="20">
        <v>46007</v>
      </c>
      <c r="C745" s="41"/>
      <c r="D745" s="41" t="s">
        <v>1045</v>
      </c>
      <c r="E745" s="41" t="s">
        <v>875</v>
      </c>
      <c r="F745" s="41" t="s">
        <v>876</v>
      </c>
      <c r="G745" s="41" t="s">
        <v>53</v>
      </c>
      <c r="H745" s="55">
        <v>300.89999999999998</v>
      </c>
      <c r="I745" s="56">
        <v>0.13500000000000001</v>
      </c>
      <c r="J745" s="55">
        <v>46.71405</v>
      </c>
      <c r="K745" s="55">
        <v>46.632652499999978</v>
      </c>
      <c r="L745" s="55">
        <v>45.13</v>
      </c>
      <c r="M745" s="41" t="s">
        <v>10</v>
      </c>
      <c r="N745" s="41" t="s">
        <v>54</v>
      </c>
      <c r="O745" s="41" t="s">
        <v>55</v>
      </c>
      <c r="P745" s="57">
        <v>46022</v>
      </c>
      <c r="Q745" s="41">
        <f>+H745+L745</f>
        <v>346.03</v>
      </c>
      <c r="R745" s="41">
        <f>+J745+K745+L745</f>
        <v>138.47670249999999</v>
      </c>
      <c r="S745" s="41">
        <f>+MONTH(B745)</f>
        <v>12</v>
      </c>
      <c r="T745" s="41">
        <f>+YEAR(B745)</f>
        <v>2025</v>
      </c>
      <c r="U745" s="41" t="s">
        <v>364</v>
      </c>
    </row>
    <row r="746" spans="1:21" ht="15" customHeight="1" x14ac:dyDescent="0.3">
      <c r="A746" s="41"/>
      <c r="B746" s="20">
        <v>45993</v>
      </c>
      <c r="C746" s="41"/>
      <c r="D746" s="41" t="s">
        <v>473</v>
      </c>
      <c r="E746" s="41" t="s">
        <v>1046</v>
      </c>
      <c r="F746" s="41" t="s">
        <v>380</v>
      </c>
      <c r="G746" s="41" t="s">
        <v>53</v>
      </c>
      <c r="H746" s="55">
        <v>20869.580000000002</v>
      </c>
      <c r="I746" s="56">
        <v>0.15</v>
      </c>
      <c r="J746" s="55">
        <v>3600</v>
      </c>
      <c r="K746" s="55">
        <v>2874.2654554999999</v>
      </c>
      <c r="L746" s="55">
        <v>3130.42</v>
      </c>
      <c r="M746" s="41" t="s">
        <v>10</v>
      </c>
      <c r="N746" s="41" t="s">
        <v>54</v>
      </c>
      <c r="O746" s="41" t="s">
        <v>55</v>
      </c>
      <c r="P746" s="57">
        <v>46022</v>
      </c>
      <c r="Q746" s="41">
        <f>+H746+L746</f>
        <v>24000</v>
      </c>
      <c r="R746" s="41">
        <f>+J746+K746+L746</f>
        <v>9604.6854554999991</v>
      </c>
      <c r="S746" s="41">
        <f>+MONTH(B746)</f>
        <v>12</v>
      </c>
      <c r="T746" s="41">
        <f>+YEAR(B746)</f>
        <v>2025</v>
      </c>
      <c r="U746" s="41" t="s">
        <v>364</v>
      </c>
    </row>
    <row r="747" spans="1:21" ht="15" customHeight="1" x14ac:dyDescent="0.3">
      <c r="A747" s="41"/>
      <c r="B747" s="20">
        <v>45993</v>
      </c>
      <c r="C747" s="41"/>
      <c r="D747" s="41" t="s">
        <v>1047</v>
      </c>
      <c r="E747" s="41" t="s">
        <v>865</v>
      </c>
      <c r="F747" s="41" t="s">
        <v>363</v>
      </c>
      <c r="G747" s="41" t="s">
        <v>53</v>
      </c>
      <c r="H747" s="55">
        <v>212.81</v>
      </c>
      <c r="I747" s="56">
        <v>0.17499999999999999</v>
      </c>
      <c r="J747" s="55">
        <v>42.827750000000002</v>
      </c>
      <c r="K747" s="55">
        <v>23.191232249999992</v>
      </c>
      <c r="L747" s="55">
        <v>31.92</v>
      </c>
      <c r="M747" s="41" t="s">
        <v>10</v>
      </c>
      <c r="N747" s="41" t="s">
        <v>54</v>
      </c>
      <c r="O747" s="41" t="s">
        <v>55</v>
      </c>
      <c r="P747" s="57">
        <v>46022</v>
      </c>
      <c r="Q747" s="41">
        <f>+H747+L747</f>
        <v>244.73000000000002</v>
      </c>
      <c r="R747" s="41">
        <f>+J747+K747+L747</f>
        <v>97.938982249999995</v>
      </c>
      <c r="S747" s="41">
        <f>+MONTH(B747)</f>
        <v>12</v>
      </c>
      <c r="T747" s="41">
        <f>+YEAR(B747)</f>
        <v>2025</v>
      </c>
      <c r="U747" s="41" t="s">
        <v>364</v>
      </c>
    </row>
    <row r="748" spans="1:21" ht="15" customHeight="1" x14ac:dyDescent="0.3">
      <c r="A748" s="41"/>
      <c r="B748" s="20">
        <v>46013</v>
      </c>
      <c r="C748" s="41"/>
      <c r="D748" s="41" t="s">
        <v>465</v>
      </c>
      <c r="E748" s="41" t="s">
        <v>375</v>
      </c>
      <c r="F748" s="41" t="s">
        <v>363</v>
      </c>
      <c r="G748" s="41" t="s">
        <v>53</v>
      </c>
      <c r="H748" s="55">
        <v>173.91</v>
      </c>
      <c r="I748" s="56">
        <v>0.17499999999999999</v>
      </c>
      <c r="J748" s="55">
        <v>35</v>
      </c>
      <c r="K748" s="55">
        <v>18.951229749999996</v>
      </c>
      <c r="L748" s="55">
        <v>26.09</v>
      </c>
      <c r="M748" s="41" t="s">
        <v>10</v>
      </c>
      <c r="N748" s="41" t="s">
        <v>54</v>
      </c>
      <c r="O748" s="41" t="s">
        <v>55</v>
      </c>
      <c r="P748" s="57">
        <v>46022</v>
      </c>
      <c r="Q748" s="41">
        <f>+H748+L748</f>
        <v>200</v>
      </c>
      <c r="R748" s="41">
        <f>+J748+K748+L748</f>
        <v>80.041229749999999</v>
      </c>
      <c r="S748" s="41">
        <f>+MONTH(B748)</f>
        <v>12</v>
      </c>
      <c r="T748" s="41">
        <f>+YEAR(B748)</f>
        <v>2025</v>
      </c>
      <c r="U748" s="41" t="s">
        <v>364</v>
      </c>
    </row>
    <row r="749" spans="1:21" ht="15" customHeight="1" x14ac:dyDescent="0.3">
      <c r="A749" s="41"/>
      <c r="B749" s="20">
        <v>46012</v>
      </c>
      <c r="C749" s="41"/>
      <c r="D749" s="41" t="s">
        <v>1048</v>
      </c>
      <c r="E749" s="41" t="s">
        <v>1049</v>
      </c>
      <c r="F749" s="41" t="s">
        <v>367</v>
      </c>
      <c r="G749" s="41" t="s">
        <v>53</v>
      </c>
      <c r="H749" s="55">
        <v>234.78</v>
      </c>
      <c r="I749" s="56">
        <v>0.14000000000000001</v>
      </c>
      <c r="J749" s="55">
        <v>37.800000000000004</v>
      </c>
      <c r="K749" s="55">
        <v>35.034625499999983</v>
      </c>
      <c r="L749" s="55">
        <v>35.22</v>
      </c>
      <c r="M749" s="41" t="s">
        <v>10</v>
      </c>
      <c r="N749" s="41" t="s">
        <v>54</v>
      </c>
      <c r="O749" s="41" t="s">
        <v>55</v>
      </c>
      <c r="P749" s="57">
        <v>46022</v>
      </c>
      <c r="Q749" s="41">
        <f>+H749+L749</f>
        <v>270</v>
      </c>
      <c r="R749" s="41">
        <f>+J749+K749+L749</f>
        <v>108.05462549999999</v>
      </c>
      <c r="S749" s="41">
        <f>+MONTH(B749)</f>
        <v>12</v>
      </c>
      <c r="T749" s="41">
        <f>+YEAR(B749)</f>
        <v>2025</v>
      </c>
      <c r="U749" s="41" t="s">
        <v>364</v>
      </c>
    </row>
    <row r="750" spans="1:21" ht="15" customHeight="1" x14ac:dyDescent="0.3">
      <c r="A750" s="41"/>
      <c r="B750" s="20">
        <v>45994</v>
      </c>
      <c r="C750" s="41"/>
      <c r="D750" s="41" t="s">
        <v>466</v>
      </c>
      <c r="E750" s="41" t="s">
        <v>1050</v>
      </c>
      <c r="F750" s="41" t="s">
        <v>380</v>
      </c>
      <c r="G750" s="41" t="s">
        <v>53</v>
      </c>
      <c r="H750" s="55">
        <v>9391.31</v>
      </c>
      <c r="I750" s="56">
        <v>0.15</v>
      </c>
      <c r="J750" s="55">
        <v>1620</v>
      </c>
      <c r="K750" s="55">
        <v>1293.4191447499998</v>
      </c>
      <c r="L750" s="55">
        <v>1408.69</v>
      </c>
      <c r="M750" s="41" t="s">
        <v>10</v>
      </c>
      <c r="N750" s="41" t="s">
        <v>54</v>
      </c>
      <c r="O750" s="41" t="s">
        <v>55</v>
      </c>
      <c r="P750" s="57">
        <v>46022</v>
      </c>
      <c r="Q750" s="41">
        <f>+H750+L750</f>
        <v>10800</v>
      </c>
      <c r="R750" s="41">
        <f>+J750+K750+L750</f>
        <v>4322.1091447500003</v>
      </c>
      <c r="S750" s="41">
        <f>+MONTH(B750)</f>
        <v>12</v>
      </c>
      <c r="T750" s="41">
        <f>+YEAR(B750)</f>
        <v>2025</v>
      </c>
      <c r="U750" s="41" t="s">
        <v>364</v>
      </c>
    </row>
    <row r="751" spans="1:21" ht="15" customHeight="1" x14ac:dyDescent="0.3">
      <c r="A751" s="41"/>
      <c r="B751" s="20">
        <v>45993</v>
      </c>
      <c r="C751" s="41"/>
      <c r="D751" s="41" t="s">
        <v>469</v>
      </c>
      <c r="E751" s="41" t="s">
        <v>1046</v>
      </c>
      <c r="F751" s="41" t="s">
        <v>380</v>
      </c>
      <c r="G751" s="41" t="s">
        <v>53</v>
      </c>
      <c r="H751" s="55">
        <v>9391.31</v>
      </c>
      <c r="I751" s="56">
        <v>0.15</v>
      </c>
      <c r="J751" s="55">
        <v>1620</v>
      </c>
      <c r="K751" s="55">
        <v>1293.4191447499998</v>
      </c>
      <c r="L751" s="55">
        <v>1408.69</v>
      </c>
      <c r="M751" s="41" t="s">
        <v>10</v>
      </c>
      <c r="N751" s="41" t="s">
        <v>54</v>
      </c>
      <c r="O751" s="41" t="s">
        <v>55</v>
      </c>
      <c r="P751" s="57">
        <v>46022</v>
      </c>
      <c r="Q751" s="41">
        <f>+H751+L751</f>
        <v>10800</v>
      </c>
      <c r="R751" s="41">
        <f>+J751+K751+L751</f>
        <v>4322.1091447500003</v>
      </c>
      <c r="S751" s="41">
        <f>+MONTH(B751)</f>
        <v>12</v>
      </c>
      <c r="T751" s="41">
        <f>+YEAR(B751)</f>
        <v>2025</v>
      </c>
      <c r="U751" s="41" t="s">
        <v>364</v>
      </c>
    </row>
    <row r="752" spans="1:21" ht="15" customHeight="1" x14ac:dyDescent="0.3">
      <c r="A752" s="41"/>
      <c r="B752" s="20">
        <v>45993</v>
      </c>
      <c r="C752" s="41"/>
      <c r="D752" s="41" t="s">
        <v>468</v>
      </c>
      <c r="E752" s="41" t="s">
        <v>1050</v>
      </c>
      <c r="F752" s="41" t="s">
        <v>380</v>
      </c>
      <c r="G752" s="41" t="s">
        <v>53</v>
      </c>
      <c r="H752" s="55">
        <v>20869.580000000002</v>
      </c>
      <c r="I752" s="56">
        <v>0.15</v>
      </c>
      <c r="J752" s="55">
        <v>3600</v>
      </c>
      <c r="K752" s="55">
        <v>2874.2654554999999</v>
      </c>
      <c r="L752" s="55">
        <v>3130.42</v>
      </c>
      <c r="M752" s="41" t="s">
        <v>10</v>
      </c>
      <c r="N752" s="41" t="s">
        <v>54</v>
      </c>
      <c r="O752" s="41" t="s">
        <v>55</v>
      </c>
      <c r="P752" s="57">
        <v>46022</v>
      </c>
      <c r="Q752" s="41">
        <f>+H752+L752</f>
        <v>24000</v>
      </c>
      <c r="R752" s="41">
        <f>+J752+K752+L752</f>
        <v>9604.6854554999991</v>
      </c>
      <c r="S752" s="41">
        <f>+MONTH(B752)</f>
        <v>12</v>
      </c>
      <c r="T752" s="41">
        <f>+YEAR(B752)</f>
        <v>2025</v>
      </c>
      <c r="U752" s="41" t="s">
        <v>364</v>
      </c>
    </row>
    <row r="753" spans="1:21" ht="15" customHeight="1" x14ac:dyDescent="0.3">
      <c r="A753" s="41"/>
      <c r="B753" s="20">
        <v>46018</v>
      </c>
      <c r="C753" s="41"/>
      <c r="D753" s="41" t="s">
        <v>1051</v>
      </c>
      <c r="E753" s="41" t="s">
        <v>870</v>
      </c>
      <c r="F753" s="41" t="s">
        <v>363</v>
      </c>
      <c r="G753" s="41" t="s">
        <v>53</v>
      </c>
      <c r="H753" s="55">
        <v>152.61000000000001</v>
      </c>
      <c r="I753" s="56">
        <v>0.17499999999999999</v>
      </c>
      <c r="J753" s="55">
        <v>30.712499999999999</v>
      </c>
      <c r="K753" s="55">
        <v>16.630937250000002</v>
      </c>
      <c r="L753" s="55">
        <v>22.89</v>
      </c>
      <c r="M753" s="41" t="s">
        <v>10</v>
      </c>
      <c r="N753" s="41" t="s">
        <v>54</v>
      </c>
      <c r="O753" s="41" t="s">
        <v>55</v>
      </c>
      <c r="P753" s="57">
        <v>46022</v>
      </c>
      <c r="Q753" s="41">
        <f>+H753+L753</f>
        <v>175.5</v>
      </c>
      <c r="R753" s="41">
        <f>+J753+K753+L753</f>
        <v>70.233437250000009</v>
      </c>
      <c r="S753" s="41">
        <f>+MONTH(B753)</f>
        <v>12</v>
      </c>
      <c r="T753" s="41">
        <f>+YEAR(B753)</f>
        <v>2025</v>
      </c>
      <c r="U753" s="41" t="s">
        <v>364</v>
      </c>
    </row>
    <row r="754" spans="1:21" ht="15" customHeight="1" x14ac:dyDescent="0.3">
      <c r="A754" s="41"/>
      <c r="B754" s="20">
        <v>45993</v>
      </c>
      <c r="C754" s="41"/>
      <c r="D754" s="41" t="s">
        <v>1052</v>
      </c>
      <c r="E754" s="41" t="s">
        <v>1043</v>
      </c>
      <c r="F754" s="41" t="s">
        <v>363</v>
      </c>
      <c r="G754" s="41" t="s">
        <v>53</v>
      </c>
      <c r="H754" s="55">
        <v>86.96</v>
      </c>
      <c r="I754" s="56">
        <v>0.17499999999999999</v>
      </c>
      <c r="J754" s="55">
        <v>17.5</v>
      </c>
      <c r="K754" s="55">
        <v>9.4771659999999969</v>
      </c>
      <c r="L754" s="55">
        <v>13.04</v>
      </c>
      <c r="M754" s="41" t="s">
        <v>10</v>
      </c>
      <c r="N754" s="41" t="s">
        <v>54</v>
      </c>
      <c r="O754" s="41" t="s">
        <v>55</v>
      </c>
      <c r="P754" s="57">
        <v>46022</v>
      </c>
      <c r="Q754" s="41">
        <f>+H754+L754</f>
        <v>100</v>
      </c>
      <c r="R754" s="41">
        <f>+J754+K754+L754</f>
        <v>40.017165999999996</v>
      </c>
      <c r="S754" s="41">
        <f>+MONTH(B754)</f>
        <v>12</v>
      </c>
      <c r="T754" s="41">
        <f>+YEAR(B754)</f>
        <v>2025</v>
      </c>
      <c r="U754" s="41" t="s">
        <v>364</v>
      </c>
    </row>
    <row r="755" spans="1:21" ht="15" customHeight="1" x14ac:dyDescent="0.3">
      <c r="A755" s="10">
        <v>45436</v>
      </c>
      <c r="B755" s="10">
        <v>46053</v>
      </c>
      <c r="C755" s="10">
        <v>46064</v>
      </c>
      <c r="D755" s="11" t="s">
        <v>499</v>
      </c>
      <c r="E755" s="11" t="s">
        <v>140</v>
      </c>
      <c r="F755" s="11" t="s">
        <v>84</v>
      </c>
      <c r="G755" s="11" t="s">
        <v>53</v>
      </c>
      <c r="H755" s="12">
        <v>688.52</v>
      </c>
      <c r="I755" s="13">
        <v>0.17500000000000002</v>
      </c>
      <c r="J755" s="12">
        <v>138.565</v>
      </c>
      <c r="K755" s="12">
        <v>73.929484999999971</v>
      </c>
      <c r="L755" s="12">
        <v>103.27999999999999</v>
      </c>
      <c r="M755" t="s">
        <v>10</v>
      </c>
      <c r="N755" t="s">
        <v>85</v>
      </c>
      <c r="O755" t="s">
        <v>55</v>
      </c>
      <c r="P755" s="19">
        <v>46081</v>
      </c>
      <c r="Q755" s="47">
        <f>+H755+L755</f>
        <v>791.8</v>
      </c>
      <c r="R755" s="47">
        <f>+J755+K755+L755</f>
        <v>315.77448499999997</v>
      </c>
      <c r="S755" s="47">
        <f>+MONTH(B755)</f>
        <v>1</v>
      </c>
      <c r="T755" s="47">
        <f>+YEAR(B755)</f>
        <v>2026</v>
      </c>
      <c r="U755" s="47" t="s">
        <v>364</v>
      </c>
    </row>
    <row r="756" spans="1:21" ht="15" customHeight="1" x14ac:dyDescent="0.3">
      <c r="A756" s="10">
        <v>45299</v>
      </c>
      <c r="B756" s="10">
        <v>46023</v>
      </c>
      <c r="C756" s="10">
        <v>46034</v>
      </c>
      <c r="D756" s="11" t="s">
        <v>191</v>
      </c>
      <c r="E756" s="11" t="s">
        <v>140</v>
      </c>
      <c r="F756" s="11" t="s">
        <v>84</v>
      </c>
      <c r="G756" s="11" t="s">
        <v>53</v>
      </c>
      <c r="H756" s="12">
        <v>687.43</v>
      </c>
      <c r="I756" s="13">
        <v>0.17500000000000002</v>
      </c>
      <c r="J756" s="12">
        <v>138.34450000000001</v>
      </c>
      <c r="K756" s="12">
        <v>73.813583749999964</v>
      </c>
      <c r="L756" s="12">
        <v>103.11</v>
      </c>
      <c r="M756" t="s">
        <v>10</v>
      </c>
      <c r="N756" t="s">
        <v>85</v>
      </c>
      <c r="O756" t="s">
        <v>55</v>
      </c>
      <c r="P756" s="19">
        <v>46053</v>
      </c>
      <c r="Q756">
        <f>+H756+L756</f>
        <v>790.54</v>
      </c>
      <c r="R756">
        <f>+J756+K756+L756</f>
        <v>315.26808374999996</v>
      </c>
      <c r="S756">
        <f>+MONTH(B756)</f>
        <v>1</v>
      </c>
      <c r="T756">
        <f>+YEAR(B756)</f>
        <v>2026</v>
      </c>
      <c r="U756" t="s">
        <v>42</v>
      </c>
    </row>
    <row r="757" spans="1:21" ht="15" customHeight="1" x14ac:dyDescent="0.3">
      <c r="A757" s="10">
        <v>45299</v>
      </c>
      <c r="B757" s="10">
        <v>46023</v>
      </c>
      <c r="C757" s="10">
        <v>46034</v>
      </c>
      <c r="D757" s="11" t="s">
        <v>180</v>
      </c>
      <c r="E757" s="11" t="s">
        <v>140</v>
      </c>
      <c r="F757" s="11" t="s">
        <v>84</v>
      </c>
      <c r="G757" s="11" t="s">
        <v>53</v>
      </c>
      <c r="H757" s="12">
        <v>687.21</v>
      </c>
      <c r="I757" s="13">
        <v>0.17499999999999996</v>
      </c>
      <c r="J757" s="12">
        <v>138.30074999999999</v>
      </c>
      <c r="K757" s="12">
        <v>73.789436249999994</v>
      </c>
      <c r="L757" s="12">
        <v>103.08</v>
      </c>
      <c r="M757" t="s">
        <v>10</v>
      </c>
      <c r="N757" t="s">
        <v>85</v>
      </c>
      <c r="O757" t="s">
        <v>55</v>
      </c>
      <c r="P757" s="19">
        <v>46053</v>
      </c>
      <c r="Q757">
        <f>+H757+L757</f>
        <v>790.29000000000008</v>
      </c>
      <c r="R757">
        <f>+J757+K757+L757</f>
        <v>315.17018624999997</v>
      </c>
      <c r="S757">
        <f>+MONTH(B757)</f>
        <v>1</v>
      </c>
      <c r="T757">
        <f>+YEAR(B757)</f>
        <v>2026</v>
      </c>
      <c r="U757" t="s">
        <v>42</v>
      </c>
    </row>
    <row r="758" spans="1:21" ht="15" customHeight="1" x14ac:dyDescent="0.3">
      <c r="A758" s="10">
        <v>46031</v>
      </c>
      <c r="B758" s="10">
        <v>46031</v>
      </c>
      <c r="C758" s="10">
        <v>46031</v>
      </c>
      <c r="D758" s="11" t="s">
        <v>108</v>
      </c>
      <c r="E758" s="11" t="s">
        <v>109</v>
      </c>
      <c r="F758" s="11" t="s">
        <v>84</v>
      </c>
      <c r="G758" s="11" t="s">
        <v>53</v>
      </c>
      <c r="H758" s="12">
        <v>665.69</v>
      </c>
      <c r="I758" s="13">
        <v>0.17499999999999996</v>
      </c>
      <c r="J758" s="12">
        <v>133.96949999999998</v>
      </c>
      <c r="K758" s="12">
        <v>73.875560250000063</v>
      </c>
      <c r="L758" s="12">
        <v>99.85</v>
      </c>
      <c r="M758" t="s">
        <v>10</v>
      </c>
      <c r="N758" t="s">
        <v>54</v>
      </c>
      <c r="O758" t="s">
        <v>41</v>
      </c>
      <c r="P758" s="19">
        <v>46053</v>
      </c>
      <c r="Q758">
        <f>+H758+L758</f>
        <v>765.54000000000008</v>
      </c>
      <c r="R758">
        <f>+J758+K758+L758</f>
        <v>307.69506025000004</v>
      </c>
      <c r="S758">
        <f>+MONTH(B758)</f>
        <v>1</v>
      </c>
      <c r="T758">
        <f>+YEAR(B758)</f>
        <v>2026</v>
      </c>
      <c r="U758" t="s">
        <v>42</v>
      </c>
    </row>
    <row r="759" spans="1:21" ht="15" customHeight="1" x14ac:dyDescent="0.3">
      <c r="A759" s="10">
        <v>44707</v>
      </c>
      <c r="B759" s="10">
        <v>46023</v>
      </c>
      <c r="C759" s="10">
        <v>46049</v>
      </c>
      <c r="D759" s="11" t="s">
        <v>264</v>
      </c>
      <c r="E759" s="11" t="s">
        <v>246</v>
      </c>
      <c r="F759" s="11" t="s">
        <v>84</v>
      </c>
      <c r="G759" s="11" t="s">
        <v>53</v>
      </c>
      <c r="H759" s="12">
        <v>651.17999999999984</v>
      </c>
      <c r="I759" s="13">
        <v>0.17500000000000002</v>
      </c>
      <c r="J759" s="12">
        <v>131.0505</v>
      </c>
      <c r="K759" s="12">
        <v>63.977909999999952</v>
      </c>
      <c r="L759" s="12">
        <v>97.68</v>
      </c>
      <c r="M759" t="s">
        <v>10</v>
      </c>
      <c r="N759" t="s">
        <v>85</v>
      </c>
      <c r="O759" t="s">
        <v>55</v>
      </c>
      <c r="P759" s="19">
        <v>46053</v>
      </c>
      <c r="Q759">
        <f>+H759+L759</f>
        <v>748.8599999999999</v>
      </c>
      <c r="R759">
        <f>+J759+K759+L759</f>
        <v>292.70840999999996</v>
      </c>
      <c r="S759">
        <f>+MONTH(B759)</f>
        <v>1</v>
      </c>
      <c r="T759">
        <f>+YEAR(B759)</f>
        <v>2026</v>
      </c>
      <c r="U759" t="s">
        <v>42</v>
      </c>
    </row>
    <row r="760" spans="1:21" ht="15" customHeight="1" x14ac:dyDescent="0.3">
      <c r="A760" s="10">
        <v>44701</v>
      </c>
      <c r="B760" s="10">
        <v>46023</v>
      </c>
      <c r="C760" s="10">
        <v>46049</v>
      </c>
      <c r="D760" s="11" t="s">
        <v>253</v>
      </c>
      <c r="E760" s="11" t="s">
        <v>246</v>
      </c>
      <c r="F760" s="11" t="s">
        <v>84</v>
      </c>
      <c r="G760" s="11" t="s">
        <v>53</v>
      </c>
      <c r="H760" s="12">
        <v>642.10000000000014</v>
      </c>
      <c r="I760" s="13">
        <v>0.17499999999999996</v>
      </c>
      <c r="J760" s="12">
        <v>129.22174999999999</v>
      </c>
      <c r="K760" s="12">
        <v>63.087200000000053</v>
      </c>
      <c r="L760" s="12">
        <v>96.31</v>
      </c>
      <c r="M760" t="s">
        <v>10</v>
      </c>
      <c r="N760" t="s">
        <v>85</v>
      </c>
      <c r="O760" t="s">
        <v>55</v>
      </c>
      <c r="P760" s="19">
        <v>46053</v>
      </c>
      <c r="Q760">
        <f>+H760+L760</f>
        <v>738.41000000000008</v>
      </c>
      <c r="R760">
        <f>+J760+K760+L760</f>
        <v>288.61895000000004</v>
      </c>
      <c r="S760">
        <f>+MONTH(B760)</f>
        <v>1</v>
      </c>
      <c r="T760">
        <f>+YEAR(B760)</f>
        <v>2026</v>
      </c>
      <c r="U760" t="s">
        <v>42</v>
      </c>
    </row>
    <row r="761" spans="1:21" ht="15" customHeight="1" x14ac:dyDescent="0.3">
      <c r="A761" s="10">
        <v>44747</v>
      </c>
      <c r="B761" s="10">
        <v>46023</v>
      </c>
      <c r="C761" s="10">
        <v>46049</v>
      </c>
      <c r="D761" s="11" t="s">
        <v>267</v>
      </c>
      <c r="E761" s="11" t="s">
        <v>246</v>
      </c>
      <c r="F761" s="11" t="s">
        <v>84</v>
      </c>
      <c r="G761" s="11" t="s">
        <v>53</v>
      </c>
      <c r="H761" s="12">
        <v>626.34</v>
      </c>
      <c r="I761" s="13">
        <v>0.17499999999999999</v>
      </c>
      <c r="J761" s="12">
        <v>126.05075000000001</v>
      </c>
      <c r="K761" s="12">
        <v>61.538079999999994</v>
      </c>
      <c r="L761" s="12">
        <v>93.95</v>
      </c>
      <c r="M761" t="s">
        <v>10</v>
      </c>
      <c r="N761" t="s">
        <v>85</v>
      </c>
      <c r="O761" t="s">
        <v>55</v>
      </c>
      <c r="P761" s="19">
        <v>46053</v>
      </c>
      <c r="Q761">
        <f>+H761+L761</f>
        <v>720.29000000000008</v>
      </c>
      <c r="R761">
        <f>+J761+K761+L761</f>
        <v>281.53883000000002</v>
      </c>
      <c r="S761">
        <f>+MONTH(B761)</f>
        <v>1</v>
      </c>
      <c r="T761">
        <f>+YEAR(B761)</f>
        <v>2026</v>
      </c>
      <c r="U761" t="s">
        <v>42</v>
      </c>
    </row>
    <row r="762" spans="1:21" ht="15" customHeight="1" x14ac:dyDescent="0.3">
      <c r="A762" s="10">
        <v>44963</v>
      </c>
      <c r="B762" s="10">
        <v>46023</v>
      </c>
      <c r="C762" s="10">
        <v>46049</v>
      </c>
      <c r="D762" s="11" t="s">
        <v>289</v>
      </c>
      <c r="E762" s="11" t="s">
        <v>246</v>
      </c>
      <c r="F762" s="11" t="s">
        <v>84</v>
      </c>
      <c r="G762" s="11" t="s">
        <v>53</v>
      </c>
      <c r="H762" s="12">
        <v>623.30999999999995</v>
      </c>
      <c r="I762" s="13">
        <v>0.17500000000000002</v>
      </c>
      <c r="J762" s="12">
        <v>125.44</v>
      </c>
      <c r="K762" s="12">
        <v>61.241344999999967</v>
      </c>
      <c r="L762" s="12">
        <v>93.49</v>
      </c>
      <c r="M762" t="s">
        <v>10</v>
      </c>
      <c r="N762" t="s">
        <v>85</v>
      </c>
      <c r="O762" t="s">
        <v>55</v>
      </c>
      <c r="P762" s="19">
        <v>46053</v>
      </c>
      <c r="Q762">
        <f>+H762+L762</f>
        <v>716.8</v>
      </c>
      <c r="R762">
        <f>+J762+K762+L762</f>
        <v>280.17134499999997</v>
      </c>
      <c r="S762">
        <f>+MONTH(B762)</f>
        <v>1</v>
      </c>
      <c r="T762">
        <f>+YEAR(B762)</f>
        <v>2026</v>
      </c>
      <c r="U762" t="s">
        <v>42</v>
      </c>
    </row>
    <row r="763" spans="1:21" ht="15" customHeight="1" x14ac:dyDescent="0.3">
      <c r="A763" s="10">
        <v>45299</v>
      </c>
      <c r="B763" s="10">
        <v>46023</v>
      </c>
      <c r="C763" s="10">
        <v>46034</v>
      </c>
      <c r="D763" s="11" t="s">
        <v>141</v>
      </c>
      <c r="E763" s="11" t="s">
        <v>140</v>
      </c>
      <c r="F763" s="11" t="s">
        <v>84</v>
      </c>
      <c r="G763" s="11" t="s">
        <v>53</v>
      </c>
      <c r="H763" s="12">
        <v>605.98</v>
      </c>
      <c r="I763" s="13">
        <v>0.17499999999999999</v>
      </c>
      <c r="J763" s="12">
        <v>121.95399999999999</v>
      </c>
      <c r="K763" s="12">
        <v>65.066577500000008</v>
      </c>
      <c r="L763" s="12">
        <v>90.9</v>
      </c>
      <c r="M763" t="s">
        <v>10</v>
      </c>
      <c r="N763" t="s">
        <v>85</v>
      </c>
      <c r="O763" t="s">
        <v>55</v>
      </c>
      <c r="P763" s="19">
        <v>46053</v>
      </c>
      <c r="Q763">
        <f>+H763+L763</f>
        <v>696.88</v>
      </c>
      <c r="R763">
        <f>+J763+K763+L763</f>
        <v>277.92057750000004</v>
      </c>
      <c r="S763">
        <f>+MONTH(B763)</f>
        <v>1</v>
      </c>
      <c r="T763">
        <f>+YEAR(B763)</f>
        <v>2026</v>
      </c>
      <c r="U763" t="s">
        <v>42</v>
      </c>
    </row>
    <row r="764" spans="1:21" ht="15" customHeight="1" x14ac:dyDescent="0.3">
      <c r="A764" s="10">
        <v>44701</v>
      </c>
      <c r="B764" s="10">
        <v>46023</v>
      </c>
      <c r="C764" s="10">
        <v>46049</v>
      </c>
      <c r="D764" s="11" t="s">
        <v>256</v>
      </c>
      <c r="E764" s="11" t="s">
        <v>246</v>
      </c>
      <c r="F764" s="11" t="s">
        <v>84</v>
      </c>
      <c r="G764" s="11" t="s">
        <v>53</v>
      </c>
      <c r="H764" s="12">
        <v>599.09</v>
      </c>
      <c r="I764" s="13">
        <v>0.17499999999999999</v>
      </c>
      <c r="J764" s="12">
        <v>120.56625</v>
      </c>
      <c r="K764" s="12">
        <v>58.861205000000012</v>
      </c>
      <c r="L764" s="12">
        <v>89.86</v>
      </c>
      <c r="M764" t="s">
        <v>10</v>
      </c>
      <c r="N764" t="s">
        <v>85</v>
      </c>
      <c r="O764" t="s">
        <v>55</v>
      </c>
      <c r="P764" s="19">
        <v>46053</v>
      </c>
      <c r="Q764">
        <f>+H764+L764</f>
        <v>688.95</v>
      </c>
      <c r="R764">
        <f>+J764+K764+L764</f>
        <v>269.28745500000002</v>
      </c>
      <c r="S764">
        <f>+MONTH(B764)</f>
        <v>1</v>
      </c>
      <c r="T764">
        <f>+YEAR(B764)</f>
        <v>2026</v>
      </c>
      <c r="U764" t="s">
        <v>42</v>
      </c>
    </row>
    <row r="765" spans="1:21" ht="15" customHeight="1" x14ac:dyDescent="0.3">
      <c r="A765" s="10">
        <v>44747</v>
      </c>
      <c r="B765" s="10">
        <v>46023</v>
      </c>
      <c r="C765" s="10">
        <v>46049</v>
      </c>
      <c r="D765" s="11" t="s">
        <v>270</v>
      </c>
      <c r="E765" s="11" t="s">
        <v>246</v>
      </c>
      <c r="F765" s="11" t="s">
        <v>84</v>
      </c>
      <c r="G765" s="11" t="s">
        <v>53</v>
      </c>
      <c r="H765" s="12">
        <v>594.37</v>
      </c>
      <c r="I765" s="13">
        <v>0.17499999999999999</v>
      </c>
      <c r="J765" s="12">
        <v>119.61774999999999</v>
      </c>
      <c r="K765" s="12">
        <v>58.396065000000007</v>
      </c>
      <c r="L765" s="12">
        <v>89.16</v>
      </c>
      <c r="M765" t="s">
        <v>10</v>
      </c>
      <c r="N765" t="s">
        <v>85</v>
      </c>
      <c r="O765" t="s">
        <v>55</v>
      </c>
      <c r="P765" s="19">
        <v>46053</v>
      </c>
      <c r="Q765">
        <f>+H765+L765</f>
        <v>683.53</v>
      </c>
      <c r="R765">
        <f>+J765+K765+L765</f>
        <v>267.17381499999999</v>
      </c>
      <c r="S765">
        <f>+MONTH(B765)</f>
        <v>1</v>
      </c>
      <c r="T765">
        <f>+YEAR(B765)</f>
        <v>2026</v>
      </c>
      <c r="U765" t="s">
        <v>42</v>
      </c>
    </row>
    <row r="766" spans="1:21" ht="15" customHeight="1" x14ac:dyDescent="0.3">
      <c r="A766" s="10">
        <v>44701</v>
      </c>
      <c r="B766" s="10">
        <v>46023</v>
      </c>
      <c r="C766" s="10">
        <v>46049</v>
      </c>
      <c r="D766" s="11" t="s">
        <v>260</v>
      </c>
      <c r="E766" s="11" t="s">
        <v>246</v>
      </c>
      <c r="F766" s="11" t="s">
        <v>84</v>
      </c>
      <c r="G766" s="11" t="s">
        <v>53</v>
      </c>
      <c r="H766" s="12">
        <v>588.49</v>
      </c>
      <c r="I766" s="13">
        <v>0.17499999999999999</v>
      </c>
      <c r="J766" s="12">
        <v>118.43299999999999</v>
      </c>
      <c r="K766" s="12">
        <v>57.819755000000015</v>
      </c>
      <c r="L766" s="12">
        <v>88.27</v>
      </c>
      <c r="M766" t="s">
        <v>10</v>
      </c>
      <c r="N766" t="s">
        <v>85</v>
      </c>
      <c r="O766" t="s">
        <v>55</v>
      </c>
      <c r="P766" s="19">
        <v>46053</v>
      </c>
      <c r="Q766">
        <f>+H766+L766</f>
        <v>676.76</v>
      </c>
      <c r="R766">
        <f>+J766+K766+L766</f>
        <v>264.52275500000002</v>
      </c>
      <c r="S766">
        <f>+MONTH(B766)</f>
        <v>1</v>
      </c>
      <c r="T766">
        <f>+YEAR(B766)</f>
        <v>2026</v>
      </c>
      <c r="U766" t="s">
        <v>42</v>
      </c>
    </row>
    <row r="767" spans="1:21" ht="15" customHeight="1" x14ac:dyDescent="0.3">
      <c r="A767" s="10">
        <v>44701</v>
      </c>
      <c r="B767" s="10">
        <v>46023</v>
      </c>
      <c r="C767" s="10">
        <v>46049</v>
      </c>
      <c r="D767" s="11" t="s">
        <v>250</v>
      </c>
      <c r="E767" s="11" t="s">
        <v>246</v>
      </c>
      <c r="F767" s="11" t="s">
        <v>84</v>
      </c>
      <c r="G767" s="11" t="s">
        <v>53</v>
      </c>
      <c r="H767" s="12">
        <v>576.02</v>
      </c>
      <c r="I767" s="13">
        <v>0.17499999999999999</v>
      </c>
      <c r="J767" s="12">
        <v>115.92174999999999</v>
      </c>
      <c r="K767" s="12">
        <v>56.596240000000009</v>
      </c>
      <c r="L767" s="12">
        <v>86.39</v>
      </c>
      <c r="M767" t="s">
        <v>10</v>
      </c>
      <c r="N767" t="s">
        <v>85</v>
      </c>
      <c r="O767" t="s">
        <v>55</v>
      </c>
      <c r="P767" s="19">
        <v>46053</v>
      </c>
      <c r="Q767">
        <f>+H767+L767</f>
        <v>662.41</v>
      </c>
      <c r="R767">
        <f>+J767+K767+L767</f>
        <v>258.90798999999998</v>
      </c>
      <c r="S767">
        <f>+MONTH(B767)</f>
        <v>1</v>
      </c>
      <c r="T767">
        <f>+YEAR(B767)</f>
        <v>2026</v>
      </c>
      <c r="U767" t="s">
        <v>42</v>
      </c>
    </row>
    <row r="768" spans="1:21" ht="15" customHeight="1" x14ac:dyDescent="0.3">
      <c r="A768" s="10">
        <v>46039</v>
      </c>
      <c r="B768" s="10">
        <v>46039</v>
      </c>
      <c r="C768" s="10">
        <v>46049</v>
      </c>
      <c r="D768" s="11" t="s">
        <v>303</v>
      </c>
      <c r="E768" s="11" t="s">
        <v>304</v>
      </c>
      <c r="F768" s="11" t="s">
        <v>84</v>
      </c>
      <c r="G768" s="11" t="s">
        <v>53</v>
      </c>
      <c r="H768" s="12">
        <v>565.21739130434787</v>
      </c>
      <c r="I768" s="13">
        <v>0.17499999999999999</v>
      </c>
      <c r="J768" s="12">
        <v>113.74999999999999</v>
      </c>
      <c r="K768" s="12">
        <v>62.725000000000037</v>
      </c>
      <c r="L768" s="12">
        <v>84.782608695652129</v>
      </c>
      <c r="M768" t="s">
        <v>10</v>
      </c>
      <c r="N768" t="s">
        <v>54</v>
      </c>
      <c r="O768" t="s">
        <v>55</v>
      </c>
      <c r="P768" s="19">
        <v>46053</v>
      </c>
      <c r="Q768">
        <f>+H768+L768</f>
        <v>650</v>
      </c>
      <c r="R768">
        <f>+J768+K768+L768</f>
        <v>261.25760869565215</v>
      </c>
      <c r="S768">
        <f>+MONTH(B768)</f>
        <v>1</v>
      </c>
      <c r="T768">
        <f>+YEAR(B768)</f>
        <v>2026</v>
      </c>
      <c r="U768" t="s">
        <v>42</v>
      </c>
    </row>
    <row r="769" spans="1:21" ht="15" customHeight="1" x14ac:dyDescent="0.3">
      <c r="A769" s="10">
        <v>45299</v>
      </c>
      <c r="B769" s="10">
        <v>46023</v>
      </c>
      <c r="C769" s="10">
        <v>46034</v>
      </c>
      <c r="D769" s="11" t="s">
        <v>142</v>
      </c>
      <c r="E769" s="11" t="s">
        <v>140</v>
      </c>
      <c r="F769" s="11" t="s">
        <v>84</v>
      </c>
      <c r="G769" s="11" t="s">
        <v>53</v>
      </c>
      <c r="H769" s="12">
        <v>520.92999999999995</v>
      </c>
      <c r="I769" s="13">
        <v>0.17500000000000002</v>
      </c>
      <c r="J769" s="12">
        <v>104.83725</v>
      </c>
      <c r="K769" s="12">
        <v>55.934771249999969</v>
      </c>
      <c r="L769" s="12">
        <v>78.14</v>
      </c>
      <c r="M769" t="s">
        <v>10</v>
      </c>
      <c r="N769" t="s">
        <v>85</v>
      </c>
      <c r="O769" t="s">
        <v>55</v>
      </c>
      <c r="P769" s="19">
        <v>46053</v>
      </c>
      <c r="Q769">
        <f>+H769+L769</f>
        <v>599.06999999999994</v>
      </c>
      <c r="R769">
        <f>+J769+K769+L769</f>
        <v>238.91202124999995</v>
      </c>
      <c r="S769">
        <f>+MONTH(B769)</f>
        <v>1</v>
      </c>
      <c r="T769">
        <f>+YEAR(B769)</f>
        <v>2026</v>
      </c>
      <c r="U769" t="s">
        <v>42</v>
      </c>
    </row>
    <row r="770" spans="1:21" ht="15" customHeight="1" x14ac:dyDescent="0.3">
      <c r="A770" s="10">
        <v>44701</v>
      </c>
      <c r="B770" s="10">
        <v>46023</v>
      </c>
      <c r="C770" s="10">
        <v>46049</v>
      </c>
      <c r="D770" s="11" t="s">
        <v>257</v>
      </c>
      <c r="E770" s="11" t="s">
        <v>246</v>
      </c>
      <c r="F770" s="11" t="s">
        <v>84</v>
      </c>
      <c r="G770" s="11" t="s">
        <v>53</v>
      </c>
      <c r="H770" s="12">
        <v>511.40000000000003</v>
      </c>
      <c r="I770" s="13">
        <v>0.17499999999999999</v>
      </c>
      <c r="J770" s="12">
        <v>102.91924999999999</v>
      </c>
      <c r="K770" s="12">
        <v>50.245050000000006</v>
      </c>
      <c r="L770" s="12">
        <v>76.709999999999994</v>
      </c>
      <c r="M770" t="s">
        <v>10</v>
      </c>
      <c r="N770" t="s">
        <v>85</v>
      </c>
      <c r="O770" t="s">
        <v>55</v>
      </c>
      <c r="P770" s="19">
        <v>46053</v>
      </c>
      <c r="Q770">
        <f>+H770+L770</f>
        <v>588.11</v>
      </c>
      <c r="R770">
        <f>+J770+K770+L770</f>
        <v>229.87430000000001</v>
      </c>
      <c r="S770">
        <f>+MONTH(B770)</f>
        <v>1</v>
      </c>
      <c r="T770">
        <f>+YEAR(B770)</f>
        <v>2026</v>
      </c>
      <c r="U770" t="s">
        <v>42</v>
      </c>
    </row>
    <row r="771" spans="1:21" ht="15" customHeight="1" x14ac:dyDescent="0.3">
      <c r="A771" s="10">
        <v>44707</v>
      </c>
      <c r="B771" s="10">
        <v>46023</v>
      </c>
      <c r="C771" s="10">
        <v>46049</v>
      </c>
      <c r="D771" s="11" t="s">
        <v>263</v>
      </c>
      <c r="E771" s="11" t="s">
        <v>246</v>
      </c>
      <c r="F771" s="11" t="s">
        <v>84</v>
      </c>
      <c r="G771" s="11" t="s">
        <v>53</v>
      </c>
      <c r="H771" s="12">
        <v>467.16</v>
      </c>
      <c r="I771" s="13">
        <v>0.17499999999999999</v>
      </c>
      <c r="J771" s="12">
        <v>94.015249999999995</v>
      </c>
      <c r="K771" s="12">
        <v>45.899170000000012</v>
      </c>
      <c r="L771" s="12">
        <v>70.069999999999993</v>
      </c>
      <c r="M771" t="s">
        <v>10</v>
      </c>
      <c r="N771" t="s">
        <v>85</v>
      </c>
      <c r="O771" t="s">
        <v>55</v>
      </c>
      <c r="P771" s="19">
        <v>46053</v>
      </c>
      <c r="Q771">
        <f>+H771+L771</f>
        <v>537.23</v>
      </c>
      <c r="R771">
        <f>+J771+K771+L771</f>
        <v>209.98442</v>
      </c>
      <c r="S771">
        <f>+MONTH(B771)</f>
        <v>1</v>
      </c>
      <c r="T771">
        <f>+YEAR(B771)</f>
        <v>2026</v>
      </c>
      <c r="U771" t="s">
        <v>42</v>
      </c>
    </row>
    <row r="772" spans="1:21" ht="15" customHeight="1" x14ac:dyDescent="0.3">
      <c r="A772" s="41"/>
      <c r="B772" s="20">
        <v>46051</v>
      </c>
      <c r="C772" s="41"/>
      <c r="D772" s="41" t="s">
        <v>418</v>
      </c>
      <c r="E772" s="41" t="s">
        <v>419</v>
      </c>
      <c r="F772" s="41" t="s">
        <v>363</v>
      </c>
      <c r="G772" s="41" t="s">
        <v>53</v>
      </c>
      <c r="H772" s="55">
        <v>419.95</v>
      </c>
      <c r="I772" s="56">
        <v>0.17499999999999999</v>
      </c>
      <c r="J772" s="55">
        <v>84.514499999999998</v>
      </c>
      <c r="K772" s="55">
        <v>46.604388749999998</v>
      </c>
      <c r="L772" s="55">
        <v>62.99</v>
      </c>
      <c r="M772" s="41" t="s">
        <v>10</v>
      </c>
      <c r="N772" s="41" t="s">
        <v>54</v>
      </c>
      <c r="O772" s="41" t="s">
        <v>55</v>
      </c>
      <c r="P772" s="57">
        <v>46053</v>
      </c>
      <c r="Q772" s="41">
        <f>+H772+L772</f>
        <v>482.94</v>
      </c>
      <c r="R772" s="41">
        <f>+J772+K772+L772</f>
        <v>194.10888875000001</v>
      </c>
      <c r="S772" s="41">
        <f>+MONTH(B772)</f>
        <v>1</v>
      </c>
      <c r="T772" s="41">
        <f>+YEAR(B772)</f>
        <v>2026</v>
      </c>
      <c r="U772" s="41" t="s">
        <v>364</v>
      </c>
    </row>
    <row r="773" spans="1:21" ht="15" customHeight="1" x14ac:dyDescent="0.3">
      <c r="A773" s="41"/>
      <c r="B773" s="20">
        <v>46025</v>
      </c>
      <c r="C773" s="41"/>
      <c r="D773" s="41" t="s">
        <v>381</v>
      </c>
      <c r="E773" s="41" t="s">
        <v>382</v>
      </c>
      <c r="F773" s="41" t="s">
        <v>383</v>
      </c>
      <c r="G773" s="41" t="s">
        <v>53</v>
      </c>
      <c r="H773" s="55">
        <v>391.3</v>
      </c>
      <c r="I773" s="56">
        <v>0.13500000000000001</v>
      </c>
      <c r="J773" s="55">
        <v>60.750000000000007</v>
      </c>
      <c r="K773" s="55">
        <v>61.423642500000007</v>
      </c>
      <c r="L773" s="55">
        <v>58.7</v>
      </c>
      <c r="M773" s="41" t="s">
        <v>10</v>
      </c>
      <c r="N773" s="41" t="s">
        <v>54</v>
      </c>
      <c r="O773" s="41" t="s">
        <v>55</v>
      </c>
      <c r="P773" s="57">
        <v>46053</v>
      </c>
      <c r="Q773" s="41">
        <f>+H773+L773</f>
        <v>450</v>
      </c>
      <c r="R773" s="41">
        <f>+J773+K773+L773</f>
        <v>180.87364250000002</v>
      </c>
      <c r="S773" s="41">
        <f>+MONTH(B773)</f>
        <v>1</v>
      </c>
      <c r="T773" s="41">
        <f>+YEAR(B773)</f>
        <v>2026</v>
      </c>
      <c r="U773" s="41" t="s">
        <v>364</v>
      </c>
    </row>
    <row r="774" spans="1:21" ht="15" customHeight="1" x14ac:dyDescent="0.3">
      <c r="A774" s="10">
        <v>46053</v>
      </c>
      <c r="B774" s="10">
        <v>46029</v>
      </c>
      <c r="C774" s="10">
        <v>46053</v>
      </c>
      <c r="D774" s="11" t="s">
        <v>46</v>
      </c>
      <c r="E774" s="11" t="s">
        <v>47</v>
      </c>
      <c r="F774" t="s">
        <v>48</v>
      </c>
      <c r="G774" s="11" t="s">
        <v>39</v>
      </c>
      <c r="H774" s="12">
        <v>390</v>
      </c>
      <c r="I774" s="13">
        <v>0.23</v>
      </c>
      <c r="J774" s="12">
        <v>103.16</v>
      </c>
      <c r="K774" s="12">
        <v>23.399999999999988</v>
      </c>
      <c r="L774" s="12">
        <v>45.045000000000002</v>
      </c>
      <c r="M774" t="s">
        <v>11</v>
      </c>
      <c r="N774" t="s">
        <v>49</v>
      </c>
      <c r="O774" t="s">
        <v>41</v>
      </c>
      <c r="P774" s="19">
        <v>46053</v>
      </c>
      <c r="Q774">
        <f>+H774+L774</f>
        <v>435.04500000000002</v>
      </c>
      <c r="R774">
        <f>+J774+K774+L774</f>
        <v>171.60499999999999</v>
      </c>
      <c r="S774">
        <f>+MONTH(B774)</f>
        <v>1</v>
      </c>
      <c r="T774">
        <f>+YEAR(B774)</f>
        <v>2026</v>
      </c>
      <c r="U774" t="s">
        <v>42</v>
      </c>
    </row>
    <row r="775" spans="1:21" ht="15" customHeight="1" x14ac:dyDescent="0.3">
      <c r="A775" s="10">
        <v>46033</v>
      </c>
      <c r="B775" s="10">
        <v>46033</v>
      </c>
      <c r="C775" s="10">
        <v>46049</v>
      </c>
      <c r="D775" s="11" t="s">
        <v>305</v>
      </c>
      <c r="E775" s="11" t="s">
        <v>306</v>
      </c>
      <c r="F775" s="11" t="s">
        <v>307</v>
      </c>
      <c r="G775" s="11" t="s">
        <v>53</v>
      </c>
      <c r="H775" s="12">
        <v>352.17391304347825</v>
      </c>
      <c r="I775" s="13">
        <v>0.15</v>
      </c>
      <c r="J775" s="12">
        <v>60.75</v>
      </c>
      <c r="K775" s="12">
        <v>49.20750000000001</v>
      </c>
      <c r="L775" s="12">
        <v>52.826086956521749</v>
      </c>
      <c r="M775" t="s">
        <v>10</v>
      </c>
      <c r="N775" t="s">
        <v>54</v>
      </c>
      <c r="O775" t="s">
        <v>55</v>
      </c>
      <c r="P775" s="19">
        <v>46053</v>
      </c>
      <c r="Q775">
        <f>+H775+L775</f>
        <v>405</v>
      </c>
      <c r="R775">
        <f>+J775+K775+L775</f>
        <v>162.78358695652176</v>
      </c>
      <c r="S775">
        <f>+MONTH(B775)</f>
        <v>1</v>
      </c>
      <c r="T775">
        <f>+YEAR(B775)</f>
        <v>2026</v>
      </c>
      <c r="U775" t="s">
        <v>42</v>
      </c>
    </row>
    <row r="776" spans="1:21" ht="15" customHeight="1" x14ac:dyDescent="0.3">
      <c r="A776" s="10">
        <v>46030</v>
      </c>
      <c r="B776" s="10">
        <v>46030</v>
      </c>
      <c r="C776" s="10">
        <v>46049</v>
      </c>
      <c r="D776" s="11" t="s">
        <v>341</v>
      </c>
      <c r="E776" s="11" t="s">
        <v>342</v>
      </c>
      <c r="F776" s="11" t="s">
        <v>343</v>
      </c>
      <c r="G776" s="11" t="s">
        <v>53</v>
      </c>
      <c r="H776" s="12">
        <v>348.97490434782611</v>
      </c>
      <c r="I776" s="13">
        <v>0.12</v>
      </c>
      <c r="J776" s="12">
        <v>48.1585368</v>
      </c>
      <c r="K776" s="12">
        <v>60.800152710000013</v>
      </c>
      <c r="L776" s="12">
        <v>52.346235652173903</v>
      </c>
      <c r="M776" t="s">
        <v>10</v>
      </c>
      <c r="N776" t="s">
        <v>54</v>
      </c>
      <c r="O776" t="s">
        <v>55</v>
      </c>
      <c r="P776" s="19">
        <v>46053</v>
      </c>
      <c r="Q776">
        <f>+H776+L776</f>
        <v>401.32114000000001</v>
      </c>
      <c r="R776">
        <f>+J776+K776+L776</f>
        <v>161.3049251621739</v>
      </c>
      <c r="S776">
        <f>+MONTH(B776)</f>
        <v>1</v>
      </c>
      <c r="T776">
        <f>+YEAR(B776)</f>
        <v>2026</v>
      </c>
      <c r="U776" t="s">
        <v>42</v>
      </c>
    </row>
    <row r="777" spans="1:21" ht="15" customHeight="1" x14ac:dyDescent="0.3">
      <c r="A777" s="41"/>
      <c r="B777" s="20">
        <v>46051</v>
      </c>
      <c r="C777" s="41"/>
      <c r="D777" s="41" t="s">
        <v>374</v>
      </c>
      <c r="E777" s="41" t="s">
        <v>375</v>
      </c>
      <c r="F777" s="41" t="s">
        <v>363</v>
      </c>
      <c r="G777" s="41" t="s">
        <v>53</v>
      </c>
      <c r="H777" s="55">
        <v>222.7</v>
      </c>
      <c r="I777" s="56">
        <v>0.17499999999999999</v>
      </c>
      <c r="J777" s="55">
        <v>44.817499999999988</v>
      </c>
      <c r="K777" s="55">
        <v>24.71500750000002</v>
      </c>
      <c r="L777" s="55">
        <v>33.4</v>
      </c>
      <c r="M777" s="41" t="s">
        <v>10</v>
      </c>
      <c r="N777" s="41" t="s">
        <v>54</v>
      </c>
      <c r="O777" s="41" t="s">
        <v>55</v>
      </c>
      <c r="P777" s="57">
        <v>46053</v>
      </c>
      <c r="Q777" s="41">
        <f>+H777+L777</f>
        <v>256.09999999999997</v>
      </c>
      <c r="R777" s="41">
        <f>+J777+K777+L777</f>
        <v>102.93250750000001</v>
      </c>
      <c r="S777" s="41">
        <f>+MONTH(B777)</f>
        <v>1</v>
      </c>
      <c r="T777" s="41">
        <f>+YEAR(B777)</f>
        <v>2026</v>
      </c>
      <c r="U777" s="41" t="s">
        <v>364</v>
      </c>
    </row>
    <row r="778" spans="1:21" ht="15" customHeight="1" x14ac:dyDescent="0.3">
      <c r="A778" s="10">
        <v>46032</v>
      </c>
      <c r="B778" s="10">
        <v>46032</v>
      </c>
      <c r="C778" s="10">
        <v>46049</v>
      </c>
      <c r="D778" s="11" t="s">
        <v>338</v>
      </c>
      <c r="E778" s="11" t="s">
        <v>339</v>
      </c>
      <c r="F778" s="11" t="s">
        <v>84</v>
      </c>
      <c r="G778" s="11" t="s">
        <v>53</v>
      </c>
      <c r="H778" s="12">
        <v>212.7463130434783</v>
      </c>
      <c r="I778" s="13">
        <v>0.17499999999999996</v>
      </c>
      <c r="J778" s="12">
        <v>42.815195499999994</v>
      </c>
      <c r="K778" s="12">
        <v>23.60952209000002</v>
      </c>
      <c r="L778" s="12">
        <v>31.911946956521717</v>
      </c>
      <c r="M778" t="s">
        <v>10</v>
      </c>
      <c r="N778" t="s">
        <v>54</v>
      </c>
      <c r="O778" t="s">
        <v>55</v>
      </c>
      <c r="P778" s="19">
        <v>46053</v>
      </c>
      <c r="Q778">
        <f>+H778+L778</f>
        <v>244.65826000000001</v>
      </c>
      <c r="R778">
        <f>+J778+K778+L778</f>
        <v>98.336664546521732</v>
      </c>
      <c r="S778">
        <f>+MONTH(B778)</f>
        <v>1</v>
      </c>
      <c r="T778">
        <f>+YEAR(B778)</f>
        <v>2026</v>
      </c>
      <c r="U778" t="s">
        <v>42</v>
      </c>
    </row>
    <row r="779" spans="1:21" ht="15" customHeight="1" x14ac:dyDescent="0.3">
      <c r="A779" s="10">
        <v>46040</v>
      </c>
      <c r="B779" s="10">
        <v>46040</v>
      </c>
      <c r="C779" s="10">
        <v>46052</v>
      </c>
      <c r="D779" s="11" t="s">
        <v>340</v>
      </c>
      <c r="E779" s="11" t="s">
        <v>94</v>
      </c>
      <c r="F779" s="11" t="s">
        <v>90</v>
      </c>
      <c r="G779" s="11" t="s">
        <v>53</v>
      </c>
      <c r="H779" s="12">
        <v>200</v>
      </c>
      <c r="I779" s="13">
        <v>0.17499999999999999</v>
      </c>
      <c r="J779" s="12">
        <v>40.25</v>
      </c>
      <c r="K779" s="12">
        <v>22.195000000000007</v>
      </c>
      <c r="L779" s="12">
        <v>30</v>
      </c>
      <c r="M779" t="s">
        <v>10</v>
      </c>
      <c r="N779" t="s">
        <v>54</v>
      </c>
      <c r="O779" t="s">
        <v>55</v>
      </c>
      <c r="P779" s="19">
        <v>46053</v>
      </c>
      <c r="Q779">
        <f>+H779+L779</f>
        <v>230</v>
      </c>
      <c r="R779">
        <f>+J779+K779+L779</f>
        <v>92.445000000000007</v>
      </c>
      <c r="S779">
        <f>+MONTH(B779)</f>
        <v>1</v>
      </c>
      <c r="T779">
        <f>+YEAR(B779)</f>
        <v>2026</v>
      </c>
      <c r="U779" t="s">
        <v>42</v>
      </c>
    </row>
    <row r="780" spans="1:21" ht="15" customHeight="1" x14ac:dyDescent="0.3">
      <c r="A780" s="10">
        <v>46029</v>
      </c>
      <c r="B780" s="10">
        <v>46029</v>
      </c>
      <c r="C780" s="10">
        <v>46049</v>
      </c>
      <c r="D780" s="11" t="s">
        <v>317</v>
      </c>
      <c r="E780" s="11" t="s">
        <v>318</v>
      </c>
      <c r="F780" s="11" t="s">
        <v>219</v>
      </c>
      <c r="G780" s="11" t="s">
        <v>53</v>
      </c>
      <c r="H780" s="12">
        <v>173.91304347826087</v>
      </c>
      <c r="I780" s="13">
        <v>0.14000000000000001</v>
      </c>
      <c r="J780" s="12">
        <v>28.000000000000004</v>
      </c>
      <c r="K780" s="12">
        <v>26.3</v>
      </c>
      <c r="L780" s="12">
        <v>26.086956521739125</v>
      </c>
      <c r="M780" t="s">
        <v>10</v>
      </c>
      <c r="N780" t="s">
        <v>54</v>
      </c>
      <c r="O780" t="s">
        <v>55</v>
      </c>
      <c r="P780" s="19">
        <v>46053</v>
      </c>
      <c r="Q780">
        <f>+H780+L780</f>
        <v>200</v>
      </c>
      <c r="R780">
        <f>+J780+K780+L780</f>
        <v>80.386956521739137</v>
      </c>
      <c r="S780">
        <f>+MONTH(B780)</f>
        <v>1</v>
      </c>
      <c r="T780">
        <f>+YEAR(B780)</f>
        <v>2026</v>
      </c>
      <c r="U780" t="s">
        <v>42</v>
      </c>
    </row>
    <row r="781" spans="1:21" ht="15" customHeight="1" x14ac:dyDescent="0.3">
      <c r="A781" s="10">
        <v>46030</v>
      </c>
      <c r="B781" s="10">
        <v>46043</v>
      </c>
      <c r="C781" s="10">
        <v>46034</v>
      </c>
      <c r="D781" s="11" t="s">
        <v>240</v>
      </c>
      <c r="E781" s="11" t="s">
        <v>225</v>
      </c>
      <c r="F781" s="11" t="s">
        <v>90</v>
      </c>
      <c r="G781" s="11" t="s">
        <v>53</v>
      </c>
      <c r="H781" s="12">
        <v>173.91</v>
      </c>
      <c r="I781" s="13">
        <v>0.17499999999999999</v>
      </c>
      <c r="J781" s="12">
        <v>35</v>
      </c>
      <c r="K781" s="12">
        <v>19.299049750000002</v>
      </c>
      <c r="L781" s="12">
        <v>26.09</v>
      </c>
      <c r="M781" t="s">
        <v>10</v>
      </c>
      <c r="N781" t="s">
        <v>54</v>
      </c>
      <c r="O781" t="s">
        <v>41</v>
      </c>
      <c r="P781" s="19">
        <v>46053</v>
      </c>
      <c r="Q781">
        <f>+H781+L781</f>
        <v>200</v>
      </c>
      <c r="R781">
        <f>+J781+K781+L781</f>
        <v>80.389049749999998</v>
      </c>
      <c r="S781">
        <f>+MONTH(B781)</f>
        <v>1</v>
      </c>
      <c r="T781">
        <f>+YEAR(B781)</f>
        <v>2026</v>
      </c>
      <c r="U781" t="s">
        <v>42</v>
      </c>
    </row>
    <row r="782" spans="1:21" ht="15" customHeight="1" x14ac:dyDescent="0.3">
      <c r="A782" s="10">
        <v>46032</v>
      </c>
      <c r="B782" s="10">
        <v>46032</v>
      </c>
      <c r="C782" s="10">
        <v>46049</v>
      </c>
      <c r="D782" s="11" t="s">
        <v>350</v>
      </c>
      <c r="E782" s="11" t="s">
        <v>351</v>
      </c>
      <c r="F782" s="11" t="s">
        <v>84</v>
      </c>
      <c r="G782" s="11" t="s">
        <v>53</v>
      </c>
      <c r="H782" s="12">
        <v>173.91</v>
      </c>
      <c r="I782" s="13">
        <v>0.17499999999999999</v>
      </c>
      <c r="J782" s="12">
        <v>35</v>
      </c>
      <c r="K782" s="12">
        <v>19.299049750000002</v>
      </c>
      <c r="L782" s="12">
        <v>26.09</v>
      </c>
      <c r="M782" t="s">
        <v>10</v>
      </c>
      <c r="N782" t="s">
        <v>54</v>
      </c>
      <c r="O782" t="s">
        <v>55</v>
      </c>
      <c r="P782" s="19">
        <v>46053</v>
      </c>
      <c r="Q782">
        <f>+H782+L782</f>
        <v>200</v>
      </c>
      <c r="R782">
        <f>+J782+K782+L782</f>
        <v>80.389049749999998</v>
      </c>
      <c r="S782">
        <f>+MONTH(B782)</f>
        <v>1</v>
      </c>
      <c r="T782">
        <f>+YEAR(B782)</f>
        <v>2026</v>
      </c>
      <c r="U782" t="s">
        <v>42</v>
      </c>
    </row>
    <row r="783" spans="1:21" ht="15" customHeight="1" x14ac:dyDescent="0.3">
      <c r="A783" s="10">
        <v>46049</v>
      </c>
      <c r="B783" s="10">
        <v>46050</v>
      </c>
      <c r="C783" s="10">
        <v>46050</v>
      </c>
      <c r="D783" s="11" t="s">
        <v>357</v>
      </c>
      <c r="E783" s="11" t="s">
        <v>358</v>
      </c>
      <c r="F783" s="11" t="s">
        <v>84</v>
      </c>
      <c r="G783" s="11" t="s">
        <v>53</v>
      </c>
      <c r="H783" s="12">
        <v>173.91</v>
      </c>
      <c r="I783" s="13">
        <v>0.17499999999999999</v>
      </c>
      <c r="J783" s="12">
        <v>35</v>
      </c>
      <c r="K783" s="12">
        <v>19.299049750000002</v>
      </c>
      <c r="L783" s="12">
        <v>26.09</v>
      </c>
      <c r="M783" t="s">
        <v>10</v>
      </c>
      <c r="N783" t="s">
        <v>54</v>
      </c>
      <c r="O783" t="s">
        <v>41</v>
      </c>
      <c r="P783" s="19">
        <v>46053</v>
      </c>
      <c r="Q783">
        <f>+H783+L783</f>
        <v>200</v>
      </c>
      <c r="R783">
        <f>+J783+K783+L783</f>
        <v>80.389049749999998</v>
      </c>
      <c r="S783">
        <f>+MONTH(B783)</f>
        <v>1</v>
      </c>
      <c r="T783">
        <f>+YEAR(B783)</f>
        <v>2026</v>
      </c>
      <c r="U783" t="s">
        <v>42</v>
      </c>
    </row>
    <row r="784" spans="1:21" ht="15" customHeight="1" x14ac:dyDescent="0.3">
      <c r="A784" s="10">
        <v>46052</v>
      </c>
      <c r="B784" s="10">
        <v>46052</v>
      </c>
      <c r="C784" s="10">
        <v>46066</v>
      </c>
      <c r="D784" s="11" t="s">
        <v>389</v>
      </c>
      <c r="E784" s="11" t="s">
        <v>510</v>
      </c>
      <c r="F784" s="11" t="s">
        <v>84</v>
      </c>
      <c r="G784" s="11" t="s">
        <v>53</v>
      </c>
      <c r="H784" s="12">
        <v>173.91</v>
      </c>
      <c r="I784" s="13">
        <v>0.17499999999999999</v>
      </c>
      <c r="J784" s="12">
        <v>35</v>
      </c>
      <c r="K784" s="12">
        <v>19.299049750000002</v>
      </c>
      <c r="L784" s="12">
        <v>26.09</v>
      </c>
      <c r="M784" t="s">
        <v>10</v>
      </c>
      <c r="N784" t="s">
        <v>54</v>
      </c>
      <c r="O784" t="s">
        <v>55</v>
      </c>
      <c r="P784" s="19">
        <v>46081</v>
      </c>
      <c r="Q784" s="47">
        <f>+H784+L784</f>
        <v>200</v>
      </c>
      <c r="R784" s="47">
        <f>+J784+K784+L784</f>
        <v>80.389049749999998</v>
      </c>
      <c r="S784" s="47">
        <f>+MONTH(B784)</f>
        <v>1</v>
      </c>
      <c r="T784" s="47">
        <f>+YEAR(B784)</f>
        <v>2026</v>
      </c>
      <c r="U784" s="47" t="s">
        <v>364</v>
      </c>
    </row>
    <row r="785" spans="1:21" ht="15" customHeight="1" x14ac:dyDescent="0.3">
      <c r="A785" s="41"/>
      <c r="B785" s="20">
        <v>46039</v>
      </c>
      <c r="C785" s="41"/>
      <c r="D785" s="41" t="s">
        <v>384</v>
      </c>
      <c r="E785" s="41" t="s">
        <v>375</v>
      </c>
      <c r="F785" s="41" t="s">
        <v>363</v>
      </c>
      <c r="G785" s="41" t="s">
        <v>53</v>
      </c>
      <c r="H785" s="55">
        <v>173.91</v>
      </c>
      <c r="I785" s="56">
        <v>0.17499999999999999</v>
      </c>
      <c r="J785" s="55">
        <v>35</v>
      </c>
      <c r="K785" s="55">
        <v>19.299049750000002</v>
      </c>
      <c r="L785" s="55">
        <v>26.09</v>
      </c>
      <c r="M785" s="41" t="s">
        <v>10</v>
      </c>
      <c r="N785" s="41" t="s">
        <v>54</v>
      </c>
      <c r="O785" s="41" t="s">
        <v>55</v>
      </c>
      <c r="P785" s="57">
        <v>46053</v>
      </c>
      <c r="Q785" s="41">
        <f>+H785+L785</f>
        <v>200</v>
      </c>
      <c r="R785" s="41">
        <f>+J785+K785+L785</f>
        <v>80.389049749999998</v>
      </c>
      <c r="S785" s="41">
        <f>+MONTH(B785)</f>
        <v>1</v>
      </c>
      <c r="T785" s="41">
        <f>+YEAR(B785)</f>
        <v>2026</v>
      </c>
      <c r="U785" s="41" t="s">
        <v>364</v>
      </c>
    </row>
    <row r="786" spans="1:21" ht="15" customHeight="1" x14ac:dyDescent="0.3">
      <c r="A786" s="41"/>
      <c r="B786" s="20">
        <v>46037</v>
      </c>
      <c r="C786" s="41"/>
      <c r="D786" s="41" t="s">
        <v>388</v>
      </c>
      <c r="E786" s="41" t="s">
        <v>375</v>
      </c>
      <c r="F786" s="41" t="s">
        <v>363</v>
      </c>
      <c r="G786" s="41" t="s">
        <v>53</v>
      </c>
      <c r="H786" s="55">
        <v>173.91</v>
      </c>
      <c r="I786" s="56">
        <v>0.17499999999999999</v>
      </c>
      <c r="J786" s="55">
        <v>35</v>
      </c>
      <c r="K786" s="55">
        <v>19.299049750000002</v>
      </c>
      <c r="L786" s="55">
        <v>26.09</v>
      </c>
      <c r="M786" s="41" t="s">
        <v>10</v>
      </c>
      <c r="N786" s="41" t="s">
        <v>54</v>
      </c>
      <c r="O786" s="41" t="s">
        <v>55</v>
      </c>
      <c r="P786" s="57">
        <v>46053</v>
      </c>
      <c r="Q786" s="41">
        <f>+H786+L786</f>
        <v>200</v>
      </c>
      <c r="R786" s="41">
        <f>+J786+K786+L786</f>
        <v>80.389049749999998</v>
      </c>
      <c r="S786" s="41">
        <f>+MONTH(B786)</f>
        <v>1</v>
      </c>
      <c r="T786" s="41">
        <f>+YEAR(B786)</f>
        <v>2026</v>
      </c>
      <c r="U786" s="41" t="s">
        <v>364</v>
      </c>
    </row>
    <row r="787" spans="1:21" ht="15" customHeight="1" x14ac:dyDescent="0.3">
      <c r="A787" s="41"/>
      <c r="B787" s="20">
        <v>46052</v>
      </c>
      <c r="C787" s="41"/>
      <c r="D787" s="41" t="s">
        <v>389</v>
      </c>
      <c r="E787" s="41" t="s">
        <v>390</v>
      </c>
      <c r="F787" s="41" t="s">
        <v>363</v>
      </c>
      <c r="G787" s="41" t="s">
        <v>53</v>
      </c>
      <c r="H787" s="55">
        <v>173.91</v>
      </c>
      <c r="I787" s="56">
        <v>0.17499999999999999</v>
      </c>
      <c r="J787" s="55">
        <v>35</v>
      </c>
      <c r="K787" s="55">
        <v>19.299049750000002</v>
      </c>
      <c r="L787" s="55">
        <v>26.09</v>
      </c>
      <c r="M787" s="41" t="s">
        <v>10</v>
      </c>
      <c r="N787" s="41" t="s">
        <v>54</v>
      </c>
      <c r="O787" s="41" t="s">
        <v>55</v>
      </c>
      <c r="P787" s="57">
        <v>46053</v>
      </c>
      <c r="Q787" s="41">
        <f>+H787+L787</f>
        <v>200</v>
      </c>
      <c r="R787" s="41">
        <f>+J787+K787+L787</f>
        <v>80.389049749999998</v>
      </c>
      <c r="S787" s="41">
        <f>+MONTH(B787)</f>
        <v>1</v>
      </c>
      <c r="T787" s="41">
        <f>+YEAR(B787)</f>
        <v>2026</v>
      </c>
      <c r="U787" s="41" t="s">
        <v>364</v>
      </c>
    </row>
    <row r="788" spans="1:21" ht="15" customHeight="1" x14ac:dyDescent="0.3">
      <c r="A788" s="41"/>
      <c r="B788" s="20">
        <v>46029</v>
      </c>
      <c r="C788" s="41"/>
      <c r="D788" s="41" t="s">
        <v>414</v>
      </c>
      <c r="E788" s="41" t="s">
        <v>415</v>
      </c>
      <c r="F788" s="41" t="s">
        <v>416</v>
      </c>
      <c r="G788" s="41" t="s">
        <v>53</v>
      </c>
      <c r="H788" s="55">
        <v>173.91</v>
      </c>
      <c r="I788" s="56">
        <v>0.15</v>
      </c>
      <c r="J788" s="55">
        <v>30</v>
      </c>
      <c r="K788" s="55">
        <v>24.299049750000002</v>
      </c>
      <c r="L788" s="55">
        <v>26.09</v>
      </c>
      <c r="M788" s="41" t="s">
        <v>10</v>
      </c>
      <c r="N788" s="41" t="s">
        <v>54</v>
      </c>
      <c r="O788" s="41" t="s">
        <v>55</v>
      </c>
      <c r="P788" s="57">
        <v>46053</v>
      </c>
      <c r="Q788" s="41">
        <f>+H788+L788</f>
        <v>200</v>
      </c>
      <c r="R788" s="41">
        <f>+J788+K788+L788</f>
        <v>80.389049749999998</v>
      </c>
      <c r="S788" s="41">
        <f>+MONTH(B788)</f>
        <v>1</v>
      </c>
      <c r="T788" s="41">
        <f>+YEAR(B788)</f>
        <v>2026</v>
      </c>
      <c r="U788" s="41" t="s">
        <v>364</v>
      </c>
    </row>
    <row r="789" spans="1:21" ht="15" customHeight="1" x14ac:dyDescent="0.3">
      <c r="A789" s="10">
        <v>46036</v>
      </c>
      <c r="B789" s="10">
        <v>46036</v>
      </c>
      <c r="C789" s="10">
        <v>46049</v>
      </c>
      <c r="D789" s="11" t="s">
        <v>301</v>
      </c>
      <c r="E789" s="11" t="s">
        <v>302</v>
      </c>
      <c r="F789" s="11" t="s">
        <v>84</v>
      </c>
      <c r="G789" s="11" t="s">
        <v>53</v>
      </c>
      <c r="H789" s="12">
        <v>105.99510000000001</v>
      </c>
      <c r="I789" s="13">
        <v>0.17499999999999999</v>
      </c>
      <c r="J789" s="12">
        <v>21.331513874999999</v>
      </c>
      <c r="K789" s="12">
        <v>11.762806222500004</v>
      </c>
      <c r="L789" s="12">
        <v>15.899264999999987</v>
      </c>
      <c r="M789" t="s">
        <v>10</v>
      </c>
      <c r="N789" t="s">
        <v>54</v>
      </c>
      <c r="O789" t="s">
        <v>55</v>
      </c>
      <c r="P789" s="19">
        <v>46053</v>
      </c>
      <c r="Q789">
        <f>+H789+L789</f>
        <v>121.89436499999999</v>
      </c>
      <c r="R789">
        <f>+J789+K789+L789</f>
        <v>48.993585097499988</v>
      </c>
      <c r="S789">
        <f>+MONTH(B789)</f>
        <v>1</v>
      </c>
      <c r="T789">
        <f>+YEAR(B789)</f>
        <v>2026</v>
      </c>
      <c r="U789" t="s">
        <v>42</v>
      </c>
    </row>
    <row r="790" spans="1:21" ht="15" customHeight="1" x14ac:dyDescent="0.3">
      <c r="A790" s="41"/>
      <c r="B790" s="20">
        <v>46043</v>
      </c>
      <c r="C790" s="41"/>
      <c r="D790" s="41" t="s">
        <v>361</v>
      </c>
      <c r="E790" s="41" t="s">
        <v>362</v>
      </c>
      <c r="F790" s="41" t="s">
        <v>363</v>
      </c>
      <c r="G790" s="41" t="s">
        <v>53</v>
      </c>
      <c r="H790" s="55">
        <v>86.96</v>
      </c>
      <c r="I790" s="56">
        <v>0.17499999999999999</v>
      </c>
      <c r="J790" s="55">
        <v>17.5</v>
      </c>
      <c r="K790" s="55">
        <v>9.6510859999999994</v>
      </c>
      <c r="L790" s="55">
        <v>13.04</v>
      </c>
      <c r="M790" s="41" t="s">
        <v>10</v>
      </c>
      <c r="N790" s="41" t="s">
        <v>54</v>
      </c>
      <c r="O790" s="41" t="s">
        <v>55</v>
      </c>
      <c r="P790" s="57">
        <v>46053</v>
      </c>
      <c r="Q790" s="41">
        <f>+H790+L790</f>
        <v>100</v>
      </c>
      <c r="R790" s="41">
        <f>+J790+K790+L790</f>
        <v>40.191085999999999</v>
      </c>
      <c r="S790" s="41">
        <f>+MONTH(B790)</f>
        <v>1</v>
      </c>
      <c r="T790" s="41">
        <f>+YEAR(B790)</f>
        <v>2026</v>
      </c>
      <c r="U790" s="41" t="s">
        <v>364</v>
      </c>
    </row>
    <row r="791" spans="1:21" ht="15" customHeight="1" x14ac:dyDescent="0.3">
      <c r="A791" s="41"/>
      <c r="B791" s="20">
        <v>46043</v>
      </c>
      <c r="C791" s="41"/>
      <c r="D791" s="41" t="s">
        <v>368</v>
      </c>
      <c r="E791" s="41" t="s">
        <v>362</v>
      </c>
      <c r="F791" s="41" t="s">
        <v>363</v>
      </c>
      <c r="G791" s="41" t="s">
        <v>53</v>
      </c>
      <c r="H791" s="55">
        <v>86.96</v>
      </c>
      <c r="I791" s="56">
        <v>0.17499999999999999</v>
      </c>
      <c r="J791" s="55">
        <v>17.5</v>
      </c>
      <c r="K791" s="55">
        <v>9.6510859999999994</v>
      </c>
      <c r="L791" s="55">
        <v>13.04</v>
      </c>
      <c r="M791" s="41" t="s">
        <v>10</v>
      </c>
      <c r="N791" s="41" t="s">
        <v>54</v>
      </c>
      <c r="O791" s="41" t="s">
        <v>55</v>
      </c>
      <c r="P791" s="57">
        <v>46053</v>
      </c>
      <c r="Q791" s="41">
        <f>+H791+L791</f>
        <v>100</v>
      </c>
      <c r="R791" s="41">
        <f>+J791+K791+L791</f>
        <v>40.191085999999999</v>
      </c>
      <c r="S791" s="41">
        <f>+MONTH(B791)</f>
        <v>1</v>
      </c>
      <c r="T791" s="41">
        <f>+YEAR(B791)</f>
        <v>2026</v>
      </c>
      <c r="U791" s="41" t="s">
        <v>364</v>
      </c>
    </row>
    <row r="792" spans="1:21" ht="15" customHeight="1" x14ac:dyDescent="0.3">
      <c r="A792" s="41"/>
      <c r="B792" s="20">
        <v>46047</v>
      </c>
      <c r="C792" s="41"/>
      <c r="D792" s="41" t="s">
        <v>409</v>
      </c>
      <c r="E792" s="41" t="s">
        <v>410</v>
      </c>
      <c r="F792" s="41" t="s">
        <v>363</v>
      </c>
      <c r="G792" s="41" t="s">
        <v>53</v>
      </c>
      <c r="H792" s="55">
        <v>86.96</v>
      </c>
      <c r="I792" s="56">
        <v>0.17499999999999999</v>
      </c>
      <c r="J792" s="55">
        <v>17.5</v>
      </c>
      <c r="K792" s="55">
        <v>9.6510859999999994</v>
      </c>
      <c r="L792" s="55">
        <v>13.04</v>
      </c>
      <c r="M792" s="41" t="s">
        <v>10</v>
      </c>
      <c r="N792" s="41" t="s">
        <v>54</v>
      </c>
      <c r="O792" s="41" t="s">
        <v>55</v>
      </c>
      <c r="P792" s="57">
        <v>46053</v>
      </c>
      <c r="Q792" s="41">
        <f>+H792+L792</f>
        <v>100</v>
      </c>
      <c r="R792" s="41">
        <f>+J792+K792+L792</f>
        <v>40.191085999999999</v>
      </c>
      <c r="S792" s="41">
        <f>+MONTH(B792)</f>
        <v>1</v>
      </c>
      <c r="T792" s="41">
        <f>+YEAR(B792)</f>
        <v>2026</v>
      </c>
      <c r="U792" s="41" t="s">
        <v>364</v>
      </c>
    </row>
    <row r="793" spans="1:21" ht="15" customHeight="1" x14ac:dyDescent="0.3">
      <c r="A793" s="10">
        <v>46038</v>
      </c>
      <c r="B793" s="10">
        <v>46038</v>
      </c>
      <c r="C793" s="10">
        <v>46049</v>
      </c>
      <c r="D793" s="11" t="s">
        <v>319</v>
      </c>
      <c r="E793" s="11" t="s">
        <v>320</v>
      </c>
      <c r="F793" s="11" t="s">
        <v>84</v>
      </c>
      <c r="G793" s="11" t="s">
        <v>53</v>
      </c>
      <c r="H793" s="12">
        <v>86.956521739130437</v>
      </c>
      <c r="I793" s="13">
        <v>0.17499999999999999</v>
      </c>
      <c r="J793" s="12">
        <v>17.5</v>
      </c>
      <c r="K793" s="12">
        <v>9.6500000000000021</v>
      </c>
      <c r="L793" s="12">
        <v>13.043478260869563</v>
      </c>
      <c r="M793" t="s">
        <v>10</v>
      </c>
      <c r="N793" t="s">
        <v>54</v>
      </c>
      <c r="O793" t="s">
        <v>55</v>
      </c>
      <c r="P793" s="19">
        <v>46053</v>
      </c>
      <c r="Q793">
        <f>+H793+L793</f>
        <v>100</v>
      </c>
      <c r="R793">
        <f>+J793+K793+L793</f>
        <v>40.193478260869568</v>
      </c>
      <c r="S793">
        <f>+MONTH(B793)</f>
        <v>1</v>
      </c>
      <c r="T793">
        <f>+YEAR(B793)</f>
        <v>2026</v>
      </c>
      <c r="U793" t="s">
        <v>42</v>
      </c>
    </row>
    <row r="794" spans="1:21" ht="15" customHeight="1" x14ac:dyDescent="0.3">
      <c r="A794" s="10">
        <v>45949</v>
      </c>
      <c r="B794" s="10">
        <v>46045</v>
      </c>
      <c r="C794" s="10">
        <v>46080</v>
      </c>
      <c r="D794" s="11" t="s">
        <v>522</v>
      </c>
      <c r="E794" s="11" t="s">
        <v>523</v>
      </c>
      <c r="F794" s="11" t="s">
        <v>84</v>
      </c>
      <c r="G794" s="11" t="s">
        <v>53</v>
      </c>
      <c r="H794" s="12">
        <v>-1166.3599999999999</v>
      </c>
      <c r="I794" s="13">
        <v>0.17499999999999999</v>
      </c>
      <c r="J794" s="12">
        <v>-234.72924999999998</v>
      </c>
      <c r="K794" s="12">
        <v>-127.10478099999995</v>
      </c>
      <c r="L794" s="12">
        <v>-174.95</v>
      </c>
      <c r="M794" t="s">
        <v>10</v>
      </c>
      <c r="N794" t="s">
        <v>54</v>
      </c>
      <c r="O794" t="s">
        <v>55</v>
      </c>
      <c r="P794" s="19">
        <v>46081</v>
      </c>
      <c r="Q794" s="47">
        <f>+H794+L794</f>
        <v>-1341.31</v>
      </c>
      <c r="R794" s="47">
        <f>+J794+K794+L794</f>
        <v>-536.78403099999991</v>
      </c>
      <c r="S794" s="47">
        <f>+MONTH(B794)</f>
        <v>1</v>
      </c>
      <c r="T794" s="47">
        <f>+YEAR(B794)</f>
        <v>2026</v>
      </c>
      <c r="U794" s="47" t="s">
        <v>364</v>
      </c>
    </row>
    <row r="795" spans="1:21" ht="15" customHeight="1" x14ac:dyDescent="0.3">
      <c r="A795" s="10">
        <v>45996</v>
      </c>
      <c r="B795" s="10">
        <v>46045</v>
      </c>
      <c r="C795" s="10">
        <v>46080</v>
      </c>
      <c r="D795" s="11" t="s">
        <v>524</v>
      </c>
      <c r="E795" s="11" t="s">
        <v>525</v>
      </c>
      <c r="F795" s="11" t="s">
        <v>84</v>
      </c>
      <c r="G795" s="11" t="s">
        <v>53</v>
      </c>
      <c r="H795" s="12">
        <v>-1703.4</v>
      </c>
      <c r="I795" s="13">
        <v>0.17500000000000002</v>
      </c>
      <c r="J795" s="12">
        <v>-342.80925000000002</v>
      </c>
      <c r="K795" s="12">
        <v>-185.628015</v>
      </c>
      <c r="L795" s="12">
        <v>-255.51</v>
      </c>
      <c r="M795" t="s">
        <v>10</v>
      </c>
      <c r="N795" t="s">
        <v>54</v>
      </c>
      <c r="O795" t="s">
        <v>55</v>
      </c>
      <c r="P795" s="19">
        <v>46081</v>
      </c>
      <c r="Q795" s="47">
        <f>+H795+L795</f>
        <v>-1958.91</v>
      </c>
      <c r="R795" s="47">
        <f>+J795+K795+L795</f>
        <v>-783.94726500000002</v>
      </c>
      <c r="S795" s="47">
        <f>+MONTH(B795)</f>
        <v>1</v>
      </c>
      <c r="T795" s="47">
        <f>+YEAR(B795)</f>
        <v>2026</v>
      </c>
      <c r="U795" s="47" t="s">
        <v>364</v>
      </c>
    </row>
    <row r="796" spans="1:21" ht="15" customHeight="1" x14ac:dyDescent="0.3">
      <c r="A796" s="10">
        <v>45750</v>
      </c>
      <c r="B796" s="10">
        <v>46041</v>
      </c>
      <c r="C796" s="10">
        <v>46080</v>
      </c>
      <c r="D796" s="11" t="s">
        <v>511</v>
      </c>
      <c r="E796" s="11" t="s">
        <v>512</v>
      </c>
      <c r="F796" s="11" t="s">
        <v>323</v>
      </c>
      <c r="G796" s="11" t="s">
        <v>53</v>
      </c>
      <c r="H796" s="12">
        <v>-3305.5400000000004</v>
      </c>
      <c r="I796" s="13">
        <v>0.14999999999999997</v>
      </c>
      <c r="J796" s="12">
        <v>-570.20549999999992</v>
      </c>
      <c r="K796" s="12">
        <v>-455.25564650000013</v>
      </c>
      <c r="L796" s="12">
        <v>-495.82999999999993</v>
      </c>
      <c r="M796" t="s">
        <v>10</v>
      </c>
      <c r="N796" t="s">
        <v>54</v>
      </c>
      <c r="O796" t="s">
        <v>55</v>
      </c>
      <c r="P796" s="19">
        <v>46081</v>
      </c>
      <c r="Q796" s="47">
        <f>+H796+L796</f>
        <v>-3801.3700000000003</v>
      </c>
      <c r="R796" s="47">
        <f>+J796+K796+L796</f>
        <v>-1521.2911465</v>
      </c>
      <c r="S796" s="47">
        <f>+MONTH(B796)</f>
        <v>1</v>
      </c>
      <c r="T796" s="47">
        <f>+YEAR(B796)</f>
        <v>2026</v>
      </c>
      <c r="U796" s="47" t="s">
        <v>364</v>
      </c>
    </row>
    <row r="797" spans="1:21" ht="15" customHeight="1" x14ac:dyDescent="0.3">
      <c r="A797" s="49"/>
      <c r="B797" s="49"/>
      <c r="C797" s="49"/>
      <c r="D797" s="50"/>
      <c r="E797" s="50"/>
      <c r="F797" s="50"/>
      <c r="G797" s="50"/>
      <c r="H797" s="51"/>
      <c r="I797" s="39"/>
      <c r="J797" s="51"/>
      <c r="K797" s="51"/>
      <c r="L797" s="51"/>
      <c r="P797" s="52"/>
      <c r="Q797" s="47"/>
    </row>
    <row r="798" spans="1:21" ht="15" customHeight="1" x14ac:dyDescent="0.3">
      <c r="A798" s="49"/>
      <c r="B798" s="49"/>
      <c r="C798" s="49"/>
      <c r="D798" s="50"/>
      <c r="E798" s="50"/>
      <c r="F798" s="50"/>
      <c r="G798" s="50"/>
      <c r="H798" s="51"/>
      <c r="I798" s="39"/>
      <c r="J798" s="51"/>
      <c r="K798" s="51"/>
      <c r="L798" s="51"/>
      <c r="P798" s="52"/>
      <c r="Q798" s="47"/>
    </row>
    <row r="799" spans="1:21" ht="15" customHeight="1" x14ac:dyDescent="0.3">
      <c r="A799" s="49"/>
      <c r="B799" s="49"/>
      <c r="C799" s="49"/>
      <c r="D799" s="50"/>
      <c r="E799" s="50"/>
      <c r="F799" s="50"/>
      <c r="G799" s="50"/>
      <c r="H799" s="51"/>
      <c r="I799" s="39"/>
      <c r="J799" s="51"/>
      <c r="K799" s="51"/>
      <c r="L799" s="51"/>
      <c r="P799" s="52"/>
      <c r="Q799" s="47"/>
    </row>
    <row r="800" spans="1:21" ht="15" customHeight="1" x14ac:dyDescent="0.3">
      <c r="A800" s="49"/>
      <c r="B800" s="49"/>
      <c r="C800" s="49"/>
      <c r="D800" s="50"/>
      <c r="E800" s="50"/>
      <c r="F800" s="50"/>
      <c r="G800" s="50"/>
      <c r="H800" s="51"/>
      <c r="I800" s="39"/>
      <c r="J800" s="51"/>
      <c r="K800" s="51"/>
      <c r="L800" s="51"/>
      <c r="P800" s="52"/>
      <c r="Q800" s="47"/>
    </row>
    <row r="801" spans="1:17" ht="15" customHeight="1" x14ac:dyDescent="0.3">
      <c r="A801" s="49"/>
      <c r="B801" s="49"/>
      <c r="C801" s="49"/>
      <c r="D801" s="50"/>
      <c r="E801" s="50"/>
      <c r="F801" s="50"/>
      <c r="G801" s="50"/>
      <c r="H801" s="51"/>
      <c r="I801" s="39"/>
      <c r="J801" s="51"/>
      <c r="K801" s="51"/>
      <c r="L801" s="51"/>
      <c r="P801" s="52"/>
      <c r="Q801" s="47"/>
    </row>
    <row r="802" spans="1:17" ht="15" customHeight="1" x14ac:dyDescent="0.3">
      <c r="A802" s="49"/>
      <c r="B802" s="49"/>
      <c r="C802" s="49"/>
      <c r="D802" s="50"/>
      <c r="E802" s="50"/>
      <c r="F802" s="50"/>
      <c r="G802" s="50"/>
      <c r="H802" s="51"/>
      <c r="I802" s="39"/>
      <c r="J802" s="51"/>
      <c r="K802" s="51"/>
      <c r="L802" s="51"/>
      <c r="P802" s="52"/>
      <c r="Q802" s="47"/>
    </row>
    <row r="803" spans="1:17" ht="15" customHeight="1" x14ac:dyDescent="0.3">
      <c r="A803" s="49"/>
      <c r="B803" s="49"/>
      <c r="C803" s="49"/>
      <c r="D803" s="50"/>
      <c r="E803" s="50"/>
      <c r="F803" s="50"/>
      <c r="G803" s="50"/>
      <c r="H803" s="51"/>
      <c r="I803" s="39"/>
      <c r="J803" s="51"/>
      <c r="K803" s="51"/>
      <c r="L803" s="51"/>
      <c r="P803" s="52"/>
      <c r="Q803" s="47"/>
    </row>
    <row r="804" spans="1:17" ht="15" customHeight="1" x14ac:dyDescent="0.3">
      <c r="A804" s="49"/>
      <c r="B804" s="49"/>
      <c r="C804" s="49"/>
      <c r="D804" s="50"/>
      <c r="E804" s="50"/>
      <c r="F804" s="50"/>
      <c r="G804" s="50"/>
      <c r="H804" s="51"/>
      <c r="I804" s="39"/>
      <c r="J804" s="51"/>
      <c r="K804" s="51"/>
      <c r="L804" s="51"/>
      <c r="P804" s="52"/>
      <c r="Q804" s="47"/>
    </row>
    <row r="805" spans="1:17" ht="15" customHeight="1" x14ac:dyDescent="0.3">
      <c r="A805" s="49"/>
      <c r="B805" s="49"/>
      <c r="C805" s="49"/>
      <c r="D805" s="50"/>
      <c r="E805" s="50"/>
      <c r="F805" s="50"/>
      <c r="G805" s="50"/>
      <c r="H805" s="51"/>
      <c r="I805" s="39"/>
      <c r="J805" s="51"/>
      <c r="K805" s="51"/>
      <c r="L805" s="51"/>
      <c r="P805" s="52"/>
      <c r="Q805" s="47"/>
    </row>
    <row r="806" spans="1:17" ht="15" customHeight="1" x14ac:dyDescent="0.3">
      <c r="A806" s="49"/>
      <c r="B806" s="49"/>
      <c r="C806" s="49"/>
      <c r="D806" s="50"/>
      <c r="E806" s="50"/>
      <c r="F806" s="50"/>
      <c r="G806" s="50"/>
      <c r="H806" s="51"/>
      <c r="I806" s="39"/>
      <c r="J806" s="51"/>
      <c r="K806" s="51"/>
      <c r="L806" s="51"/>
      <c r="P806" s="52"/>
      <c r="Q806" s="47"/>
    </row>
    <row r="807" spans="1:17" ht="15" customHeight="1" x14ac:dyDescent="0.3">
      <c r="A807" s="49"/>
      <c r="B807" s="49"/>
      <c r="C807" s="49"/>
      <c r="D807" s="50"/>
      <c r="E807" s="50"/>
      <c r="F807" s="50"/>
      <c r="G807" s="50"/>
      <c r="H807" s="51"/>
      <c r="I807" s="39"/>
      <c r="J807" s="51"/>
      <c r="K807" s="51"/>
      <c r="L807" s="51"/>
      <c r="P807" s="52"/>
      <c r="Q807" s="47"/>
    </row>
    <row r="808" spans="1:17" ht="15" customHeight="1" x14ac:dyDescent="0.3">
      <c r="A808" s="49"/>
      <c r="B808" s="49"/>
      <c r="C808" s="49"/>
      <c r="D808" s="50"/>
      <c r="E808" s="50"/>
      <c r="F808" s="50"/>
      <c r="G808" s="50"/>
      <c r="H808" s="51"/>
      <c r="I808" s="39"/>
      <c r="J808" s="51"/>
      <c r="K808" s="51"/>
      <c r="L808" s="51"/>
      <c r="P808" s="52"/>
      <c r="Q808" s="47"/>
    </row>
    <row r="809" spans="1:17" ht="15" customHeight="1" x14ac:dyDescent="0.3">
      <c r="A809" s="49"/>
      <c r="B809" s="49"/>
      <c r="C809" s="49"/>
      <c r="D809" s="50"/>
      <c r="E809" s="50"/>
      <c r="F809" s="50"/>
      <c r="G809" s="50"/>
      <c r="H809" s="51"/>
      <c r="I809" s="39"/>
      <c r="J809" s="51"/>
      <c r="K809" s="51"/>
      <c r="L809" s="51"/>
      <c r="P809" s="52"/>
      <c r="Q809" s="47"/>
    </row>
    <row r="810" spans="1:17" ht="15" customHeight="1" x14ac:dyDescent="0.3">
      <c r="A810" s="49"/>
      <c r="B810" s="49"/>
      <c r="C810" s="49"/>
      <c r="D810" s="50"/>
      <c r="E810" s="50"/>
      <c r="F810" s="50"/>
      <c r="G810" s="50"/>
      <c r="H810" s="51"/>
      <c r="I810" s="39"/>
      <c r="J810" s="51"/>
      <c r="K810" s="51"/>
      <c r="L810" s="51"/>
      <c r="P810" s="52"/>
      <c r="Q810" s="47"/>
    </row>
    <row r="811" spans="1:17" ht="15" customHeight="1" x14ac:dyDescent="0.3">
      <c r="A811" s="49"/>
      <c r="B811" s="49"/>
      <c r="C811" s="49"/>
      <c r="D811" s="50"/>
      <c r="E811" s="50"/>
      <c r="F811" s="50"/>
      <c r="G811" s="50"/>
      <c r="H811" s="51"/>
      <c r="I811" s="39"/>
      <c r="J811" s="51"/>
      <c r="K811" s="51"/>
      <c r="L811" s="51"/>
      <c r="P811" s="52"/>
      <c r="Q811" s="47"/>
    </row>
    <row r="812" spans="1:17" ht="15" customHeight="1" x14ac:dyDescent="0.3">
      <c r="A812" s="49"/>
      <c r="B812" s="49"/>
      <c r="C812" s="49"/>
      <c r="D812" s="50"/>
      <c r="E812" s="50"/>
      <c r="F812" s="50"/>
      <c r="G812" s="50"/>
      <c r="H812" s="51"/>
      <c r="I812" s="39"/>
      <c r="J812" s="51"/>
      <c r="K812" s="51"/>
      <c r="L812" s="51"/>
      <c r="P812" s="52"/>
      <c r="Q812" s="47"/>
    </row>
    <row r="813" spans="1:17" ht="15" customHeight="1" x14ac:dyDescent="0.3">
      <c r="A813" s="49"/>
      <c r="B813" s="49"/>
      <c r="C813" s="49"/>
      <c r="D813" s="50"/>
      <c r="E813" s="50"/>
      <c r="F813" s="50"/>
      <c r="G813" s="50"/>
      <c r="H813" s="51"/>
      <c r="I813" s="39"/>
      <c r="J813" s="51"/>
      <c r="K813" s="51"/>
      <c r="L813" s="51"/>
      <c r="P813" s="52"/>
      <c r="Q813" s="47"/>
    </row>
    <row r="814" spans="1:17" ht="15" customHeight="1" x14ac:dyDescent="0.3">
      <c r="A814" s="49"/>
      <c r="B814" s="49"/>
      <c r="C814" s="49"/>
      <c r="D814" s="50"/>
      <c r="E814" s="50"/>
      <c r="F814" s="50"/>
      <c r="G814" s="50"/>
      <c r="H814" s="51"/>
      <c r="I814" s="39"/>
      <c r="J814" s="51"/>
      <c r="K814" s="51"/>
      <c r="L814" s="51"/>
      <c r="P814" s="52"/>
      <c r="Q814" s="47"/>
    </row>
    <row r="815" spans="1:17" ht="15" customHeight="1" x14ac:dyDescent="0.3">
      <c r="A815" s="49"/>
      <c r="B815" s="49"/>
      <c r="C815" s="49"/>
      <c r="D815" s="50"/>
      <c r="E815" s="50"/>
      <c r="F815" s="50"/>
      <c r="G815" s="50"/>
      <c r="H815" s="51"/>
      <c r="I815" s="39"/>
      <c r="J815" s="51"/>
      <c r="K815" s="51"/>
      <c r="L815" s="51"/>
      <c r="P815" s="52"/>
      <c r="Q815" s="47"/>
    </row>
    <row r="816" spans="1:17" ht="15" customHeight="1" x14ac:dyDescent="0.3">
      <c r="A816" s="49"/>
      <c r="B816" s="49"/>
      <c r="C816" s="49"/>
      <c r="D816" s="50"/>
      <c r="E816" s="50"/>
      <c r="F816" s="50"/>
      <c r="G816" s="50"/>
      <c r="H816" s="51"/>
      <c r="I816" s="39"/>
      <c r="J816" s="51"/>
      <c r="K816" s="51"/>
      <c r="L816" s="51"/>
      <c r="P816" s="52"/>
      <c r="Q816" s="47"/>
    </row>
    <row r="817" spans="1:17" ht="15" customHeight="1" x14ac:dyDescent="0.3">
      <c r="A817" s="49"/>
      <c r="B817" s="49"/>
      <c r="C817" s="49"/>
      <c r="D817" s="50"/>
      <c r="E817" s="50"/>
      <c r="F817" s="50"/>
      <c r="G817" s="50"/>
      <c r="H817" s="51"/>
      <c r="I817" s="39"/>
      <c r="J817" s="51"/>
      <c r="K817" s="51"/>
      <c r="L817" s="51"/>
      <c r="P817" s="52"/>
      <c r="Q817" s="47"/>
    </row>
    <row r="818" spans="1:17" ht="15" customHeight="1" x14ac:dyDescent="0.3">
      <c r="A818" s="49"/>
      <c r="B818" s="49"/>
      <c r="C818" s="49"/>
      <c r="D818" s="50"/>
      <c r="E818" s="50"/>
      <c r="F818" s="50"/>
      <c r="G818" s="50"/>
      <c r="H818" s="51"/>
      <c r="I818" s="39"/>
      <c r="J818" s="51"/>
      <c r="K818" s="51"/>
      <c r="L818" s="51"/>
      <c r="P818" s="52"/>
      <c r="Q818" s="47"/>
    </row>
    <row r="819" spans="1:17" ht="15" customHeight="1" x14ac:dyDescent="0.3">
      <c r="A819" s="49"/>
      <c r="B819" s="49"/>
      <c r="C819" s="49"/>
      <c r="D819" s="50"/>
      <c r="E819" s="50"/>
      <c r="F819" s="50"/>
      <c r="G819" s="50"/>
      <c r="H819" s="51"/>
      <c r="I819" s="39"/>
      <c r="J819" s="51"/>
      <c r="K819" s="51"/>
      <c r="L819" s="51"/>
      <c r="P819" s="52"/>
      <c r="Q819" s="47"/>
    </row>
    <row r="820" spans="1:17" ht="15" customHeight="1" x14ac:dyDescent="0.3">
      <c r="A820" s="49"/>
      <c r="B820" s="49"/>
      <c r="C820" s="49"/>
      <c r="D820" s="50"/>
      <c r="E820" s="50"/>
      <c r="F820" s="50"/>
      <c r="G820" s="50"/>
      <c r="H820" s="51"/>
      <c r="I820" s="39"/>
      <c r="J820" s="51"/>
      <c r="K820" s="51"/>
      <c r="L820" s="51"/>
      <c r="P820" s="52"/>
      <c r="Q820" s="47"/>
    </row>
    <row r="821" spans="1:17" ht="15" customHeight="1" x14ac:dyDescent="0.3">
      <c r="A821" s="49"/>
      <c r="B821" s="49"/>
      <c r="C821" s="49"/>
      <c r="D821" s="50"/>
      <c r="E821" s="50"/>
      <c r="F821" s="50"/>
      <c r="G821" s="50"/>
      <c r="H821" s="51"/>
      <c r="I821" s="39"/>
      <c r="J821" s="51"/>
      <c r="K821" s="51"/>
      <c r="L821" s="51"/>
      <c r="P821" s="52"/>
      <c r="Q821" s="47"/>
    </row>
    <row r="822" spans="1:17" ht="15" customHeight="1" x14ac:dyDescent="0.3">
      <c r="A822" s="49"/>
      <c r="B822" s="49"/>
      <c r="C822" s="49"/>
      <c r="D822" s="50"/>
      <c r="E822" s="50"/>
      <c r="F822" s="50"/>
      <c r="G822" s="50"/>
      <c r="H822" s="51"/>
      <c r="I822" s="39"/>
      <c r="J822" s="51"/>
      <c r="K822" s="51"/>
      <c r="L822" s="51"/>
      <c r="P822" s="52"/>
      <c r="Q822" s="47"/>
    </row>
    <row r="823" spans="1:17" ht="15" customHeight="1" x14ac:dyDescent="0.3">
      <c r="A823" s="49"/>
      <c r="B823" s="49"/>
      <c r="C823" s="49"/>
      <c r="D823" s="50"/>
      <c r="E823" s="50"/>
      <c r="F823" s="50"/>
      <c r="G823" s="50"/>
      <c r="H823" s="51"/>
      <c r="I823" s="39"/>
      <c r="J823" s="51"/>
      <c r="K823" s="51"/>
      <c r="L823" s="51"/>
      <c r="P823" s="52"/>
      <c r="Q823" s="47"/>
    </row>
    <row r="824" spans="1:17" ht="15" customHeight="1" x14ac:dyDescent="0.3">
      <c r="A824" s="49"/>
      <c r="B824" s="49"/>
      <c r="C824" s="49"/>
      <c r="D824" s="50"/>
      <c r="E824" s="50"/>
      <c r="F824" s="50"/>
      <c r="G824" s="50"/>
      <c r="H824" s="51"/>
      <c r="I824" s="39"/>
      <c r="J824" s="51"/>
      <c r="K824" s="51"/>
      <c r="L824" s="51"/>
      <c r="P824" s="52"/>
      <c r="Q824" s="47"/>
    </row>
    <row r="825" spans="1:17" ht="15" customHeight="1" x14ac:dyDescent="0.3">
      <c r="A825" s="49"/>
      <c r="B825" s="49"/>
      <c r="C825" s="49"/>
      <c r="D825" s="50"/>
      <c r="E825" s="50"/>
      <c r="F825" s="50"/>
      <c r="G825" s="50"/>
      <c r="H825" s="51"/>
      <c r="I825" s="39"/>
      <c r="J825" s="51"/>
      <c r="K825" s="51"/>
      <c r="L825" s="51"/>
      <c r="P825" s="52"/>
      <c r="Q825" s="47"/>
    </row>
    <row r="826" spans="1:17" ht="15" customHeight="1" x14ac:dyDescent="0.3">
      <c r="A826" s="49"/>
      <c r="B826" s="49"/>
      <c r="C826" s="49"/>
      <c r="D826" s="50"/>
      <c r="E826" s="50"/>
      <c r="F826" s="50"/>
      <c r="G826" s="50"/>
      <c r="H826" s="51"/>
      <c r="I826" s="39"/>
      <c r="J826" s="51"/>
      <c r="K826" s="51"/>
      <c r="L826" s="51"/>
      <c r="P826" s="52"/>
      <c r="Q826" s="47"/>
    </row>
    <row r="827" spans="1:17" ht="15" customHeight="1" x14ac:dyDescent="0.3">
      <c r="A827" s="49"/>
      <c r="B827" s="49"/>
      <c r="C827" s="49"/>
      <c r="D827" s="50"/>
      <c r="E827" s="50"/>
      <c r="F827" s="50"/>
      <c r="G827" s="50"/>
      <c r="H827" s="51"/>
      <c r="I827" s="39"/>
      <c r="J827" s="51"/>
      <c r="K827" s="51"/>
      <c r="L827" s="51"/>
      <c r="P827" s="52"/>
      <c r="Q827" s="47"/>
    </row>
    <row r="828" spans="1:17" ht="15" customHeight="1" x14ac:dyDescent="0.3">
      <c r="A828" s="49"/>
      <c r="B828" s="49"/>
      <c r="C828" s="49"/>
      <c r="D828" s="50"/>
      <c r="E828" s="50"/>
      <c r="F828" s="50"/>
      <c r="G828" s="50"/>
      <c r="H828" s="51"/>
      <c r="I828" s="39"/>
      <c r="J828" s="51"/>
      <c r="K828" s="51"/>
      <c r="L828" s="51"/>
      <c r="P828" s="52"/>
      <c r="Q828" s="47"/>
    </row>
    <row r="829" spans="1:17" ht="15" customHeight="1" x14ac:dyDescent="0.3">
      <c r="A829" s="49"/>
      <c r="B829" s="49"/>
      <c r="C829" s="49"/>
      <c r="D829" s="50"/>
      <c r="E829" s="50"/>
      <c r="F829" s="50"/>
      <c r="G829" s="50"/>
      <c r="H829" s="51"/>
      <c r="I829" s="39"/>
      <c r="J829" s="51"/>
      <c r="K829" s="51"/>
      <c r="L829" s="51"/>
      <c r="P829" s="52"/>
      <c r="Q829" s="47"/>
    </row>
    <row r="830" spans="1:17" ht="15" customHeight="1" x14ac:dyDescent="0.3">
      <c r="A830" s="49"/>
      <c r="B830" s="49"/>
      <c r="C830" s="49"/>
      <c r="D830" s="50"/>
      <c r="E830" s="50"/>
      <c r="F830" s="50"/>
      <c r="G830" s="50"/>
      <c r="H830" s="51"/>
      <c r="I830" s="39"/>
      <c r="J830" s="51"/>
      <c r="K830" s="51"/>
      <c r="L830" s="51"/>
      <c r="P830" s="52"/>
      <c r="Q830" s="47"/>
    </row>
    <row r="831" spans="1:17" ht="15" customHeight="1" x14ac:dyDescent="0.3">
      <c r="A831" s="49"/>
      <c r="B831" s="49"/>
      <c r="C831" s="49"/>
      <c r="D831" s="50"/>
      <c r="E831" s="50"/>
      <c r="F831" s="50"/>
      <c r="G831" s="50"/>
      <c r="H831" s="51"/>
      <c r="I831" s="39"/>
      <c r="J831" s="51"/>
      <c r="K831" s="51"/>
      <c r="L831" s="51"/>
      <c r="P831" s="52"/>
      <c r="Q831" s="47"/>
    </row>
    <row r="832" spans="1:17" ht="15" customHeight="1" x14ac:dyDescent="0.3">
      <c r="A832" s="49"/>
      <c r="B832" s="49"/>
      <c r="C832" s="49"/>
      <c r="D832" s="50"/>
      <c r="E832" s="50"/>
      <c r="F832" s="50"/>
      <c r="G832" s="50"/>
      <c r="H832" s="51"/>
      <c r="I832" s="39"/>
      <c r="J832" s="51"/>
      <c r="K832" s="51"/>
      <c r="L832" s="51"/>
      <c r="P832" s="52"/>
      <c r="Q832" s="47"/>
    </row>
    <row r="833" spans="1:17" ht="15" customHeight="1" x14ac:dyDescent="0.3">
      <c r="A833" s="49"/>
      <c r="B833" s="49"/>
      <c r="C833" s="49"/>
      <c r="D833" s="50"/>
      <c r="E833" s="50"/>
      <c r="F833" s="50"/>
      <c r="G833" s="50"/>
      <c r="H833" s="51"/>
      <c r="I833" s="39"/>
      <c r="J833" s="51"/>
      <c r="K833" s="51"/>
      <c r="L833" s="51"/>
      <c r="P833" s="52"/>
      <c r="Q833" s="47"/>
    </row>
    <row r="834" spans="1:17" ht="15" customHeight="1" x14ac:dyDescent="0.3">
      <c r="A834" s="49"/>
      <c r="B834" s="49"/>
      <c r="C834" s="49"/>
      <c r="D834" s="50"/>
      <c r="E834" s="50"/>
      <c r="F834" s="50"/>
      <c r="G834" s="50"/>
      <c r="H834" s="51"/>
      <c r="I834" s="39"/>
      <c r="J834" s="51"/>
      <c r="K834" s="51"/>
      <c r="L834" s="51"/>
      <c r="P834" s="52"/>
      <c r="Q834" s="47"/>
    </row>
    <row r="835" spans="1:17" ht="15" customHeight="1" x14ac:dyDescent="0.3">
      <c r="A835" s="49"/>
      <c r="B835" s="49"/>
      <c r="C835" s="49"/>
      <c r="D835" s="50"/>
      <c r="E835" s="50"/>
      <c r="F835" s="50"/>
      <c r="G835" s="50"/>
      <c r="H835" s="51"/>
      <c r="I835" s="39"/>
      <c r="J835" s="51"/>
      <c r="K835" s="51"/>
      <c r="L835" s="51"/>
      <c r="P835" s="52"/>
      <c r="Q835" s="47"/>
    </row>
    <row r="836" spans="1:17" ht="15" customHeight="1" x14ac:dyDescent="0.3">
      <c r="A836" s="49"/>
      <c r="B836" s="49"/>
      <c r="C836" s="49"/>
      <c r="D836" s="50"/>
      <c r="E836" s="50"/>
      <c r="F836" s="50"/>
      <c r="G836" s="50"/>
      <c r="H836" s="51"/>
      <c r="I836" s="39"/>
      <c r="J836" s="51"/>
      <c r="K836" s="51"/>
      <c r="L836" s="51"/>
      <c r="P836" s="52"/>
      <c r="Q836" s="47"/>
    </row>
    <row r="837" spans="1:17" ht="15" customHeight="1" x14ac:dyDescent="0.3">
      <c r="A837" s="49"/>
      <c r="B837" s="49"/>
      <c r="C837" s="49"/>
      <c r="D837" s="50"/>
      <c r="E837" s="50"/>
      <c r="F837" s="50"/>
      <c r="G837" s="50"/>
      <c r="H837" s="51"/>
      <c r="I837" s="39"/>
      <c r="J837" s="51"/>
      <c r="K837" s="51"/>
      <c r="L837" s="51"/>
      <c r="P837" s="52"/>
      <c r="Q837" s="47"/>
    </row>
    <row r="838" spans="1:17" ht="15" customHeight="1" x14ac:dyDescent="0.3">
      <c r="A838" s="49"/>
      <c r="B838" s="49"/>
      <c r="C838" s="49"/>
      <c r="D838" s="50"/>
      <c r="E838" s="50"/>
      <c r="F838" s="50"/>
      <c r="G838" s="50"/>
      <c r="H838" s="51"/>
      <c r="I838" s="39"/>
      <c r="J838" s="51"/>
      <c r="K838" s="51"/>
      <c r="L838" s="51"/>
      <c r="P838" s="52"/>
      <c r="Q838" s="47"/>
    </row>
    <row r="839" spans="1:17" ht="15" customHeight="1" x14ac:dyDescent="0.3">
      <c r="A839" s="49"/>
      <c r="B839" s="49"/>
      <c r="C839" s="49"/>
      <c r="D839" s="50"/>
      <c r="E839" s="50"/>
      <c r="F839" s="50"/>
      <c r="G839" s="50"/>
      <c r="H839" s="51"/>
      <c r="I839" s="39"/>
      <c r="J839" s="51"/>
      <c r="K839" s="51"/>
      <c r="L839" s="51"/>
      <c r="P839" s="52"/>
      <c r="Q839" s="47"/>
    </row>
    <row r="840" spans="1:17" ht="15" customHeight="1" x14ac:dyDescent="0.3">
      <c r="A840" s="49"/>
      <c r="B840" s="49"/>
      <c r="C840" s="49"/>
      <c r="D840" s="50"/>
      <c r="E840" s="50"/>
      <c r="F840" s="50"/>
      <c r="G840" s="50"/>
      <c r="H840" s="51"/>
      <c r="I840" s="39"/>
      <c r="J840" s="51"/>
      <c r="K840" s="51"/>
      <c r="L840" s="51"/>
      <c r="P840" s="52"/>
      <c r="Q840" s="47"/>
    </row>
    <row r="841" spans="1:17" ht="15" customHeight="1" x14ac:dyDescent="0.3">
      <c r="A841" s="49"/>
      <c r="B841" s="49"/>
      <c r="C841" s="49"/>
      <c r="D841" s="50"/>
      <c r="E841" s="50"/>
      <c r="F841" s="50"/>
      <c r="G841" s="50"/>
      <c r="H841" s="51"/>
      <c r="I841" s="39"/>
      <c r="J841" s="51"/>
      <c r="K841" s="51"/>
      <c r="L841" s="51"/>
      <c r="P841" s="52"/>
      <c r="Q841" s="47"/>
    </row>
    <row r="842" spans="1:17" ht="15" customHeight="1" x14ac:dyDescent="0.3">
      <c r="A842" s="49"/>
      <c r="B842" s="49"/>
      <c r="C842" s="49"/>
      <c r="D842" s="50"/>
      <c r="E842" s="50"/>
      <c r="F842" s="50"/>
      <c r="G842" s="50"/>
      <c r="H842" s="51"/>
      <c r="I842" s="39"/>
      <c r="J842" s="51"/>
      <c r="K842" s="51"/>
      <c r="L842" s="51"/>
      <c r="P842" s="52"/>
      <c r="Q842" s="47"/>
    </row>
    <row r="843" spans="1:17" ht="15" customHeight="1" x14ac:dyDescent="0.3">
      <c r="A843" s="49"/>
      <c r="B843" s="49"/>
      <c r="C843" s="49"/>
      <c r="D843" s="50"/>
      <c r="E843" s="50"/>
      <c r="F843" s="50"/>
      <c r="G843" s="50"/>
      <c r="H843" s="51"/>
      <c r="I843" s="39"/>
      <c r="J843" s="51"/>
      <c r="K843" s="51"/>
      <c r="L843" s="51"/>
      <c r="P843" s="52"/>
      <c r="Q843" s="47"/>
    </row>
    <row r="844" spans="1:17" ht="15" customHeight="1" x14ac:dyDescent="0.3">
      <c r="A844" s="49"/>
      <c r="B844" s="49"/>
      <c r="C844" s="49"/>
      <c r="D844" s="50"/>
      <c r="E844" s="50"/>
      <c r="F844" s="50"/>
      <c r="G844" s="50"/>
      <c r="H844" s="51"/>
      <c r="I844" s="39"/>
      <c r="J844" s="51"/>
      <c r="K844" s="51"/>
      <c r="L844" s="51"/>
      <c r="P844" s="52"/>
      <c r="Q844" s="47"/>
    </row>
    <row r="845" spans="1:17" ht="15" customHeight="1" x14ac:dyDescent="0.3">
      <c r="A845" s="49"/>
      <c r="B845" s="49"/>
      <c r="C845" s="49"/>
      <c r="D845" s="50"/>
      <c r="E845" s="50"/>
      <c r="F845" s="50"/>
      <c r="G845" s="50"/>
      <c r="H845" s="51"/>
      <c r="I845" s="39"/>
      <c r="J845" s="51"/>
      <c r="K845" s="51"/>
      <c r="L845" s="51"/>
      <c r="P845" s="52"/>
      <c r="Q845" s="47"/>
    </row>
    <row r="846" spans="1:17" ht="15" customHeight="1" x14ac:dyDescent="0.3">
      <c r="A846" s="49"/>
      <c r="B846" s="49"/>
      <c r="C846" s="49"/>
      <c r="D846" s="50"/>
      <c r="E846" s="50"/>
      <c r="F846" s="50"/>
      <c r="G846" s="50"/>
      <c r="H846" s="51"/>
      <c r="I846" s="39"/>
      <c r="J846" s="51"/>
      <c r="K846" s="51"/>
      <c r="L846" s="51"/>
      <c r="P846" s="52"/>
      <c r="Q846" s="47"/>
    </row>
    <row r="847" spans="1:17" ht="15" customHeight="1" x14ac:dyDescent="0.3">
      <c r="A847" s="49"/>
      <c r="B847" s="49"/>
      <c r="C847" s="49"/>
      <c r="D847" s="50"/>
      <c r="E847" s="50"/>
      <c r="F847" s="50"/>
      <c r="G847" s="50"/>
      <c r="H847" s="51"/>
      <c r="I847" s="39"/>
      <c r="J847" s="51"/>
      <c r="K847" s="51"/>
      <c r="L847" s="51"/>
      <c r="P847" s="52"/>
      <c r="Q847" s="47"/>
    </row>
    <row r="848" spans="1:17" ht="15" customHeight="1" x14ac:dyDescent="0.3">
      <c r="A848" s="49"/>
      <c r="B848" s="49"/>
      <c r="C848" s="49"/>
      <c r="D848" s="50"/>
      <c r="E848" s="50"/>
      <c r="F848" s="50"/>
      <c r="G848" s="50"/>
      <c r="H848" s="51"/>
      <c r="I848" s="39"/>
      <c r="J848" s="51"/>
      <c r="K848" s="51"/>
      <c r="L848" s="51"/>
      <c r="P848" s="52"/>
      <c r="Q848" s="47"/>
    </row>
    <row r="849" spans="1:17" ht="15" customHeight="1" x14ac:dyDescent="0.3">
      <c r="A849" s="49"/>
      <c r="B849" s="49"/>
      <c r="C849" s="49"/>
      <c r="D849" s="50"/>
      <c r="E849" s="50"/>
      <c r="F849" s="50"/>
      <c r="G849" s="50"/>
      <c r="H849" s="51"/>
      <c r="I849" s="39"/>
      <c r="J849" s="51"/>
      <c r="K849" s="51"/>
      <c r="L849" s="51"/>
      <c r="P849" s="52"/>
      <c r="Q849" s="47"/>
    </row>
    <row r="850" spans="1:17" ht="15" customHeight="1" x14ac:dyDescent="0.3">
      <c r="A850" s="49"/>
      <c r="B850" s="49"/>
      <c r="C850" s="49"/>
      <c r="D850" s="50"/>
      <c r="E850" s="50"/>
      <c r="F850" s="50"/>
      <c r="G850" s="50"/>
      <c r="H850" s="51"/>
      <c r="I850" s="39"/>
      <c r="J850" s="51"/>
      <c r="K850" s="51"/>
      <c r="L850" s="51"/>
      <c r="P850" s="52"/>
      <c r="Q850" s="47"/>
    </row>
    <row r="851" spans="1:17" ht="15" customHeight="1" x14ac:dyDescent="0.3">
      <c r="A851" s="49"/>
      <c r="B851" s="49"/>
      <c r="C851" s="49"/>
      <c r="D851" s="50"/>
      <c r="E851" s="50"/>
      <c r="F851" s="50"/>
      <c r="G851" s="50"/>
      <c r="H851" s="51"/>
      <c r="I851" s="39"/>
      <c r="J851" s="51"/>
      <c r="K851" s="51"/>
      <c r="L851" s="51"/>
      <c r="P851" s="52"/>
      <c r="Q851" s="47"/>
    </row>
    <row r="852" spans="1:17" ht="15" customHeight="1" x14ac:dyDescent="0.3">
      <c r="A852" s="49"/>
      <c r="B852" s="49"/>
      <c r="C852" s="49"/>
      <c r="D852" s="50"/>
      <c r="E852" s="50"/>
      <c r="F852" s="50"/>
      <c r="G852" s="50"/>
      <c r="H852" s="51"/>
      <c r="I852" s="39"/>
      <c r="J852" s="51"/>
      <c r="K852" s="51"/>
      <c r="L852" s="51"/>
      <c r="P852" s="52"/>
      <c r="Q852" s="47"/>
    </row>
    <row r="853" spans="1:17" ht="15" customHeight="1" x14ac:dyDescent="0.3">
      <c r="A853" s="49"/>
      <c r="B853" s="49"/>
      <c r="C853" s="49"/>
      <c r="D853" s="50"/>
      <c r="E853" s="50"/>
      <c r="F853" s="50"/>
      <c r="G853" s="50"/>
      <c r="H853" s="51"/>
      <c r="I853" s="39"/>
      <c r="J853" s="51"/>
      <c r="K853" s="51"/>
      <c r="L853" s="51"/>
      <c r="P853" s="52"/>
      <c r="Q853" s="47"/>
    </row>
    <row r="854" spans="1:17" ht="15" customHeight="1" x14ac:dyDescent="0.3">
      <c r="A854" s="49"/>
      <c r="B854" s="49"/>
      <c r="C854" s="49"/>
      <c r="D854" s="50"/>
      <c r="E854" s="50"/>
      <c r="F854" s="50"/>
      <c r="G854" s="50"/>
      <c r="H854" s="51"/>
      <c r="I854" s="39"/>
      <c r="J854" s="51"/>
      <c r="K854" s="51"/>
      <c r="L854" s="51"/>
      <c r="P854" s="52"/>
      <c r="Q854" s="47"/>
    </row>
    <row r="855" spans="1:17" ht="15" customHeight="1" x14ac:dyDescent="0.3">
      <c r="A855" s="49"/>
      <c r="B855" s="49"/>
      <c r="C855" s="49"/>
      <c r="D855" s="50"/>
      <c r="E855" s="50"/>
      <c r="F855" s="50"/>
      <c r="G855" s="50"/>
      <c r="H855" s="51"/>
      <c r="I855" s="39"/>
      <c r="J855" s="51"/>
      <c r="K855" s="51"/>
      <c r="L855" s="51"/>
      <c r="P855" s="52"/>
      <c r="Q855" s="47"/>
    </row>
    <row r="856" spans="1:17" ht="15" customHeight="1" x14ac:dyDescent="0.3">
      <c r="A856" s="49"/>
      <c r="B856" s="49"/>
      <c r="C856" s="49"/>
      <c r="D856" s="50"/>
      <c r="E856" s="50"/>
      <c r="F856" s="50"/>
      <c r="G856" s="50"/>
      <c r="H856" s="51"/>
      <c r="I856" s="39"/>
      <c r="J856" s="51"/>
      <c r="K856" s="51"/>
      <c r="L856" s="51"/>
      <c r="P856" s="52"/>
      <c r="Q856" s="47"/>
    </row>
    <row r="857" spans="1:17" ht="15" customHeight="1" x14ac:dyDescent="0.3">
      <c r="A857" s="49"/>
      <c r="B857" s="49"/>
      <c r="C857" s="49"/>
      <c r="D857" s="50"/>
      <c r="E857" s="50"/>
      <c r="F857" s="50"/>
      <c r="G857" s="50"/>
      <c r="H857" s="51"/>
      <c r="I857" s="39"/>
      <c r="J857" s="51"/>
      <c r="K857" s="51"/>
      <c r="L857" s="51"/>
      <c r="P857" s="52"/>
      <c r="Q857" s="47"/>
    </row>
    <row r="858" spans="1:17" ht="15" customHeight="1" x14ac:dyDescent="0.3">
      <c r="A858" s="49"/>
      <c r="B858" s="49"/>
      <c r="C858" s="49"/>
      <c r="D858" s="50"/>
      <c r="E858" s="50"/>
      <c r="F858" s="50"/>
      <c r="G858" s="50"/>
      <c r="H858" s="51"/>
      <c r="I858" s="39"/>
      <c r="J858" s="51"/>
      <c r="K858" s="51"/>
      <c r="L858" s="51"/>
      <c r="P858" s="52"/>
      <c r="Q858" s="47"/>
    </row>
    <row r="859" spans="1:17" ht="15" customHeight="1" x14ac:dyDescent="0.3">
      <c r="A859" s="49"/>
      <c r="B859" s="49"/>
      <c r="C859" s="49"/>
      <c r="D859" s="50"/>
      <c r="E859" s="50"/>
      <c r="F859" s="50"/>
      <c r="G859" s="50"/>
      <c r="H859" s="51"/>
      <c r="I859" s="39"/>
      <c r="J859" s="51"/>
      <c r="K859" s="51"/>
      <c r="L859" s="51"/>
      <c r="P859" s="52"/>
      <c r="Q859" s="47"/>
    </row>
    <row r="860" spans="1:17" ht="15" customHeight="1" x14ac:dyDescent="0.3">
      <c r="A860" s="49"/>
      <c r="B860" s="49"/>
      <c r="C860" s="49"/>
      <c r="D860" s="50"/>
      <c r="E860" s="50"/>
      <c r="F860" s="50"/>
      <c r="G860" s="50"/>
      <c r="H860" s="51"/>
      <c r="I860" s="39"/>
      <c r="J860" s="51"/>
      <c r="K860" s="51"/>
      <c r="L860" s="51"/>
      <c r="P860" s="52"/>
      <c r="Q860" s="47"/>
    </row>
    <row r="861" spans="1:17" ht="15" customHeight="1" x14ac:dyDescent="0.3">
      <c r="A861" s="49"/>
      <c r="B861" s="49"/>
      <c r="C861" s="49"/>
      <c r="D861" s="50"/>
      <c r="E861" s="50"/>
      <c r="F861" s="50"/>
      <c r="G861" s="50"/>
      <c r="H861" s="51"/>
      <c r="I861" s="39"/>
      <c r="J861" s="51"/>
      <c r="K861" s="51"/>
      <c r="L861" s="51"/>
      <c r="P861" s="52"/>
      <c r="Q861" s="47"/>
    </row>
    <row r="862" spans="1:17" ht="15" customHeight="1" x14ac:dyDescent="0.3">
      <c r="A862" s="49"/>
      <c r="B862" s="49"/>
      <c r="C862" s="49"/>
      <c r="D862" s="50"/>
      <c r="E862" s="50"/>
      <c r="F862" s="50"/>
      <c r="G862" s="50"/>
      <c r="H862" s="51"/>
      <c r="I862" s="39"/>
      <c r="J862" s="51"/>
      <c r="K862" s="51"/>
      <c r="L862" s="51"/>
      <c r="P862" s="52"/>
      <c r="Q862" s="47"/>
    </row>
    <row r="863" spans="1:17" ht="15" customHeight="1" x14ac:dyDescent="0.3">
      <c r="A863" s="49"/>
      <c r="B863" s="49"/>
      <c r="C863" s="49"/>
      <c r="D863" s="50"/>
      <c r="E863" s="50"/>
      <c r="F863" s="50"/>
      <c r="G863" s="50"/>
      <c r="H863" s="51"/>
      <c r="I863" s="39"/>
      <c r="J863" s="51"/>
      <c r="K863" s="51"/>
      <c r="L863" s="51"/>
      <c r="P863" s="52"/>
      <c r="Q863" s="47"/>
    </row>
    <row r="864" spans="1:17" ht="15" customHeight="1" x14ac:dyDescent="0.3">
      <c r="A864" s="49"/>
      <c r="B864" s="49"/>
      <c r="C864" s="49"/>
      <c r="D864" s="50"/>
      <c r="E864" s="50"/>
      <c r="F864" s="50"/>
      <c r="G864" s="50"/>
      <c r="H864" s="51"/>
      <c r="I864" s="39"/>
      <c r="J864" s="51"/>
      <c r="K864" s="51"/>
      <c r="L864" s="51"/>
      <c r="P864" s="52"/>
      <c r="Q864" s="47"/>
    </row>
    <row r="865" spans="1:17" ht="15" customHeight="1" x14ac:dyDescent="0.3">
      <c r="A865" s="49"/>
      <c r="B865" s="49"/>
      <c r="C865" s="49"/>
      <c r="D865" s="50"/>
      <c r="E865" s="50"/>
      <c r="F865" s="50"/>
      <c r="G865" s="50"/>
      <c r="H865" s="51"/>
      <c r="I865" s="39"/>
      <c r="J865" s="51"/>
      <c r="K865" s="51"/>
      <c r="L865" s="51"/>
      <c r="P865" s="52"/>
      <c r="Q865" s="47"/>
    </row>
    <row r="866" spans="1:17" ht="15" customHeight="1" x14ac:dyDescent="0.3">
      <c r="A866" s="49"/>
      <c r="B866" s="49"/>
      <c r="C866" s="49"/>
      <c r="D866" s="50"/>
      <c r="E866" s="50"/>
      <c r="F866" s="50"/>
      <c r="G866" s="50"/>
      <c r="H866" s="51"/>
      <c r="I866" s="39"/>
      <c r="J866" s="51"/>
      <c r="K866" s="51"/>
      <c r="L866" s="51"/>
      <c r="P866" s="52"/>
      <c r="Q866" s="47"/>
    </row>
    <row r="867" spans="1:17" ht="15" customHeight="1" x14ac:dyDescent="0.3">
      <c r="A867" s="49"/>
      <c r="B867" s="49"/>
      <c r="C867" s="49"/>
      <c r="D867" s="50"/>
      <c r="E867" s="50"/>
      <c r="F867" s="50"/>
      <c r="G867" s="50"/>
      <c r="H867" s="51"/>
      <c r="I867" s="39"/>
      <c r="J867" s="51"/>
      <c r="K867" s="51"/>
      <c r="L867" s="51"/>
      <c r="P867" s="52"/>
      <c r="Q867" s="47"/>
    </row>
    <row r="868" spans="1:17" ht="15" customHeight="1" x14ac:dyDescent="0.3">
      <c r="A868" s="49"/>
      <c r="B868" s="49"/>
      <c r="C868" s="49"/>
      <c r="D868" s="50"/>
      <c r="E868" s="50"/>
      <c r="F868" s="50"/>
      <c r="G868" s="50"/>
      <c r="H868" s="51"/>
      <c r="I868" s="39"/>
      <c r="J868" s="51"/>
      <c r="K868" s="51"/>
      <c r="L868" s="51"/>
      <c r="P868" s="52"/>
      <c r="Q868" s="47"/>
    </row>
    <row r="869" spans="1:17" ht="15" customHeight="1" x14ac:dyDescent="0.3">
      <c r="A869" s="49"/>
      <c r="B869" s="49"/>
      <c r="C869" s="49"/>
      <c r="D869" s="50"/>
      <c r="E869" s="50"/>
      <c r="F869" s="50"/>
      <c r="G869" s="50"/>
      <c r="H869" s="51"/>
      <c r="I869" s="39"/>
      <c r="J869" s="51"/>
      <c r="K869" s="51"/>
      <c r="L869" s="51"/>
      <c r="P869" s="52"/>
      <c r="Q869" s="47"/>
    </row>
    <row r="870" spans="1:17" ht="15" customHeight="1" x14ac:dyDescent="0.3">
      <c r="A870" s="49"/>
      <c r="B870" s="49"/>
      <c r="C870" s="49"/>
      <c r="D870" s="50"/>
      <c r="E870" s="50"/>
      <c r="F870" s="50"/>
      <c r="G870" s="50"/>
      <c r="H870" s="51"/>
      <c r="I870" s="39"/>
      <c r="J870" s="51"/>
      <c r="K870" s="51"/>
      <c r="L870" s="51"/>
      <c r="P870" s="52"/>
      <c r="Q870" s="47"/>
    </row>
    <row r="871" spans="1:17" ht="15" customHeight="1" x14ac:dyDescent="0.3">
      <c r="A871" s="49"/>
      <c r="B871" s="49"/>
      <c r="C871" s="49"/>
      <c r="D871" s="50"/>
      <c r="E871" s="50"/>
      <c r="F871" s="50"/>
      <c r="G871" s="50"/>
      <c r="H871" s="51"/>
      <c r="I871" s="39"/>
      <c r="J871" s="51"/>
      <c r="K871" s="51"/>
      <c r="L871" s="51"/>
      <c r="P871" s="52"/>
      <c r="Q871" s="47"/>
    </row>
    <row r="872" spans="1:17" ht="15" customHeight="1" x14ac:dyDescent="0.3">
      <c r="A872" s="49"/>
      <c r="B872" s="49"/>
      <c r="C872" s="49"/>
      <c r="D872" s="50"/>
      <c r="E872" s="50"/>
      <c r="F872" s="50"/>
      <c r="G872" s="50"/>
      <c r="H872" s="51"/>
      <c r="I872" s="39"/>
      <c r="J872" s="51"/>
      <c r="K872" s="51"/>
      <c r="L872" s="51"/>
      <c r="P872" s="52"/>
      <c r="Q872" s="47"/>
    </row>
    <row r="873" spans="1:17" ht="15" customHeight="1" x14ac:dyDescent="0.3">
      <c r="A873" s="49"/>
      <c r="B873" s="49"/>
      <c r="C873" s="49"/>
      <c r="D873" s="50"/>
      <c r="E873" s="50"/>
      <c r="F873" s="50"/>
      <c r="G873" s="50"/>
      <c r="H873" s="51"/>
      <c r="I873" s="39"/>
      <c r="J873" s="51"/>
      <c r="K873" s="51"/>
      <c r="L873" s="51"/>
      <c r="P873" s="52"/>
      <c r="Q873" s="47"/>
    </row>
    <row r="874" spans="1:17" ht="15" customHeight="1" x14ac:dyDescent="0.3">
      <c r="A874" s="49"/>
      <c r="B874" s="49"/>
      <c r="C874" s="49"/>
      <c r="D874" s="50"/>
      <c r="E874" s="50"/>
      <c r="F874" s="50"/>
      <c r="G874" s="50"/>
      <c r="H874" s="51"/>
      <c r="I874" s="39"/>
      <c r="J874" s="51"/>
      <c r="K874" s="51"/>
      <c r="L874" s="51"/>
      <c r="P874" s="52"/>
      <c r="Q874" s="47"/>
    </row>
    <row r="875" spans="1:17" ht="15" customHeight="1" x14ac:dyDescent="0.3">
      <c r="A875" s="49"/>
      <c r="B875" s="49"/>
      <c r="C875" s="49"/>
      <c r="D875" s="50"/>
      <c r="E875" s="50"/>
      <c r="F875" s="50"/>
      <c r="G875" s="50"/>
      <c r="H875" s="51"/>
      <c r="I875" s="39"/>
      <c r="J875" s="51"/>
      <c r="K875" s="51"/>
      <c r="L875" s="51"/>
      <c r="P875" s="52"/>
      <c r="Q875" s="47"/>
    </row>
    <row r="876" spans="1:17" ht="15" customHeight="1" x14ac:dyDescent="0.3">
      <c r="A876" s="49"/>
      <c r="B876" s="49"/>
      <c r="C876" s="49"/>
      <c r="D876" s="50"/>
      <c r="E876" s="50"/>
      <c r="F876" s="50"/>
      <c r="G876" s="50"/>
      <c r="H876" s="51"/>
      <c r="I876" s="39"/>
      <c r="J876" s="51"/>
      <c r="K876" s="51"/>
      <c r="L876" s="51"/>
      <c r="P876" s="52"/>
      <c r="Q876" s="47"/>
    </row>
    <row r="877" spans="1:17" ht="15" customHeight="1" x14ac:dyDescent="0.3">
      <c r="A877" s="49"/>
      <c r="B877" s="49"/>
      <c r="C877" s="49"/>
      <c r="D877" s="50"/>
      <c r="E877" s="50"/>
      <c r="F877" s="50"/>
      <c r="G877" s="50"/>
      <c r="H877" s="51"/>
      <c r="I877" s="39"/>
      <c r="J877" s="51"/>
      <c r="K877" s="51"/>
      <c r="L877" s="51"/>
      <c r="P877" s="52"/>
      <c r="Q877" s="47"/>
    </row>
    <row r="878" spans="1:17" ht="15" customHeight="1" x14ac:dyDescent="0.3">
      <c r="A878" s="49"/>
      <c r="B878" s="49"/>
      <c r="C878" s="49"/>
      <c r="D878" s="50"/>
      <c r="E878" s="50"/>
      <c r="F878" s="50"/>
      <c r="G878" s="50"/>
      <c r="H878" s="51"/>
      <c r="I878" s="39"/>
      <c r="J878" s="51"/>
      <c r="K878" s="51"/>
      <c r="L878" s="51"/>
      <c r="P878" s="52"/>
      <c r="Q878" s="47"/>
    </row>
    <row r="879" spans="1:17" ht="15" customHeight="1" x14ac:dyDescent="0.3">
      <c r="A879" s="49"/>
      <c r="B879" s="49"/>
      <c r="C879" s="49"/>
      <c r="D879" s="50"/>
      <c r="E879" s="50"/>
      <c r="F879" s="50"/>
      <c r="G879" s="50"/>
      <c r="H879" s="51"/>
      <c r="I879" s="39"/>
      <c r="J879" s="51"/>
      <c r="K879" s="51"/>
      <c r="L879" s="51"/>
      <c r="P879" s="52"/>
      <c r="Q879" s="47"/>
    </row>
    <row r="880" spans="1:17" ht="15" customHeight="1" x14ac:dyDescent="0.3">
      <c r="A880" s="49"/>
      <c r="B880" s="49"/>
      <c r="C880" s="49"/>
      <c r="D880" s="50"/>
      <c r="E880" s="50"/>
      <c r="F880" s="50"/>
      <c r="G880" s="50"/>
      <c r="H880" s="51"/>
      <c r="I880" s="39"/>
      <c r="J880" s="51"/>
      <c r="K880" s="51"/>
      <c r="L880" s="51"/>
      <c r="P880" s="52"/>
      <c r="Q880" s="47"/>
    </row>
    <row r="881" spans="1:17" ht="15" customHeight="1" x14ac:dyDescent="0.3">
      <c r="A881" s="49"/>
      <c r="B881" s="49"/>
      <c r="C881" s="49"/>
      <c r="D881" s="50"/>
      <c r="E881" s="50"/>
      <c r="F881" s="50"/>
      <c r="G881" s="50"/>
      <c r="H881" s="51"/>
      <c r="I881" s="39"/>
      <c r="J881" s="51"/>
      <c r="K881" s="51"/>
      <c r="L881" s="51"/>
      <c r="P881" s="52"/>
      <c r="Q881" s="47"/>
    </row>
    <row r="882" spans="1:17" ht="15" customHeight="1" x14ac:dyDescent="0.3">
      <c r="A882" s="49"/>
      <c r="B882" s="49"/>
      <c r="C882" s="49"/>
      <c r="D882" s="50"/>
      <c r="E882" s="50"/>
      <c r="F882" s="50"/>
      <c r="G882" s="50"/>
      <c r="H882" s="51"/>
      <c r="I882" s="39"/>
      <c r="J882" s="51"/>
      <c r="K882" s="51"/>
      <c r="L882" s="51"/>
      <c r="P882" s="52"/>
      <c r="Q882" s="47"/>
    </row>
    <row r="883" spans="1:17" ht="15" customHeight="1" x14ac:dyDescent="0.3">
      <c r="A883" s="49"/>
      <c r="B883" s="49"/>
      <c r="C883" s="49"/>
      <c r="D883" s="50"/>
      <c r="E883" s="50"/>
      <c r="F883" s="50"/>
      <c r="G883" s="50"/>
      <c r="H883" s="51"/>
      <c r="I883" s="39"/>
      <c r="J883" s="51"/>
      <c r="K883" s="51"/>
      <c r="L883" s="51"/>
      <c r="P883" s="52"/>
      <c r="Q883" s="47"/>
    </row>
    <row r="884" spans="1:17" ht="15" customHeight="1" x14ac:dyDescent="0.3">
      <c r="A884" s="49"/>
      <c r="B884" s="49"/>
      <c r="C884" s="49"/>
      <c r="D884" s="50"/>
      <c r="E884" s="50"/>
      <c r="F884" s="50"/>
      <c r="G884" s="50"/>
      <c r="H884" s="51"/>
      <c r="I884" s="39"/>
      <c r="J884" s="51"/>
      <c r="K884" s="51"/>
      <c r="L884" s="51"/>
      <c r="P884" s="52"/>
      <c r="Q884" s="47"/>
    </row>
    <row r="885" spans="1:17" ht="15" customHeight="1" x14ac:dyDescent="0.3">
      <c r="A885" s="49"/>
      <c r="B885" s="49"/>
      <c r="C885" s="49"/>
      <c r="D885" s="50"/>
      <c r="E885" s="50"/>
      <c r="F885" s="50"/>
      <c r="G885" s="50"/>
      <c r="H885" s="51"/>
      <c r="I885" s="39"/>
      <c r="J885" s="51"/>
      <c r="K885" s="51"/>
      <c r="L885" s="51"/>
      <c r="P885" s="52"/>
      <c r="Q885" s="47"/>
    </row>
    <row r="886" spans="1:17" ht="15" customHeight="1" x14ac:dyDescent="0.3">
      <c r="A886" s="49"/>
      <c r="B886" s="49"/>
      <c r="C886" s="49"/>
      <c r="D886" s="50"/>
      <c r="E886" s="50"/>
      <c r="F886" s="50"/>
      <c r="G886" s="50"/>
      <c r="H886" s="51"/>
      <c r="I886" s="39"/>
      <c r="J886" s="51"/>
      <c r="K886" s="51"/>
      <c r="L886" s="51"/>
      <c r="P886" s="52"/>
      <c r="Q886" s="47"/>
    </row>
    <row r="887" spans="1:17" ht="15" customHeight="1" x14ac:dyDescent="0.3">
      <c r="A887" s="49"/>
      <c r="B887" s="49"/>
      <c r="C887" s="49"/>
      <c r="D887" s="50"/>
      <c r="E887" s="50"/>
      <c r="F887" s="50"/>
      <c r="G887" s="50"/>
      <c r="H887" s="51"/>
      <c r="I887" s="39"/>
      <c r="J887" s="51"/>
      <c r="K887" s="51"/>
      <c r="L887" s="51"/>
      <c r="P887" s="52"/>
      <c r="Q887" s="47"/>
    </row>
    <row r="888" spans="1:17" ht="15" customHeight="1" x14ac:dyDescent="0.3">
      <c r="A888" s="49"/>
      <c r="B888" s="49"/>
      <c r="C888" s="49"/>
      <c r="D888" s="50"/>
      <c r="E888" s="50"/>
      <c r="F888" s="50"/>
      <c r="G888" s="50"/>
      <c r="H888" s="51"/>
      <c r="I888" s="39"/>
      <c r="J888" s="51"/>
      <c r="K888" s="51"/>
      <c r="L888" s="51"/>
      <c r="P888" s="52"/>
      <c r="Q888" s="47"/>
    </row>
    <row r="889" spans="1:17" ht="15" customHeight="1" x14ac:dyDescent="0.3">
      <c r="A889" s="49"/>
      <c r="B889" s="49"/>
      <c r="C889" s="49"/>
      <c r="D889" s="50"/>
      <c r="E889" s="50"/>
      <c r="F889" s="50"/>
      <c r="G889" s="50"/>
      <c r="H889" s="51"/>
      <c r="I889" s="39"/>
      <c r="J889" s="51"/>
      <c r="K889" s="51"/>
      <c r="L889" s="51"/>
      <c r="P889" s="52"/>
      <c r="Q889" s="47"/>
    </row>
    <row r="890" spans="1:17" ht="15" customHeight="1" x14ac:dyDescent="0.3">
      <c r="A890" s="49"/>
      <c r="B890" s="49"/>
      <c r="C890" s="49"/>
      <c r="D890" s="50"/>
      <c r="E890" s="50"/>
      <c r="F890" s="50"/>
      <c r="G890" s="50"/>
      <c r="H890" s="51"/>
      <c r="I890" s="39"/>
      <c r="J890" s="51"/>
      <c r="K890" s="51"/>
      <c r="L890" s="51"/>
      <c r="P890" s="52"/>
      <c r="Q890" s="47"/>
    </row>
    <row r="891" spans="1:17" ht="15" customHeight="1" x14ac:dyDescent="0.3">
      <c r="A891" s="49"/>
      <c r="B891" s="49"/>
      <c r="C891" s="49"/>
      <c r="D891" s="50"/>
      <c r="E891" s="50"/>
      <c r="F891" s="50"/>
      <c r="G891" s="50"/>
      <c r="H891" s="51"/>
      <c r="I891" s="39"/>
      <c r="J891" s="51"/>
      <c r="K891" s="51"/>
      <c r="L891" s="51"/>
      <c r="P891" s="52"/>
      <c r="Q891" s="47"/>
    </row>
    <row r="892" spans="1:17" ht="15" customHeight="1" x14ac:dyDescent="0.3">
      <c r="A892" s="49"/>
      <c r="B892" s="49"/>
      <c r="C892" s="49"/>
      <c r="D892" s="50"/>
      <c r="E892" s="50"/>
      <c r="F892" s="50"/>
      <c r="G892" s="50"/>
      <c r="H892" s="51"/>
      <c r="I892" s="39"/>
      <c r="J892" s="51"/>
      <c r="K892" s="51"/>
      <c r="L892" s="51"/>
      <c r="P892" s="52"/>
      <c r="Q892" s="47"/>
    </row>
    <row r="893" spans="1:17" ht="15" customHeight="1" x14ac:dyDescent="0.3">
      <c r="A893" s="49"/>
      <c r="B893" s="49"/>
      <c r="C893" s="49"/>
      <c r="D893" s="50"/>
      <c r="E893" s="50"/>
      <c r="F893" s="50"/>
      <c r="G893" s="50"/>
      <c r="H893" s="51"/>
      <c r="I893" s="39"/>
      <c r="J893" s="51"/>
      <c r="K893" s="51"/>
      <c r="L893" s="51"/>
      <c r="P893" s="52"/>
      <c r="Q893" s="47"/>
    </row>
    <row r="894" spans="1:17" ht="15" customHeight="1" x14ac:dyDescent="0.3">
      <c r="A894" s="49"/>
      <c r="B894" s="49"/>
      <c r="C894" s="49"/>
      <c r="D894" s="50"/>
      <c r="E894" s="50"/>
      <c r="F894" s="50"/>
      <c r="G894" s="50"/>
      <c r="H894" s="51"/>
      <c r="I894" s="39"/>
      <c r="J894" s="51"/>
      <c r="K894" s="51"/>
      <c r="L894" s="51"/>
      <c r="P894" s="52"/>
      <c r="Q894" s="47"/>
    </row>
    <row r="895" spans="1:17" ht="15" customHeight="1" x14ac:dyDescent="0.3">
      <c r="A895" s="49"/>
      <c r="B895" s="49"/>
      <c r="C895" s="49"/>
      <c r="D895" s="50"/>
      <c r="E895" s="50"/>
      <c r="F895" s="50"/>
      <c r="G895" s="50"/>
      <c r="H895" s="51"/>
      <c r="I895" s="39"/>
      <c r="J895" s="51"/>
      <c r="K895" s="51"/>
      <c r="L895" s="51"/>
      <c r="P895" s="52"/>
      <c r="Q895" s="47"/>
    </row>
    <row r="896" spans="1:17" ht="15" customHeight="1" x14ac:dyDescent="0.3">
      <c r="A896" s="49"/>
      <c r="B896" s="49"/>
      <c r="C896" s="49"/>
      <c r="D896" s="50"/>
      <c r="E896" s="50"/>
      <c r="F896" s="50"/>
      <c r="G896" s="50"/>
      <c r="H896" s="51"/>
      <c r="I896" s="39"/>
      <c r="J896" s="51"/>
      <c r="K896" s="51"/>
      <c r="L896" s="51"/>
      <c r="P896" s="52"/>
      <c r="Q896" s="47"/>
    </row>
    <row r="897" spans="1:17" ht="15" customHeight="1" x14ac:dyDescent="0.3">
      <c r="A897" s="49"/>
      <c r="B897" s="49"/>
      <c r="C897" s="49"/>
      <c r="D897" s="50"/>
      <c r="E897" s="50"/>
      <c r="F897" s="50"/>
      <c r="G897" s="50"/>
      <c r="H897" s="51"/>
      <c r="I897" s="39"/>
      <c r="J897" s="51"/>
      <c r="K897" s="51"/>
      <c r="L897" s="51"/>
      <c r="P897" s="52"/>
      <c r="Q897" s="47"/>
    </row>
    <row r="898" spans="1:17" ht="15" customHeight="1" x14ac:dyDescent="0.3">
      <c r="A898" s="49"/>
      <c r="B898" s="49"/>
      <c r="C898" s="49"/>
      <c r="D898" s="50"/>
      <c r="E898" s="50"/>
      <c r="F898" s="50"/>
      <c r="G898" s="50"/>
      <c r="H898" s="51"/>
      <c r="I898" s="39"/>
      <c r="J898" s="51"/>
      <c r="K898" s="51"/>
      <c r="L898" s="51"/>
      <c r="P898" s="52"/>
      <c r="Q898" s="47"/>
    </row>
    <row r="899" spans="1:17" ht="15" customHeight="1" x14ac:dyDescent="0.3">
      <c r="A899" s="49"/>
      <c r="B899" s="49"/>
      <c r="C899" s="49"/>
      <c r="D899" s="50"/>
      <c r="E899" s="50"/>
      <c r="F899" s="50"/>
      <c r="G899" s="50"/>
      <c r="H899" s="51"/>
      <c r="I899" s="39"/>
      <c r="J899" s="51"/>
      <c r="K899" s="51"/>
      <c r="L899" s="51"/>
      <c r="P899" s="52"/>
      <c r="Q899" s="47"/>
    </row>
    <row r="900" spans="1:17" ht="15" customHeight="1" x14ac:dyDescent="0.3">
      <c r="A900" s="49"/>
      <c r="B900" s="49"/>
      <c r="C900" s="49"/>
      <c r="D900" s="50"/>
      <c r="E900" s="50"/>
      <c r="F900" s="50"/>
      <c r="G900" s="50"/>
      <c r="H900" s="51"/>
      <c r="I900" s="39"/>
      <c r="J900" s="51"/>
      <c r="K900" s="51"/>
      <c r="L900" s="51"/>
      <c r="P900" s="52"/>
      <c r="Q900" s="47"/>
    </row>
    <row r="901" spans="1:17" ht="15" customHeight="1" x14ac:dyDescent="0.3">
      <c r="A901" s="49"/>
      <c r="B901" s="49"/>
      <c r="C901" s="49"/>
      <c r="D901" s="50"/>
      <c r="E901" s="50"/>
      <c r="F901" s="50"/>
      <c r="G901" s="50"/>
      <c r="H901" s="51"/>
      <c r="I901" s="39"/>
      <c r="J901" s="51"/>
      <c r="K901" s="51"/>
      <c r="L901" s="51"/>
      <c r="P901" s="52"/>
      <c r="Q901" s="47"/>
    </row>
    <row r="902" spans="1:17" ht="15" customHeight="1" x14ac:dyDescent="0.3">
      <c r="A902" s="49"/>
      <c r="B902" s="49"/>
      <c r="C902" s="49"/>
      <c r="D902" s="50"/>
      <c r="E902" s="50"/>
      <c r="F902" s="50"/>
      <c r="G902" s="50"/>
      <c r="H902" s="51"/>
      <c r="I902" s="39"/>
      <c r="J902" s="51"/>
      <c r="K902" s="51"/>
      <c r="L902" s="51"/>
      <c r="P902" s="52"/>
      <c r="Q902" s="47"/>
    </row>
    <row r="903" spans="1:17" ht="15" customHeight="1" x14ac:dyDescent="0.3">
      <c r="A903" s="49"/>
      <c r="B903" s="49"/>
      <c r="C903" s="49"/>
      <c r="D903" s="50"/>
      <c r="E903" s="50"/>
      <c r="F903" s="50"/>
      <c r="G903" s="50"/>
      <c r="H903" s="51"/>
      <c r="I903" s="39"/>
      <c r="J903" s="51"/>
      <c r="K903" s="51"/>
      <c r="L903" s="51"/>
      <c r="P903" s="52"/>
      <c r="Q903" s="47"/>
    </row>
    <row r="904" spans="1:17" ht="15" customHeight="1" x14ac:dyDescent="0.3">
      <c r="A904" s="49"/>
      <c r="B904" s="49"/>
      <c r="C904" s="49"/>
      <c r="D904" s="50"/>
      <c r="E904" s="50"/>
      <c r="F904" s="50"/>
      <c r="G904" s="50"/>
      <c r="H904" s="51"/>
      <c r="I904" s="39"/>
      <c r="J904" s="51"/>
      <c r="K904" s="51"/>
      <c r="L904" s="51"/>
      <c r="P904" s="52"/>
      <c r="Q904" s="47"/>
    </row>
    <row r="905" spans="1:17" ht="15" customHeight="1" x14ac:dyDescent="0.3">
      <c r="A905" s="49"/>
      <c r="B905" s="49"/>
      <c r="C905" s="49"/>
      <c r="D905" s="50"/>
      <c r="E905" s="50"/>
      <c r="F905" s="50"/>
      <c r="G905" s="50"/>
      <c r="H905" s="51"/>
      <c r="I905" s="39"/>
      <c r="J905" s="51"/>
      <c r="K905" s="51"/>
      <c r="L905" s="51"/>
      <c r="P905" s="52"/>
      <c r="Q905" s="47"/>
    </row>
    <row r="906" spans="1:17" ht="15" customHeight="1" x14ac:dyDescent="0.3">
      <c r="A906" s="49"/>
      <c r="B906" s="49"/>
      <c r="C906" s="49"/>
      <c r="D906" s="50"/>
      <c r="E906" s="50"/>
      <c r="F906" s="50"/>
      <c r="G906" s="50"/>
      <c r="H906" s="51"/>
      <c r="I906" s="39"/>
      <c r="J906" s="51"/>
      <c r="K906" s="51"/>
      <c r="L906" s="51"/>
      <c r="P906" s="52"/>
      <c r="Q906" s="47"/>
    </row>
    <row r="907" spans="1:17" ht="15" customHeight="1" x14ac:dyDescent="0.3">
      <c r="A907" s="49"/>
      <c r="B907" s="49"/>
      <c r="C907" s="49"/>
      <c r="D907" s="50"/>
      <c r="E907" s="50"/>
      <c r="F907" s="50"/>
      <c r="G907" s="50"/>
      <c r="H907" s="51"/>
      <c r="I907" s="39"/>
      <c r="J907" s="51"/>
      <c r="K907" s="51"/>
      <c r="L907" s="51"/>
      <c r="P907" s="52"/>
      <c r="Q907" s="47"/>
    </row>
    <row r="908" spans="1:17" ht="15" customHeight="1" x14ac:dyDescent="0.3">
      <c r="A908" s="49"/>
      <c r="B908" s="49"/>
      <c r="C908" s="49"/>
      <c r="D908" s="50"/>
      <c r="E908" s="50"/>
      <c r="F908" s="50"/>
      <c r="G908" s="50"/>
      <c r="H908" s="51"/>
      <c r="I908" s="39"/>
      <c r="J908" s="51"/>
      <c r="K908" s="51"/>
      <c r="L908" s="51"/>
      <c r="P908" s="52"/>
      <c r="Q908" s="47"/>
    </row>
    <row r="909" spans="1:17" ht="15" customHeight="1" x14ac:dyDescent="0.3">
      <c r="A909" s="49"/>
      <c r="B909" s="49"/>
      <c r="C909" s="49"/>
      <c r="D909" s="50"/>
      <c r="E909" s="50"/>
      <c r="F909" s="50"/>
      <c r="G909" s="50"/>
      <c r="H909" s="51"/>
      <c r="I909" s="39"/>
      <c r="J909" s="51"/>
      <c r="K909" s="51"/>
      <c r="L909" s="51"/>
      <c r="P909" s="52"/>
      <c r="Q909" s="47"/>
    </row>
    <row r="910" spans="1:17" ht="15" customHeight="1" x14ac:dyDescent="0.3">
      <c r="A910" s="49"/>
      <c r="B910" s="49"/>
      <c r="C910" s="49"/>
      <c r="D910" s="50"/>
      <c r="E910" s="50"/>
      <c r="F910" s="50"/>
      <c r="G910" s="50"/>
      <c r="H910" s="51"/>
      <c r="I910" s="39"/>
      <c r="J910" s="51"/>
      <c r="K910" s="51"/>
      <c r="L910" s="51"/>
      <c r="P910" s="52"/>
      <c r="Q910" s="47"/>
    </row>
    <row r="911" spans="1:17" ht="15" customHeight="1" x14ac:dyDescent="0.3">
      <c r="A911" s="49"/>
      <c r="B911" s="49"/>
      <c r="C911" s="49"/>
      <c r="D911" s="50"/>
      <c r="E911" s="50"/>
      <c r="F911" s="50"/>
      <c r="G911" s="50"/>
      <c r="H911" s="51"/>
      <c r="I911" s="39"/>
      <c r="J911" s="51"/>
      <c r="K911" s="51"/>
      <c r="L911" s="51"/>
      <c r="P911" s="52"/>
      <c r="Q911" s="47"/>
    </row>
    <row r="912" spans="1:17" ht="15" customHeight="1" x14ac:dyDescent="0.3">
      <c r="A912" s="49"/>
      <c r="B912" s="49"/>
      <c r="C912" s="49"/>
      <c r="D912" s="50"/>
      <c r="E912" s="50"/>
      <c r="F912" s="50"/>
      <c r="G912" s="50"/>
      <c r="H912" s="51"/>
      <c r="I912" s="39"/>
      <c r="J912" s="51"/>
      <c r="K912" s="51"/>
      <c r="L912" s="51"/>
      <c r="P912" s="52"/>
      <c r="Q912" s="47"/>
    </row>
    <row r="913" spans="1:17" ht="15" customHeight="1" x14ac:dyDescent="0.3">
      <c r="A913" s="49"/>
      <c r="B913" s="49"/>
      <c r="C913" s="49"/>
      <c r="D913" s="50"/>
      <c r="E913" s="50"/>
      <c r="F913" s="50"/>
      <c r="G913" s="50"/>
      <c r="H913" s="51"/>
      <c r="I913" s="39"/>
      <c r="J913" s="51"/>
      <c r="K913" s="51"/>
      <c r="L913" s="51"/>
      <c r="P913" s="52"/>
      <c r="Q913" s="47"/>
    </row>
    <row r="914" spans="1:17" ht="15" customHeight="1" x14ac:dyDescent="0.3">
      <c r="A914" s="49"/>
      <c r="B914" s="49"/>
      <c r="C914" s="49"/>
      <c r="D914" s="50"/>
      <c r="E914" s="50"/>
      <c r="F914" s="50"/>
      <c r="G914" s="50"/>
      <c r="H914" s="51"/>
      <c r="I914" s="39"/>
      <c r="J914" s="51"/>
      <c r="K914" s="51"/>
      <c r="L914" s="51"/>
      <c r="P914" s="52"/>
      <c r="Q914" s="47"/>
    </row>
    <row r="915" spans="1:17" ht="15" customHeight="1" x14ac:dyDescent="0.3">
      <c r="A915" s="49"/>
      <c r="B915" s="49"/>
      <c r="C915" s="49"/>
      <c r="D915" s="50"/>
      <c r="E915" s="50"/>
      <c r="F915" s="50"/>
      <c r="G915" s="50"/>
      <c r="H915" s="51"/>
      <c r="I915" s="39"/>
      <c r="J915" s="51"/>
      <c r="K915" s="51"/>
      <c r="L915" s="51"/>
      <c r="P915" s="52"/>
      <c r="Q915" s="47"/>
    </row>
    <row r="916" spans="1:17" ht="15" customHeight="1" x14ac:dyDescent="0.3">
      <c r="A916" s="49"/>
      <c r="B916" s="49"/>
      <c r="C916" s="49"/>
      <c r="D916" s="50"/>
      <c r="E916" s="50"/>
      <c r="F916" s="50"/>
      <c r="G916" s="50"/>
      <c r="H916" s="51"/>
      <c r="I916" s="39"/>
      <c r="J916" s="51"/>
      <c r="K916" s="51"/>
      <c r="L916" s="51"/>
      <c r="P916" s="52"/>
      <c r="Q916" s="47"/>
    </row>
    <row r="917" spans="1:17" ht="15" customHeight="1" x14ac:dyDescent="0.3">
      <c r="A917" s="49"/>
      <c r="B917" s="49"/>
      <c r="C917" s="49"/>
      <c r="D917" s="50"/>
      <c r="E917" s="50"/>
      <c r="F917" s="50"/>
      <c r="G917" s="50"/>
      <c r="H917" s="51"/>
      <c r="I917" s="39"/>
      <c r="J917" s="51"/>
      <c r="K917" s="51"/>
      <c r="L917" s="51"/>
      <c r="P917" s="52"/>
      <c r="Q917" s="47"/>
    </row>
    <row r="918" spans="1:17" ht="15" customHeight="1" x14ac:dyDescent="0.3">
      <c r="A918" s="49"/>
      <c r="B918" s="49"/>
      <c r="C918" s="49"/>
      <c r="D918" s="50"/>
      <c r="E918" s="50"/>
      <c r="F918" s="50"/>
      <c r="G918" s="50"/>
      <c r="H918" s="51"/>
      <c r="I918" s="39"/>
      <c r="J918" s="51"/>
      <c r="K918" s="51"/>
      <c r="L918" s="51"/>
      <c r="P918" s="52"/>
      <c r="Q918" s="47"/>
    </row>
    <row r="919" spans="1:17" ht="15" customHeight="1" x14ac:dyDescent="0.3">
      <c r="A919" s="49"/>
      <c r="B919" s="49"/>
      <c r="C919" s="49"/>
      <c r="D919" s="50"/>
      <c r="E919" s="50"/>
      <c r="F919" s="50"/>
      <c r="G919" s="50"/>
      <c r="H919" s="51"/>
      <c r="I919" s="39"/>
      <c r="J919" s="51"/>
      <c r="K919" s="51"/>
      <c r="L919" s="51"/>
      <c r="P919" s="52"/>
      <c r="Q919" s="47"/>
    </row>
    <row r="920" spans="1:17" ht="15" customHeight="1" x14ac:dyDescent="0.3">
      <c r="A920" s="49"/>
      <c r="B920" s="49"/>
      <c r="C920" s="49"/>
      <c r="D920" s="50"/>
      <c r="E920" s="50"/>
      <c r="F920" s="50"/>
      <c r="G920" s="50"/>
      <c r="H920" s="51"/>
      <c r="I920" s="39"/>
      <c r="J920" s="51"/>
      <c r="K920" s="51"/>
      <c r="L920" s="51"/>
      <c r="P920" s="52"/>
      <c r="Q920" s="47"/>
    </row>
    <row r="921" spans="1:17" ht="15" customHeight="1" x14ac:dyDescent="0.3">
      <c r="A921" s="49"/>
      <c r="B921" s="49"/>
      <c r="C921" s="49"/>
      <c r="D921" s="50"/>
      <c r="E921" s="50"/>
      <c r="F921" s="50"/>
      <c r="G921" s="50"/>
      <c r="H921" s="51"/>
      <c r="I921" s="39"/>
      <c r="J921" s="51"/>
      <c r="K921" s="51"/>
      <c r="L921" s="51"/>
      <c r="P921" s="52"/>
      <c r="Q921" s="47"/>
    </row>
    <row r="922" spans="1:17" ht="15" customHeight="1" x14ac:dyDescent="0.3">
      <c r="A922" s="49"/>
      <c r="B922" s="49"/>
      <c r="C922" s="49"/>
      <c r="D922" s="50"/>
      <c r="E922" s="50"/>
      <c r="F922" s="50"/>
      <c r="G922" s="50"/>
      <c r="H922" s="51"/>
      <c r="I922" s="39"/>
      <c r="J922" s="51"/>
      <c r="K922" s="51"/>
      <c r="L922" s="51"/>
      <c r="P922" s="52"/>
      <c r="Q922" s="47"/>
    </row>
    <row r="923" spans="1:17" ht="15" customHeight="1" x14ac:dyDescent="0.3">
      <c r="A923" s="49"/>
      <c r="B923" s="49"/>
      <c r="C923" s="49"/>
      <c r="D923" s="50"/>
      <c r="E923" s="50"/>
      <c r="F923" s="50"/>
      <c r="G923" s="50"/>
      <c r="H923" s="51"/>
      <c r="I923" s="39"/>
      <c r="J923" s="51"/>
      <c r="K923" s="51"/>
      <c r="L923" s="51"/>
      <c r="P923" s="52"/>
      <c r="Q923" s="47"/>
    </row>
    <row r="924" spans="1:17" ht="15" customHeight="1" x14ac:dyDescent="0.3">
      <c r="A924" s="49"/>
      <c r="B924" s="49"/>
      <c r="C924" s="49"/>
      <c r="D924" s="50"/>
      <c r="E924" s="50"/>
      <c r="F924" s="50"/>
      <c r="G924" s="50"/>
      <c r="H924" s="51"/>
      <c r="I924" s="39"/>
      <c r="J924" s="51"/>
      <c r="K924" s="51"/>
      <c r="L924" s="51"/>
      <c r="P924" s="52"/>
      <c r="Q924" s="47"/>
    </row>
    <row r="925" spans="1:17" ht="15" customHeight="1" x14ac:dyDescent="0.3">
      <c r="A925" s="49"/>
      <c r="B925" s="49"/>
      <c r="C925" s="49"/>
      <c r="D925" s="50"/>
      <c r="E925" s="50"/>
      <c r="F925" s="50"/>
      <c r="G925" s="50"/>
      <c r="H925" s="51"/>
      <c r="I925" s="39"/>
      <c r="J925" s="51"/>
      <c r="K925" s="51"/>
      <c r="L925" s="51"/>
      <c r="P925" s="52"/>
      <c r="Q925" s="47"/>
    </row>
    <row r="926" spans="1:17" ht="15" customHeight="1" x14ac:dyDescent="0.3">
      <c r="A926" s="49"/>
      <c r="B926" s="49"/>
      <c r="C926" s="49"/>
      <c r="D926" s="50"/>
      <c r="E926" s="50"/>
      <c r="F926" s="50"/>
      <c r="G926" s="50"/>
      <c r="H926" s="51"/>
      <c r="I926" s="39"/>
      <c r="J926" s="51"/>
      <c r="K926" s="51"/>
      <c r="L926" s="51"/>
      <c r="P926" s="52"/>
      <c r="Q926" s="47"/>
    </row>
    <row r="927" spans="1:17" ht="15" customHeight="1" x14ac:dyDescent="0.3">
      <c r="A927" s="49"/>
      <c r="B927" s="49"/>
      <c r="C927" s="49"/>
      <c r="D927" s="50"/>
      <c r="E927" s="50"/>
      <c r="F927" s="50"/>
      <c r="G927" s="50"/>
      <c r="H927" s="51"/>
      <c r="I927" s="39"/>
      <c r="J927" s="51"/>
      <c r="K927" s="51"/>
      <c r="L927" s="51"/>
      <c r="P927" s="52"/>
      <c r="Q927" s="47"/>
    </row>
    <row r="928" spans="1:17" ht="15" customHeight="1" x14ac:dyDescent="0.3">
      <c r="A928" s="49"/>
      <c r="B928" s="49"/>
      <c r="C928" s="49"/>
      <c r="D928" s="50"/>
      <c r="E928" s="50"/>
      <c r="F928" s="50"/>
      <c r="G928" s="50"/>
      <c r="H928" s="51"/>
      <c r="I928" s="39"/>
      <c r="J928" s="51"/>
      <c r="K928" s="51"/>
      <c r="L928" s="51"/>
      <c r="P928" s="52"/>
      <c r="Q928" s="47"/>
    </row>
    <row r="929" spans="1:17" ht="15" customHeight="1" x14ac:dyDescent="0.3">
      <c r="A929" s="49"/>
      <c r="B929" s="49"/>
      <c r="C929" s="49"/>
      <c r="D929" s="50"/>
      <c r="E929" s="50"/>
      <c r="F929" s="50"/>
      <c r="G929" s="50"/>
      <c r="H929" s="51"/>
      <c r="I929" s="39"/>
      <c r="J929" s="51"/>
      <c r="K929" s="51"/>
      <c r="L929" s="51"/>
      <c r="P929" s="52"/>
      <c r="Q929" s="47"/>
    </row>
    <row r="930" spans="1:17" ht="15" customHeight="1" x14ac:dyDescent="0.3">
      <c r="A930" s="49"/>
      <c r="B930" s="49"/>
      <c r="C930" s="49"/>
      <c r="D930" s="50"/>
      <c r="E930" s="50"/>
      <c r="F930" s="50"/>
      <c r="G930" s="50"/>
      <c r="H930" s="51"/>
      <c r="I930" s="39"/>
      <c r="J930" s="51"/>
      <c r="K930" s="51"/>
      <c r="L930" s="51"/>
      <c r="P930" s="52"/>
      <c r="Q930" s="47"/>
    </row>
    <row r="931" spans="1:17" ht="15" customHeight="1" x14ac:dyDescent="0.3">
      <c r="A931" s="49"/>
      <c r="B931" s="49"/>
      <c r="C931" s="49"/>
      <c r="D931" s="50"/>
      <c r="E931" s="50"/>
      <c r="F931" s="50"/>
      <c r="G931" s="50"/>
      <c r="H931" s="51"/>
      <c r="I931" s="39"/>
      <c r="J931" s="51"/>
      <c r="K931" s="51"/>
      <c r="L931" s="51"/>
      <c r="P931" s="52"/>
      <c r="Q931" s="47"/>
    </row>
    <row r="932" spans="1:17" ht="15" customHeight="1" x14ac:dyDescent="0.3">
      <c r="A932" s="49"/>
      <c r="B932" s="49"/>
      <c r="C932" s="49"/>
      <c r="D932" s="50"/>
      <c r="E932" s="50"/>
      <c r="F932" s="50"/>
      <c r="G932" s="50"/>
      <c r="H932" s="51"/>
      <c r="I932" s="39"/>
      <c r="J932" s="51"/>
      <c r="K932" s="51"/>
      <c r="L932" s="51"/>
      <c r="P932" s="52"/>
      <c r="Q932" s="47"/>
    </row>
    <row r="933" spans="1:17" ht="15" customHeight="1" x14ac:dyDescent="0.3">
      <c r="A933" s="49"/>
      <c r="B933" s="49"/>
      <c r="C933" s="49"/>
      <c r="D933" s="50"/>
      <c r="E933" s="50"/>
      <c r="F933" s="50"/>
      <c r="G933" s="50"/>
      <c r="H933" s="51"/>
      <c r="I933" s="39"/>
      <c r="J933" s="51"/>
      <c r="K933" s="51"/>
      <c r="L933" s="51"/>
      <c r="P933" s="52"/>
      <c r="Q933" s="47"/>
    </row>
    <row r="934" spans="1:17" ht="15" customHeight="1" x14ac:dyDescent="0.3">
      <c r="A934" s="49"/>
      <c r="B934" s="49"/>
      <c r="C934" s="49"/>
      <c r="D934" s="50"/>
      <c r="E934" s="50"/>
      <c r="F934" s="50"/>
      <c r="G934" s="50"/>
      <c r="H934" s="51"/>
      <c r="I934" s="39"/>
      <c r="J934" s="51"/>
      <c r="K934" s="51"/>
      <c r="L934" s="51"/>
      <c r="P934" s="52"/>
      <c r="Q934" s="47"/>
    </row>
    <row r="935" spans="1:17" ht="15" customHeight="1" x14ac:dyDescent="0.3">
      <c r="A935" s="49"/>
      <c r="B935" s="49"/>
      <c r="C935" s="49"/>
      <c r="D935" s="50"/>
      <c r="E935" s="50"/>
      <c r="F935" s="50"/>
      <c r="G935" s="50"/>
      <c r="H935" s="51"/>
      <c r="I935" s="39"/>
      <c r="J935" s="51"/>
      <c r="K935" s="51"/>
      <c r="L935" s="51"/>
      <c r="P935" s="52"/>
      <c r="Q935" s="47"/>
    </row>
    <row r="936" spans="1:17" ht="15" customHeight="1" x14ac:dyDescent="0.3">
      <c r="A936" s="49"/>
      <c r="B936" s="49"/>
      <c r="C936" s="49"/>
      <c r="D936" s="50"/>
      <c r="E936" s="50"/>
      <c r="F936" s="50"/>
      <c r="G936" s="50"/>
      <c r="H936" s="51"/>
      <c r="I936" s="39"/>
      <c r="J936" s="51"/>
      <c r="K936" s="51"/>
      <c r="L936" s="51"/>
      <c r="P936" s="52"/>
      <c r="Q936" s="47"/>
    </row>
    <row r="937" spans="1:17" ht="15" customHeight="1" x14ac:dyDescent="0.3">
      <c r="A937" s="49"/>
      <c r="B937" s="49"/>
      <c r="C937" s="49"/>
      <c r="D937" s="50"/>
      <c r="E937" s="50"/>
      <c r="F937" s="50"/>
      <c r="G937" s="50"/>
      <c r="H937" s="51"/>
      <c r="I937" s="39"/>
      <c r="J937" s="51"/>
      <c r="K937" s="51"/>
      <c r="L937" s="51"/>
      <c r="P937" s="52"/>
      <c r="Q937" s="47"/>
    </row>
    <row r="938" spans="1:17" ht="15" customHeight="1" x14ac:dyDescent="0.3">
      <c r="A938" s="49"/>
      <c r="B938" s="49"/>
      <c r="C938" s="49"/>
      <c r="D938" s="50"/>
      <c r="E938" s="50"/>
      <c r="F938" s="50"/>
      <c r="G938" s="50"/>
      <c r="H938" s="51"/>
      <c r="I938" s="39"/>
      <c r="J938" s="51"/>
      <c r="K938" s="51"/>
      <c r="L938" s="51"/>
      <c r="P938" s="52"/>
      <c r="Q938" s="47"/>
    </row>
    <row r="939" spans="1:17" ht="15" customHeight="1" x14ac:dyDescent="0.3">
      <c r="A939" s="49"/>
      <c r="B939" s="49"/>
      <c r="C939" s="49"/>
      <c r="D939" s="50"/>
      <c r="E939" s="50"/>
      <c r="F939" s="50"/>
      <c r="G939" s="50"/>
      <c r="H939" s="51"/>
      <c r="I939" s="39"/>
      <c r="J939" s="51"/>
      <c r="K939" s="51"/>
      <c r="L939" s="51"/>
      <c r="P939" s="52"/>
      <c r="Q939" s="47"/>
    </row>
    <row r="940" spans="1:17" ht="15" customHeight="1" x14ac:dyDescent="0.3">
      <c r="A940" s="49"/>
      <c r="B940" s="49"/>
      <c r="C940" s="49"/>
      <c r="D940" s="50"/>
      <c r="E940" s="50"/>
      <c r="F940" s="50"/>
      <c r="G940" s="50"/>
      <c r="H940" s="51"/>
      <c r="I940" s="39"/>
      <c r="J940" s="51"/>
      <c r="K940" s="51"/>
      <c r="L940" s="51"/>
      <c r="P940" s="52"/>
      <c r="Q940" s="47"/>
    </row>
    <row r="941" spans="1:17" ht="15" customHeight="1" x14ac:dyDescent="0.3">
      <c r="A941" s="49"/>
      <c r="B941" s="49"/>
      <c r="C941" s="49"/>
      <c r="D941" s="50"/>
      <c r="E941" s="50"/>
      <c r="F941" s="50"/>
      <c r="G941" s="50"/>
      <c r="H941" s="51"/>
      <c r="I941" s="39"/>
      <c r="J941" s="51"/>
      <c r="K941" s="51"/>
      <c r="L941" s="51"/>
      <c r="P941" s="52"/>
      <c r="Q941" s="47"/>
    </row>
    <row r="942" spans="1:17" ht="15" customHeight="1" x14ac:dyDescent="0.3">
      <c r="A942" s="49"/>
      <c r="B942" s="49"/>
      <c r="C942" s="49"/>
      <c r="D942" s="50"/>
      <c r="E942" s="50"/>
      <c r="F942" s="50"/>
      <c r="G942" s="50"/>
      <c r="H942" s="51"/>
      <c r="I942" s="39"/>
      <c r="J942" s="51"/>
      <c r="K942" s="51"/>
      <c r="L942" s="51"/>
      <c r="P942" s="52"/>
      <c r="Q942" s="47"/>
    </row>
    <row r="943" spans="1:17" ht="15" customHeight="1" x14ac:dyDescent="0.3">
      <c r="A943" s="49"/>
      <c r="B943" s="49"/>
      <c r="C943" s="49"/>
      <c r="D943" s="50"/>
      <c r="E943" s="50"/>
      <c r="F943" s="50"/>
      <c r="G943" s="50"/>
      <c r="H943" s="51"/>
      <c r="I943" s="39"/>
      <c r="J943" s="51"/>
      <c r="K943" s="51"/>
      <c r="L943" s="51"/>
      <c r="P943" s="52"/>
      <c r="Q943" s="47"/>
    </row>
    <row r="944" spans="1:17" ht="15" customHeight="1" x14ac:dyDescent="0.3">
      <c r="A944" s="49"/>
      <c r="B944" s="49"/>
      <c r="C944" s="49"/>
      <c r="D944" s="50"/>
      <c r="E944" s="50"/>
      <c r="F944" s="50"/>
      <c r="G944" s="50"/>
      <c r="H944" s="51"/>
      <c r="I944" s="39"/>
      <c r="J944" s="51"/>
      <c r="K944" s="51"/>
      <c r="L944" s="51"/>
      <c r="P944" s="52"/>
      <c r="Q944" s="47"/>
    </row>
    <row r="945" spans="1:17" ht="15" customHeight="1" x14ac:dyDescent="0.3">
      <c r="A945" s="49"/>
      <c r="B945" s="49"/>
      <c r="C945" s="49"/>
      <c r="D945" s="50"/>
      <c r="E945" s="50"/>
      <c r="F945" s="50"/>
      <c r="G945" s="50"/>
      <c r="H945" s="51"/>
      <c r="I945" s="39"/>
      <c r="J945" s="51"/>
      <c r="K945" s="51"/>
      <c r="L945" s="51"/>
      <c r="P945" s="52"/>
      <c r="Q945" s="47"/>
    </row>
    <row r="946" spans="1:17" ht="15" customHeight="1" x14ac:dyDescent="0.3">
      <c r="A946" s="49"/>
      <c r="B946" s="49"/>
      <c r="C946" s="49"/>
      <c r="D946" s="50"/>
      <c r="E946" s="50"/>
      <c r="F946" s="50"/>
      <c r="G946" s="50"/>
      <c r="H946" s="51"/>
      <c r="I946" s="39"/>
      <c r="J946" s="51"/>
      <c r="K946" s="51"/>
      <c r="L946" s="51"/>
      <c r="P946" s="52"/>
      <c r="Q946" s="47"/>
    </row>
    <row r="947" spans="1:17" ht="15" customHeight="1" x14ac:dyDescent="0.3">
      <c r="A947" s="49"/>
      <c r="B947" s="49"/>
      <c r="C947" s="49"/>
      <c r="D947" s="50"/>
      <c r="E947" s="50"/>
      <c r="F947" s="50"/>
      <c r="G947" s="50"/>
      <c r="H947" s="51"/>
      <c r="I947" s="39"/>
      <c r="J947" s="51"/>
      <c r="K947" s="51"/>
      <c r="L947" s="51"/>
      <c r="P947" s="52"/>
      <c r="Q947" s="47"/>
    </row>
    <row r="948" spans="1:17" ht="15" customHeight="1" x14ac:dyDescent="0.3">
      <c r="A948" s="49"/>
      <c r="B948" s="49"/>
      <c r="C948" s="49"/>
      <c r="D948" s="50"/>
      <c r="E948" s="50"/>
      <c r="F948" s="50"/>
      <c r="G948" s="50"/>
      <c r="H948" s="51"/>
      <c r="I948" s="39"/>
      <c r="J948" s="51"/>
      <c r="K948" s="51"/>
      <c r="L948" s="51"/>
      <c r="P948" s="52"/>
      <c r="Q948" s="47"/>
    </row>
    <row r="949" spans="1:17" ht="15" customHeight="1" x14ac:dyDescent="0.3">
      <c r="A949" s="49"/>
      <c r="B949" s="49"/>
      <c r="C949" s="49"/>
      <c r="D949" s="50"/>
      <c r="E949" s="50"/>
      <c r="F949" s="50"/>
      <c r="G949" s="50"/>
      <c r="H949" s="51"/>
      <c r="I949" s="39"/>
      <c r="J949" s="51"/>
      <c r="K949" s="51"/>
      <c r="L949" s="51"/>
      <c r="P949" s="52"/>
      <c r="Q949" s="47"/>
    </row>
    <row r="950" spans="1:17" ht="15" customHeight="1" x14ac:dyDescent="0.3">
      <c r="A950" s="49"/>
      <c r="B950" s="49"/>
      <c r="C950" s="49"/>
      <c r="D950" s="50"/>
      <c r="E950" s="50"/>
      <c r="F950" s="50"/>
      <c r="G950" s="50"/>
      <c r="H950" s="51"/>
      <c r="I950" s="39"/>
      <c r="J950" s="51"/>
      <c r="K950" s="51"/>
      <c r="L950" s="51"/>
      <c r="P950" s="52"/>
      <c r="Q950" s="47"/>
    </row>
    <row r="951" spans="1:17" ht="15" customHeight="1" x14ac:dyDescent="0.3">
      <c r="A951" s="49"/>
      <c r="B951" s="49"/>
      <c r="C951" s="49"/>
      <c r="D951" s="50"/>
      <c r="E951" s="50"/>
      <c r="F951" s="50"/>
      <c r="G951" s="50"/>
      <c r="H951" s="51"/>
      <c r="I951" s="39"/>
      <c r="J951" s="51"/>
      <c r="K951" s="51"/>
      <c r="L951" s="51"/>
      <c r="P951" s="52"/>
      <c r="Q951" s="47"/>
    </row>
    <row r="952" spans="1:17" ht="15" customHeight="1" x14ac:dyDescent="0.3">
      <c r="A952" s="49"/>
      <c r="B952" s="49"/>
      <c r="C952" s="49"/>
      <c r="D952" s="50"/>
      <c r="E952" s="50"/>
      <c r="F952" s="50"/>
      <c r="G952" s="50"/>
      <c r="H952" s="51"/>
      <c r="I952" s="39"/>
      <c r="J952" s="51"/>
      <c r="K952" s="51"/>
      <c r="L952" s="51"/>
      <c r="P952" s="52"/>
      <c r="Q952" s="47"/>
    </row>
    <row r="953" spans="1:17" ht="15" customHeight="1" x14ac:dyDescent="0.3">
      <c r="A953" s="49"/>
      <c r="B953" s="49"/>
      <c r="C953" s="49"/>
      <c r="D953" s="50"/>
      <c r="E953" s="50"/>
      <c r="F953" s="50"/>
      <c r="G953" s="50"/>
      <c r="H953" s="51"/>
      <c r="I953" s="39"/>
      <c r="J953" s="51"/>
      <c r="K953" s="51"/>
      <c r="L953" s="51"/>
      <c r="P953" s="52"/>
      <c r="Q953" s="47"/>
    </row>
    <row r="954" spans="1:17" ht="15" customHeight="1" x14ac:dyDescent="0.3">
      <c r="A954" s="49"/>
      <c r="B954" s="49"/>
      <c r="C954" s="49"/>
      <c r="D954" s="50"/>
      <c r="E954" s="50"/>
      <c r="F954" s="50"/>
      <c r="G954" s="50"/>
      <c r="H954" s="51"/>
      <c r="I954" s="39"/>
      <c r="J954" s="51"/>
      <c r="K954" s="51"/>
      <c r="L954" s="51"/>
      <c r="P954" s="52"/>
      <c r="Q954" s="47"/>
    </row>
    <row r="955" spans="1:17" ht="15" customHeight="1" x14ac:dyDescent="0.3">
      <c r="A955" s="49"/>
      <c r="B955" s="49"/>
      <c r="C955" s="49"/>
      <c r="D955" s="50"/>
      <c r="E955" s="50"/>
      <c r="F955" s="50"/>
      <c r="G955" s="50"/>
      <c r="H955" s="51"/>
      <c r="I955" s="39"/>
      <c r="J955" s="51"/>
      <c r="K955" s="51"/>
      <c r="L955" s="51"/>
      <c r="P955" s="52"/>
      <c r="Q955" s="47"/>
    </row>
    <row r="956" spans="1:17" ht="15" customHeight="1" x14ac:dyDescent="0.3">
      <c r="A956" s="49"/>
      <c r="B956" s="49"/>
      <c r="C956" s="49"/>
      <c r="D956" s="50"/>
      <c r="E956" s="50"/>
      <c r="F956" s="50"/>
      <c r="G956" s="50"/>
      <c r="H956" s="51"/>
      <c r="I956" s="39"/>
      <c r="J956" s="51"/>
      <c r="K956" s="51"/>
      <c r="L956" s="51"/>
      <c r="P956" s="52"/>
      <c r="Q956" s="47"/>
    </row>
    <row r="957" spans="1:17" ht="15" customHeight="1" x14ac:dyDescent="0.3">
      <c r="A957" s="49"/>
      <c r="B957" s="49"/>
      <c r="C957" s="49"/>
      <c r="D957" s="50"/>
      <c r="E957" s="50"/>
      <c r="F957" s="50"/>
      <c r="G957" s="50"/>
      <c r="H957" s="51"/>
      <c r="I957" s="39"/>
      <c r="J957" s="51"/>
      <c r="K957" s="51"/>
      <c r="L957" s="51"/>
      <c r="P957" s="52"/>
      <c r="Q957" s="47"/>
    </row>
    <row r="958" spans="1:17" ht="15" customHeight="1" x14ac:dyDescent="0.3">
      <c r="A958" s="49"/>
      <c r="B958" s="49"/>
      <c r="C958" s="49"/>
      <c r="D958" s="50"/>
      <c r="E958" s="50"/>
      <c r="F958" s="50"/>
      <c r="G958" s="50"/>
      <c r="H958" s="51"/>
      <c r="I958" s="39"/>
      <c r="J958" s="51"/>
      <c r="K958" s="51"/>
      <c r="L958" s="51"/>
      <c r="P958" s="52"/>
      <c r="Q958" s="47"/>
    </row>
    <row r="959" spans="1:17" ht="15" customHeight="1" x14ac:dyDescent="0.3">
      <c r="A959" s="49"/>
      <c r="B959" s="49"/>
      <c r="C959" s="49"/>
      <c r="D959" s="50"/>
      <c r="E959" s="50"/>
      <c r="F959" s="50"/>
      <c r="G959" s="50"/>
      <c r="H959" s="51"/>
      <c r="I959" s="39"/>
      <c r="J959" s="51"/>
      <c r="K959" s="51"/>
      <c r="L959" s="51"/>
      <c r="P959" s="52"/>
      <c r="Q959" s="47"/>
    </row>
    <row r="960" spans="1:17" ht="15" customHeight="1" x14ac:dyDescent="0.3">
      <c r="A960" s="49"/>
      <c r="B960" s="49"/>
      <c r="C960" s="49"/>
      <c r="D960" s="50"/>
      <c r="E960" s="50"/>
      <c r="F960" s="50"/>
      <c r="G960" s="50"/>
      <c r="H960" s="51"/>
      <c r="I960" s="39"/>
      <c r="J960" s="51"/>
      <c r="K960" s="51"/>
      <c r="L960" s="51"/>
      <c r="P960" s="52"/>
      <c r="Q960" s="47"/>
    </row>
    <row r="961" spans="1:17" ht="15" customHeight="1" x14ac:dyDescent="0.3">
      <c r="A961" s="49"/>
      <c r="B961" s="49"/>
      <c r="C961" s="49"/>
      <c r="D961" s="50"/>
      <c r="E961" s="50"/>
      <c r="F961" s="50"/>
      <c r="G961" s="50"/>
      <c r="H961" s="51"/>
      <c r="I961" s="39"/>
      <c r="J961" s="51"/>
      <c r="K961" s="51"/>
      <c r="L961" s="51"/>
      <c r="P961" s="52"/>
      <c r="Q961" s="47"/>
    </row>
    <row r="962" spans="1:17" ht="15" customHeight="1" x14ac:dyDescent="0.3">
      <c r="A962" s="49"/>
      <c r="B962" s="49"/>
      <c r="C962" s="49"/>
      <c r="D962" s="50"/>
      <c r="E962" s="50"/>
      <c r="F962" s="50"/>
      <c r="G962" s="50"/>
      <c r="H962" s="51"/>
      <c r="I962" s="39"/>
      <c r="J962" s="51"/>
      <c r="K962" s="51"/>
      <c r="L962" s="51"/>
      <c r="P962" s="52"/>
      <c r="Q962" s="47"/>
    </row>
    <row r="963" spans="1:17" ht="15" customHeight="1" x14ac:dyDescent="0.3">
      <c r="A963" s="49"/>
      <c r="B963" s="49"/>
      <c r="C963" s="49"/>
      <c r="D963" s="50"/>
      <c r="E963" s="50"/>
      <c r="F963" s="50"/>
      <c r="G963" s="50"/>
      <c r="H963" s="51"/>
      <c r="I963" s="39"/>
      <c r="J963" s="51"/>
      <c r="K963" s="51"/>
      <c r="L963" s="51"/>
      <c r="P963" s="52"/>
      <c r="Q963" s="47"/>
    </row>
    <row r="964" spans="1:17" ht="15" customHeight="1" x14ac:dyDescent="0.3">
      <c r="A964" s="49"/>
      <c r="B964" s="49"/>
      <c r="C964" s="49"/>
      <c r="D964" s="50"/>
      <c r="E964" s="50"/>
      <c r="F964" s="50"/>
      <c r="G964" s="50"/>
      <c r="H964" s="51"/>
      <c r="I964" s="39"/>
      <c r="J964" s="51"/>
      <c r="K964" s="51"/>
      <c r="L964" s="51"/>
      <c r="P964" s="52"/>
      <c r="Q964" s="47"/>
    </row>
    <row r="965" spans="1:17" ht="15" customHeight="1" x14ac:dyDescent="0.3">
      <c r="A965" s="49"/>
      <c r="B965" s="49"/>
      <c r="C965" s="49"/>
      <c r="D965" s="50"/>
      <c r="E965" s="50"/>
      <c r="F965" s="50"/>
      <c r="G965" s="50"/>
      <c r="H965" s="51"/>
      <c r="I965" s="39"/>
      <c r="J965" s="51"/>
      <c r="K965" s="51"/>
      <c r="L965" s="51"/>
      <c r="P965" s="52"/>
      <c r="Q965" s="47"/>
    </row>
    <row r="966" spans="1:17" ht="15" customHeight="1" x14ac:dyDescent="0.3">
      <c r="A966" s="49"/>
      <c r="B966" s="49"/>
      <c r="C966" s="49"/>
      <c r="D966" s="50"/>
      <c r="E966" s="50"/>
      <c r="F966" s="50"/>
      <c r="G966" s="50"/>
      <c r="H966" s="51"/>
      <c r="I966" s="39"/>
      <c r="J966" s="51"/>
      <c r="K966" s="51"/>
      <c r="L966" s="51"/>
      <c r="P966" s="52"/>
      <c r="Q966" s="47"/>
    </row>
    <row r="967" spans="1:17" ht="15" customHeight="1" x14ac:dyDescent="0.3">
      <c r="A967" s="49"/>
      <c r="B967" s="49"/>
      <c r="C967" s="49"/>
      <c r="D967" s="50"/>
      <c r="E967" s="50"/>
      <c r="F967" s="50"/>
      <c r="G967" s="50"/>
      <c r="H967" s="51"/>
      <c r="I967" s="39"/>
      <c r="J967" s="51"/>
      <c r="K967" s="51"/>
      <c r="L967" s="51"/>
      <c r="P967" s="52"/>
      <c r="Q967" s="47"/>
    </row>
    <row r="968" spans="1:17" ht="15" customHeight="1" x14ac:dyDescent="0.3">
      <c r="A968" s="49"/>
      <c r="B968" s="49"/>
      <c r="C968" s="49"/>
      <c r="D968" s="50"/>
      <c r="E968" s="50"/>
      <c r="F968" s="50"/>
      <c r="G968" s="50"/>
      <c r="H968" s="51"/>
      <c r="I968" s="39"/>
      <c r="J968" s="51"/>
      <c r="K968" s="51"/>
      <c r="L968" s="51"/>
      <c r="P968" s="52"/>
      <c r="Q968" s="47"/>
    </row>
    <row r="969" spans="1:17" ht="15" customHeight="1" x14ac:dyDescent="0.3">
      <c r="A969" s="49"/>
      <c r="B969" s="49"/>
      <c r="C969" s="49"/>
      <c r="D969" s="50"/>
      <c r="E969" s="50"/>
      <c r="F969" s="50"/>
      <c r="G969" s="50"/>
      <c r="H969" s="51"/>
      <c r="I969" s="39"/>
      <c r="J969" s="51"/>
      <c r="K969" s="51"/>
      <c r="L969" s="51"/>
      <c r="P969" s="52"/>
      <c r="Q969" s="47"/>
    </row>
    <row r="970" spans="1:17" ht="15" customHeight="1" x14ac:dyDescent="0.3">
      <c r="A970" s="49"/>
      <c r="B970" s="49"/>
      <c r="C970" s="49"/>
      <c r="D970" s="50"/>
      <c r="E970" s="50"/>
      <c r="F970" s="50"/>
      <c r="G970" s="50"/>
      <c r="H970" s="51"/>
      <c r="I970" s="39"/>
      <c r="J970" s="51"/>
      <c r="K970" s="51"/>
      <c r="L970" s="51"/>
      <c r="P970" s="52"/>
      <c r="Q970" s="47"/>
    </row>
    <row r="971" spans="1:17" ht="15" customHeight="1" x14ac:dyDescent="0.3">
      <c r="A971" s="49"/>
      <c r="B971" s="49"/>
      <c r="C971" s="49"/>
      <c r="D971" s="50"/>
      <c r="E971" s="50"/>
      <c r="F971" s="50"/>
      <c r="G971" s="50"/>
      <c r="H971" s="51"/>
      <c r="I971" s="39"/>
      <c r="J971" s="51"/>
      <c r="K971" s="51"/>
      <c r="L971" s="51"/>
      <c r="P971" s="52"/>
      <c r="Q971" s="47"/>
    </row>
    <row r="972" spans="1:17" ht="15" customHeight="1" x14ac:dyDescent="0.3">
      <c r="A972" s="49"/>
      <c r="B972" s="49"/>
      <c r="C972" s="49"/>
      <c r="D972" s="50"/>
      <c r="E972" s="50"/>
      <c r="F972" s="50"/>
      <c r="G972" s="50"/>
      <c r="H972" s="51"/>
      <c r="I972" s="39"/>
      <c r="J972" s="51"/>
      <c r="K972" s="51"/>
      <c r="L972" s="51"/>
      <c r="P972" s="52"/>
      <c r="Q972" s="47"/>
    </row>
    <row r="973" spans="1:17" ht="15" customHeight="1" x14ac:dyDescent="0.3">
      <c r="A973" s="49"/>
      <c r="B973" s="49"/>
      <c r="C973" s="49"/>
      <c r="D973" s="50"/>
      <c r="E973" s="50"/>
      <c r="F973" s="50"/>
      <c r="G973" s="50"/>
      <c r="H973" s="51"/>
      <c r="I973" s="39"/>
      <c r="J973" s="51"/>
      <c r="K973" s="51"/>
      <c r="L973" s="51"/>
      <c r="P973" s="52"/>
      <c r="Q973" s="47"/>
    </row>
    <row r="974" spans="1:17" ht="15" customHeight="1" x14ac:dyDescent="0.3">
      <c r="A974" s="49"/>
      <c r="B974" s="49"/>
      <c r="C974" s="49"/>
      <c r="D974" s="50"/>
      <c r="E974" s="50"/>
      <c r="F974" s="50"/>
      <c r="G974" s="50"/>
      <c r="H974" s="51"/>
      <c r="I974" s="39"/>
      <c r="J974" s="51"/>
      <c r="K974" s="51"/>
      <c r="L974" s="51"/>
      <c r="P974" s="52"/>
      <c r="Q974" s="47"/>
    </row>
    <row r="975" spans="1:17" ht="15" customHeight="1" x14ac:dyDescent="0.3">
      <c r="A975" s="49"/>
      <c r="B975" s="49"/>
      <c r="C975" s="49"/>
      <c r="D975" s="50"/>
      <c r="E975" s="50"/>
      <c r="F975" s="50"/>
      <c r="G975" s="50"/>
      <c r="H975" s="51"/>
      <c r="I975" s="39"/>
      <c r="J975" s="51"/>
      <c r="K975" s="51"/>
      <c r="L975" s="51"/>
      <c r="P975" s="52"/>
      <c r="Q975" s="47"/>
    </row>
    <row r="976" spans="1:17" ht="15" customHeight="1" x14ac:dyDescent="0.3">
      <c r="A976" s="49"/>
      <c r="B976" s="49"/>
      <c r="C976" s="49"/>
      <c r="D976" s="50"/>
      <c r="E976" s="50"/>
      <c r="F976" s="50"/>
      <c r="G976" s="50"/>
      <c r="H976" s="51"/>
      <c r="I976" s="39"/>
      <c r="J976" s="51"/>
      <c r="K976" s="51"/>
      <c r="L976" s="51"/>
      <c r="P976" s="52"/>
      <c r="Q976" s="47"/>
    </row>
    <row r="977" spans="1:17" ht="15" customHeight="1" x14ac:dyDescent="0.3">
      <c r="A977" s="49"/>
      <c r="B977" s="49"/>
      <c r="C977" s="49"/>
      <c r="D977" s="50"/>
      <c r="E977" s="50"/>
      <c r="F977" s="50"/>
      <c r="G977" s="50"/>
      <c r="H977" s="51"/>
      <c r="I977" s="39"/>
      <c r="J977" s="51"/>
      <c r="K977" s="51"/>
      <c r="L977" s="51"/>
      <c r="P977" s="52"/>
      <c r="Q977" s="47"/>
    </row>
    <row r="978" spans="1:17" ht="15" customHeight="1" x14ac:dyDescent="0.3">
      <c r="A978" s="49"/>
      <c r="B978" s="49"/>
      <c r="C978" s="49"/>
      <c r="D978" s="50"/>
      <c r="E978" s="50"/>
      <c r="F978" s="50"/>
      <c r="G978" s="50"/>
      <c r="H978" s="51"/>
      <c r="I978" s="39"/>
      <c r="J978" s="51"/>
      <c r="K978" s="51"/>
      <c r="L978" s="51"/>
      <c r="P978" s="52"/>
      <c r="Q978" s="47"/>
    </row>
    <row r="979" spans="1:17" ht="15" customHeight="1" x14ac:dyDescent="0.3">
      <c r="A979" s="49"/>
      <c r="B979" s="49"/>
      <c r="C979" s="49"/>
      <c r="D979" s="50"/>
      <c r="E979" s="50"/>
      <c r="F979" s="50"/>
      <c r="G979" s="50"/>
      <c r="H979" s="51"/>
      <c r="I979" s="39"/>
      <c r="J979" s="51"/>
      <c r="K979" s="51"/>
      <c r="L979" s="51"/>
      <c r="P979" s="52"/>
      <c r="Q979" s="47"/>
    </row>
    <row r="980" spans="1:17" ht="15" customHeight="1" x14ac:dyDescent="0.3">
      <c r="A980" s="49"/>
      <c r="B980" s="49"/>
      <c r="C980" s="49"/>
      <c r="D980" s="50"/>
      <c r="E980" s="50"/>
      <c r="F980" s="50"/>
      <c r="G980" s="50"/>
      <c r="H980" s="51"/>
      <c r="I980" s="39"/>
      <c r="J980" s="51"/>
      <c r="K980" s="51"/>
      <c r="L980" s="51"/>
      <c r="P980" s="52"/>
      <c r="Q980" s="47"/>
    </row>
    <row r="981" spans="1:17" ht="15" customHeight="1" x14ac:dyDescent="0.3">
      <c r="A981" s="49"/>
      <c r="B981" s="49"/>
      <c r="C981" s="49"/>
      <c r="D981" s="50"/>
      <c r="E981" s="50"/>
      <c r="F981" s="50"/>
      <c r="G981" s="50"/>
      <c r="H981" s="51"/>
      <c r="I981" s="39"/>
      <c r="J981" s="51"/>
      <c r="K981" s="51"/>
      <c r="L981" s="51"/>
      <c r="P981" s="52"/>
      <c r="Q981" s="47"/>
    </row>
    <row r="982" spans="1:17" ht="15" customHeight="1" x14ac:dyDescent="0.3">
      <c r="A982" s="49"/>
      <c r="B982" s="49"/>
      <c r="C982" s="49"/>
      <c r="D982" s="50"/>
      <c r="E982" s="50"/>
      <c r="F982" s="50"/>
      <c r="G982" s="50"/>
      <c r="H982" s="51"/>
      <c r="I982" s="39"/>
      <c r="J982" s="51"/>
      <c r="K982" s="51"/>
      <c r="L982" s="51"/>
      <c r="P982" s="52"/>
      <c r="Q982" s="47"/>
    </row>
    <row r="983" spans="1:17" ht="15" customHeight="1" x14ac:dyDescent="0.3">
      <c r="A983" s="49"/>
      <c r="B983" s="49"/>
      <c r="C983" s="49"/>
      <c r="D983" s="50"/>
      <c r="E983" s="50"/>
      <c r="F983" s="50"/>
      <c r="G983" s="50"/>
      <c r="H983" s="51"/>
      <c r="I983" s="39"/>
      <c r="J983" s="51"/>
      <c r="K983" s="51"/>
      <c r="L983" s="51"/>
      <c r="P983" s="52"/>
      <c r="Q983" s="47"/>
    </row>
    <row r="984" spans="1:17" ht="15" customHeight="1" x14ac:dyDescent="0.3">
      <c r="A984" s="49"/>
      <c r="B984" s="49"/>
      <c r="C984" s="49"/>
      <c r="D984" s="50"/>
      <c r="E984" s="50"/>
      <c r="F984" s="50"/>
      <c r="G984" s="50"/>
      <c r="H984" s="51"/>
      <c r="I984" s="39"/>
      <c r="J984" s="51"/>
      <c r="K984" s="51"/>
      <c r="L984" s="51"/>
      <c r="P984" s="52"/>
      <c r="Q984" s="47"/>
    </row>
    <row r="985" spans="1:17" ht="15" customHeight="1" x14ac:dyDescent="0.3">
      <c r="A985" s="49"/>
      <c r="B985" s="49"/>
      <c r="C985" s="49"/>
      <c r="D985" s="50"/>
      <c r="E985" s="50"/>
      <c r="F985" s="50"/>
      <c r="G985" s="50"/>
      <c r="H985" s="51"/>
      <c r="I985" s="39"/>
      <c r="J985" s="51"/>
      <c r="K985" s="51"/>
      <c r="L985" s="51"/>
      <c r="P985" s="52"/>
      <c r="Q985" s="47"/>
    </row>
    <row r="986" spans="1:17" ht="15" customHeight="1" x14ac:dyDescent="0.3">
      <c r="A986" s="49"/>
      <c r="B986" s="49"/>
      <c r="C986" s="49"/>
      <c r="D986" s="50"/>
      <c r="E986" s="50"/>
      <c r="F986" s="50"/>
      <c r="G986" s="50"/>
      <c r="H986" s="51"/>
      <c r="I986" s="39"/>
      <c r="J986" s="51"/>
      <c r="K986" s="51"/>
      <c r="L986" s="51"/>
      <c r="P986" s="52"/>
      <c r="Q986" s="47"/>
    </row>
    <row r="987" spans="1:17" ht="15" customHeight="1" x14ac:dyDescent="0.3">
      <c r="A987" s="49"/>
      <c r="B987" s="49"/>
      <c r="C987" s="49"/>
      <c r="D987" s="50"/>
      <c r="E987" s="50"/>
      <c r="F987" s="50"/>
      <c r="G987" s="50"/>
      <c r="H987" s="51"/>
      <c r="I987" s="39"/>
      <c r="J987" s="51"/>
      <c r="K987" s="51"/>
      <c r="L987" s="51"/>
      <c r="P987" s="52"/>
      <c r="Q987" s="47"/>
    </row>
    <row r="988" spans="1:17" ht="15" customHeight="1" x14ac:dyDescent="0.3">
      <c r="A988" s="49"/>
      <c r="B988" s="49"/>
      <c r="C988" s="49"/>
      <c r="D988" s="50"/>
      <c r="E988" s="50"/>
      <c r="F988" s="50"/>
      <c r="G988" s="50"/>
      <c r="H988" s="51"/>
      <c r="I988" s="39"/>
      <c r="J988" s="51"/>
      <c r="K988" s="51"/>
      <c r="L988" s="51"/>
      <c r="P988" s="52"/>
      <c r="Q988" s="47"/>
    </row>
    <row r="989" spans="1:17" ht="15" customHeight="1" x14ac:dyDescent="0.3">
      <c r="A989" s="49"/>
      <c r="B989" s="49"/>
      <c r="C989" s="49"/>
      <c r="D989" s="50"/>
      <c r="E989" s="50"/>
      <c r="F989" s="50"/>
      <c r="G989" s="50"/>
      <c r="H989" s="51"/>
      <c r="I989" s="39"/>
      <c r="J989" s="51"/>
      <c r="K989" s="51"/>
      <c r="L989" s="51"/>
      <c r="P989" s="52"/>
      <c r="Q989" s="47"/>
    </row>
    <row r="990" spans="1:17" ht="15" customHeight="1" x14ac:dyDescent="0.3">
      <c r="A990" s="49"/>
      <c r="B990" s="49"/>
      <c r="C990" s="49"/>
      <c r="D990" s="50"/>
      <c r="E990" s="50"/>
      <c r="F990" s="50"/>
      <c r="G990" s="50"/>
      <c r="H990" s="51"/>
      <c r="I990" s="39"/>
      <c r="J990" s="51"/>
      <c r="K990" s="51"/>
      <c r="L990" s="51"/>
      <c r="P990" s="52"/>
      <c r="Q990" s="47"/>
    </row>
    <row r="991" spans="1:17" ht="15" customHeight="1" x14ac:dyDescent="0.3">
      <c r="A991" s="49"/>
      <c r="B991" s="49"/>
      <c r="C991" s="49"/>
      <c r="D991" s="50"/>
      <c r="E991" s="50"/>
      <c r="F991" s="50"/>
      <c r="G991" s="50"/>
      <c r="H991" s="51"/>
      <c r="I991" s="39"/>
      <c r="J991" s="51"/>
      <c r="K991" s="51"/>
      <c r="L991" s="51"/>
      <c r="P991" s="52"/>
      <c r="Q991" s="47"/>
    </row>
    <row r="992" spans="1:17" ht="15" customHeight="1" x14ac:dyDescent="0.3">
      <c r="A992" s="49"/>
      <c r="B992" s="49"/>
      <c r="C992" s="49"/>
      <c r="D992" s="50"/>
      <c r="E992" s="50"/>
      <c r="F992" s="50"/>
      <c r="G992" s="50"/>
      <c r="H992" s="51"/>
      <c r="I992" s="39"/>
      <c r="J992" s="51"/>
      <c r="K992" s="51"/>
      <c r="L992" s="51"/>
      <c r="P992" s="52"/>
      <c r="Q992" s="47"/>
    </row>
    <row r="993" spans="1:17" ht="15" customHeight="1" x14ac:dyDescent="0.3">
      <c r="A993" s="49"/>
      <c r="B993" s="49"/>
      <c r="C993" s="49"/>
      <c r="D993" s="50"/>
      <c r="E993" s="50"/>
      <c r="F993" s="50"/>
      <c r="G993" s="50"/>
      <c r="H993" s="51"/>
      <c r="I993" s="39"/>
      <c r="J993" s="51"/>
      <c r="K993" s="51"/>
      <c r="L993" s="51"/>
      <c r="P993" s="52"/>
      <c r="Q993" s="47"/>
    </row>
    <row r="994" spans="1:17" ht="15" customHeight="1" x14ac:dyDescent="0.3">
      <c r="A994" s="49"/>
      <c r="B994" s="49"/>
      <c r="C994" s="49"/>
      <c r="D994" s="50"/>
      <c r="E994" s="50"/>
      <c r="F994" s="50"/>
      <c r="G994" s="50"/>
      <c r="H994" s="51"/>
      <c r="I994" s="39"/>
      <c r="J994" s="51"/>
      <c r="K994" s="51"/>
      <c r="L994" s="51"/>
      <c r="P994" s="52"/>
      <c r="Q994" s="47"/>
    </row>
    <row r="995" spans="1:17" ht="15" customHeight="1" x14ac:dyDescent="0.3">
      <c r="A995" s="49"/>
      <c r="B995" s="49"/>
      <c r="C995" s="49"/>
      <c r="D995" s="50"/>
      <c r="E995" s="50"/>
      <c r="F995" s="50"/>
      <c r="G995" s="50"/>
      <c r="H995" s="51"/>
      <c r="I995" s="39"/>
      <c r="J995" s="51"/>
      <c r="K995" s="51"/>
      <c r="L995" s="51"/>
      <c r="P995" s="52"/>
      <c r="Q995" s="47"/>
    </row>
    <row r="996" spans="1:17" ht="15" customHeight="1" x14ac:dyDescent="0.3">
      <c r="A996" s="49"/>
      <c r="B996" s="49"/>
      <c r="C996" s="49"/>
      <c r="D996" s="50"/>
      <c r="E996" s="50"/>
      <c r="F996" s="50"/>
      <c r="G996" s="50"/>
      <c r="H996" s="51"/>
      <c r="I996" s="39"/>
      <c r="J996" s="51"/>
      <c r="K996" s="51"/>
      <c r="L996" s="51"/>
      <c r="P996" s="52"/>
      <c r="Q996" s="47"/>
    </row>
    <row r="997" spans="1:17" ht="15" customHeight="1" x14ac:dyDescent="0.3">
      <c r="A997" s="49"/>
      <c r="B997" s="49"/>
      <c r="C997" s="49"/>
      <c r="D997" s="50"/>
      <c r="E997" s="50"/>
      <c r="F997" s="50"/>
      <c r="G997" s="50"/>
      <c r="H997" s="51"/>
      <c r="I997" s="39"/>
      <c r="J997" s="51"/>
      <c r="K997" s="51"/>
      <c r="L997" s="51"/>
      <c r="P997" s="52"/>
      <c r="Q997" s="47"/>
    </row>
    <row r="998" spans="1:17" ht="15" customHeight="1" x14ac:dyDescent="0.3">
      <c r="A998" s="49"/>
      <c r="B998" s="49"/>
      <c r="C998" s="49"/>
      <c r="D998" s="50"/>
      <c r="E998" s="50"/>
      <c r="F998" s="50"/>
      <c r="G998" s="50"/>
      <c r="H998" s="51"/>
      <c r="I998" s="39"/>
      <c r="J998" s="51"/>
      <c r="K998" s="51"/>
      <c r="L998" s="51"/>
      <c r="P998" s="52"/>
      <c r="Q998" s="47"/>
    </row>
    <row r="999" spans="1:17" ht="15" customHeight="1" x14ac:dyDescent="0.3">
      <c r="A999" s="49"/>
      <c r="B999" s="49"/>
      <c r="C999" s="49"/>
      <c r="D999" s="50"/>
      <c r="E999" s="50"/>
      <c r="F999" s="50"/>
      <c r="G999" s="50"/>
      <c r="H999" s="51"/>
      <c r="I999" s="39"/>
      <c r="J999" s="51"/>
      <c r="K999" s="51"/>
      <c r="L999" s="51"/>
      <c r="P999" s="52"/>
      <c r="Q999" s="47"/>
    </row>
    <row r="1000" spans="1:17" ht="15" customHeight="1" x14ac:dyDescent="0.3">
      <c r="A1000" s="49"/>
      <c r="B1000" s="49"/>
      <c r="C1000" s="49"/>
      <c r="D1000" s="50"/>
      <c r="E1000" s="50"/>
      <c r="F1000" s="50"/>
      <c r="G1000" s="50"/>
      <c r="H1000" s="51"/>
      <c r="I1000" s="39"/>
      <c r="J1000" s="51"/>
      <c r="K1000" s="51"/>
      <c r="L1000" s="51"/>
      <c r="P1000" s="52"/>
      <c r="Q1000" s="47"/>
    </row>
    <row r="1001" spans="1:17" ht="15" customHeight="1" x14ac:dyDescent="0.3">
      <c r="A1001" s="49"/>
      <c r="B1001" s="49"/>
      <c r="C1001" s="49"/>
      <c r="D1001" s="50"/>
      <c r="E1001" s="50"/>
      <c r="F1001" s="50"/>
      <c r="G1001" s="50"/>
      <c r="H1001" s="51"/>
      <c r="I1001" s="39"/>
      <c r="J1001" s="51"/>
      <c r="K1001" s="51"/>
      <c r="L1001" s="51"/>
      <c r="P1001" s="52"/>
      <c r="Q1001" s="47"/>
    </row>
    <row r="1002" spans="1:17" ht="15" customHeight="1" x14ac:dyDescent="0.3">
      <c r="A1002" s="49"/>
      <c r="B1002" s="49"/>
      <c r="C1002" s="49"/>
      <c r="D1002" s="50"/>
      <c r="E1002" s="50"/>
      <c r="F1002" s="50"/>
      <c r="G1002" s="50"/>
      <c r="H1002" s="51"/>
      <c r="I1002" s="39"/>
      <c r="J1002" s="51"/>
      <c r="K1002" s="51"/>
      <c r="L1002" s="51"/>
      <c r="P1002" s="52"/>
      <c r="Q1002" s="47"/>
    </row>
    <row r="1003" spans="1:17" ht="15" customHeight="1" x14ac:dyDescent="0.3">
      <c r="A1003" s="49"/>
      <c r="B1003" s="49"/>
      <c r="C1003" s="49"/>
      <c r="D1003" s="50"/>
      <c r="E1003" s="50"/>
      <c r="F1003" s="50"/>
      <c r="G1003" s="50"/>
      <c r="H1003" s="51"/>
      <c r="I1003" s="39"/>
      <c r="J1003" s="51"/>
      <c r="K1003" s="51"/>
      <c r="L1003" s="51"/>
      <c r="P1003" s="52"/>
      <c r="Q1003" s="47"/>
    </row>
    <row r="1004" spans="1:17" ht="15" customHeight="1" x14ac:dyDescent="0.3">
      <c r="A1004" s="49"/>
      <c r="B1004" s="49"/>
      <c r="C1004" s="49"/>
      <c r="D1004" s="50"/>
      <c r="E1004" s="50"/>
      <c r="F1004" s="50"/>
      <c r="G1004" s="50"/>
      <c r="H1004" s="51"/>
      <c r="I1004" s="39"/>
      <c r="J1004" s="51"/>
      <c r="K1004" s="51"/>
      <c r="L1004" s="51"/>
      <c r="P1004" s="52"/>
      <c r="Q1004" s="47"/>
    </row>
    <row r="1005" spans="1:17" ht="15" customHeight="1" x14ac:dyDescent="0.3">
      <c r="A1005" s="49"/>
      <c r="B1005" s="49"/>
      <c r="C1005" s="49"/>
      <c r="D1005" s="50"/>
      <c r="E1005" s="50"/>
      <c r="F1005" s="50"/>
      <c r="G1005" s="50"/>
      <c r="H1005" s="51"/>
      <c r="I1005" s="39"/>
      <c r="J1005" s="51"/>
      <c r="K1005" s="51"/>
      <c r="L1005" s="51"/>
      <c r="P1005" s="52"/>
      <c r="Q1005" s="47"/>
    </row>
    <row r="1006" spans="1:17" ht="15" customHeight="1" x14ac:dyDescent="0.3">
      <c r="A1006" s="49"/>
      <c r="B1006" s="49"/>
      <c r="C1006" s="49"/>
      <c r="D1006" s="50"/>
      <c r="E1006" s="50"/>
      <c r="F1006" s="50"/>
      <c r="G1006" s="50"/>
      <c r="H1006" s="51"/>
      <c r="I1006" s="39"/>
      <c r="J1006" s="51"/>
      <c r="K1006" s="51"/>
      <c r="L1006" s="51"/>
      <c r="P1006" s="52"/>
      <c r="Q1006" s="47"/>
    </row>
    <row r="1007" spans="1:17" ht="15" customHeight="1" x14ac:dyDescent="0.3">
      <c r="A1007" s="49"/>
      <c r="B1007" s="49"/>
      <c r="C1007" s="49"/>
      <c r="D1007" s="50"/>
      <c r="E1007" s="50"/>
      <c r="F1007" s="50"/>
      <c r="G1007" s="50"/>
      <c r="H1007" s="51"/>
      <c r="I1007" s="39"/>
      <c r="J1007" s="51"/>
      <c r="K1007" s="51"/>
      <c r="L1007" s="51"/>
      <c r="P1007" s="52"/>
      <c r="Q1007" s="47"/>
    </row>
    <row r="1008" spans="1:17" ht="15" customHeight="1" x14ac:dyDescent="0.3">
      <c r="A1008" s="49"/>
      <c r="B1008" s="49"/>
      <c r="C1008" s="49"/>
      <c r="D1008" s="50"/>
      <c r="E1008" s="50"/>
      <c r="F1008" s="50"/>
      <c r="G1008" s="50"/>
      <c r="H1008" s="51"/>
      <c r="I1008" s="39"/>
      <c r="J1008" s="51"/>
      <c r="K1008" s="51"/>
      <c r="L1008" s="51"/>
      <c r="P1008" s="52"/>
      <c r="Q1008" s="47"/>
    </row>
    <row r="1009" spans="1:17" ht="15" customHeight="1" x14ac:dyDescent="0.3">
      <c r="A1009" s="49"/>
      <c r="B1009" s="49"/>
      <c r="C1009" s="49"/>
      <c r="D1009" s="50"/>
      <c r="E1009" s="50"/>
      <c r="F1009" s="50"/>
      <c r="G1009" s="50"/>
      <c r="H1009" s="51"/>
      <c r="I1009" s="39"/>
      <c r="J1009" s="51"/>
      <c r="K1009" s="51"/>
      <c r="L1009" s="51"/>
      <c r="P1009" s="52"/>
      <c r="Q1009" s="47"/>
    </row>
    <row r="1010" spans="1:17" ht="15" customHeight="1" x14ac:dyDescent="0.3">
      <c r="A1010" s="49"/>
      <c r="B1010" s="49"/>
      <c r="C1010" s="49"/>
      <c r="D1010" s="50"/>
      <c r="E1010" s="50"/>
      <c r="F1010" s="50"/>
      <c r="G1010" s="50"/>
      <c r="H1010" s="51"/>
      <c r="I1010" s="39"/>
      <c r="J1010" s="51"/>
      <c r="K1010" s="51"/>
      <c r="L1010" s="51"/>
      <c r="P1010" s="52"/>
      <c r="Q1010" s="47"/>
    </row>
    <row r="1011" spans="1:17" ht="15" customHeight="1" x14ac:dyDescent="0.3">
      <c r="A1011" s="49"/>
      <c r="B1011" s="49"/>
      <c r="C1011" s="49"/>
      <c r="D1011" s="50"/>
      <c r="E1011" s="50"/>
      <c r="F1011" s="50"/>
      <c r="G1011" s="50"/>
      <c r="H1011" s="51"/>
      <c r="I1011" s="39"/>
      <c r="J1011" s="51"/>
      <c r="K1011" s="51"/>
      <c r="L1011" s="51"/>
      <c r="P1011" s="52"/>
      <c r="Q1011" s="47"/>
    </row>
    <row r="1012" spans="1:17" ht="15" customHeight="1" x14ac:dyDescent="0.3">
      <c r="A1012" s="49"/>
      <c r="B1012" s="49"/>
      <c r="C1012" s="49"/>
      <c r="D1012" s="50"/>
      <c r="E1012" s="50"/>
      <c r="F1012" s="50"/>
      <c r="G1012" s="50"/>
      <c r="H1012" s="51"/>
      <c r="I1012" s="39"/>
      <c r="J1012" s="51"/>
      <c r="K1012" s="51"/>
      <c r="L1012" s="51"/>
      <c r="P1012" s="52"/>
      <c r="Q1012" s="47"/>
    </row>
    <row r="1013" spans="1:17" ht="15" customHeight="1" x14ac:dyDescent="0.3">
      <c r="A1013" s="49"/>
      <c r="B1013" s="49"/>
      <c r="C1013" s="49"/>
      <c r="D1013" s="50"/>
      <c r="E1013" s="50"/>
      <c r="F1013" s="50"/>
      <c r="G1013" s="50"/>
      <c r="H1013" s="51"/>
      <c r="I1013" s="39"/>
      <c r="J1013" s="51"/>
      <c r="K1013" s="51"/>
      <c r="L1013" s="51"/>
      <c r="P1013" s="52"/>
      <c r="Q1013" s="47"/>
    </row>
    <row r="1014" spans="1:17" ht="15" customHeight="1" x14ac:dyDescent="0.3">
      <c r="A1014" s="49"/>
      <c r="B1014" s="49"/>
      <c r="C1014" s="49"/>
      <c r="D1014" s="50"/>
      <c r="E1014" s="50"/>
      <c r="F1014" s="50"/>
      <c r="G1014" s="50"/>
      <c r="H1014" s="51"/>
      <c r="I1014" s="39"/>
      <c r="J1014" s="51"/>
      <c r="K1014" s="51"/>
      <c r="L1014" s="51"/>
      <c r="P1014" s="52"/>
      <c r="Q1014" s="47"/>
    </row>
    <row r="1015" spans="1:17" ht="15" customHeight="1" x14ac:dyDescent="0.3">
      <c r="A1015" s="49"/>
      <c r="B1015" s="49"/>
      <c r="C1015" s="49"/>
      <c r="D1015" s="50"/>
      <c r="E1015" s="50"/>
      <c r="F1015" s="50"/>
      <c r="G1015" s="50"/>
      <c r="H1015" s="51"/>
      <c r="I1015" s="39"/>
      <c r="J1015" s="51"/>
      <c r="K1015" s="51"/>
      <c r="L1015" s="51"/>
      <c r="P1015" s="52"/>
      <c r="Q1015" s="47"/>
    </row>
    <row r="1016" spans="1:17" ht="15" customHeight="1" x14ac:dyDescent="0.3">
      <c r="A1016" s="49"/>
      <c r="B1016" s="49"/>
      <c r="C1016" s="49"/>
      <c r="D1016" s="50"/>
      <c r="E1016" s="50"/>
      <c r="F1016" s="50"/>
      <c r="G1016" s="50"/>
      <c r="H1016" s="51"/>
      <c r="I1016" s="39"/>
      <c r="J1016" s="51"/>
      <c r="K1016" s="51"/>
      <c r="L1016" s="51"/>
      <c r="P1016" s="52"/>
      <c r="Q1016" s="47"/>
    </row>
    <row r="1017" spans="1:17" ht="15" customHeight="1" x14ac:dyDescent="0.3">
      <c r="A1017" s="49"/>
      <c r="B1017" s="49"/>
      <c r="C1017" s="49"/>
      <c r="D1017" s="50"/>
      <c r="E1017" s="50"/>
      <c r="F1017" s="50"/>
      <c r="G1017" s="50"/>
      <c r="H1017" s="51"/>
      <c r="I1017" s="39"/>
      <c r="J1017" s="51"/>
      <c r="K1017" s="51"/>
      <c r="L1017" s="51"/>
      <c r="P1017" s="52"/>
      <c r="Q1017" s="47"/>
    </row>
    <row r="1018" spans="1:17" ht="15" customHeight="1" x14ac:dyDescent="0.3">
      <c r="A1018" s="49"/>
      <c r="B1018" s="49"/>
      <c r="C1018" s="49"/>
      <c r="D1018" s="50"/>
      <c r="E1018" s="50"/>
      <c r="F1018" s="50"/>
      <c r="G1018" s="50"/>
      <c r="H1018" s="51"/>
      <c r="I1018" s="39"/>
      <c r="J1018" s="51"/>
      <c r="K1018" s="51"/>
      <c r="L1018" s="51"/>
      <c r="P1018" s="52"/>
      <c r="Q1018" s="47"/>
    </row>
    <row r="1019" spans="1:17" ht="15" customHeight="1" x14ac:dyDescent="0.3">
      <c r="A1019" s="49"/>
      <c r="B1019" s="49"/>
      <c r="C1019" s="49"/>
      <c r="D1019" s="50"/>
      <c r="E1019" s="50"/>
      <c r="F1019" s="50"/>
      <c r="G1019" s="50"/>
      <c r="H1019" s="51"/>
      <c r="I1019" s="39"/>
      <c r="J1019" s="51"/>
      <c r="K1019" s="51"/>
      <c r="L1019" s="51"/>
      <c r="P1019" s="52"/>
      <c r="Q1019" s="47"/>
    </row>
    <row r="1020" spans="1:17" ht="15" customHeight="1" x14ac:dyDescent="0.3">
      <c r="A1020" s="49"/>
      <c r="B1020" s="49"/>
      <c r="C1020" s="49"/>
      <c r="D1020" s="50"/>
      <c r="E1020" s="50"/>
      <c r="F1020" s="50"/>
      <c r="G1020" s="50"/>
      <c r="H1020" s="51"/>
      <c r="I1020" s="39"/>
      <c r="J1020" s="51"/>
      <c r="K1020" s="51"/>
      <c r="L1020" s="51"/>
      <c r="P1020" s="52"/>
      <c r="Q1020" s="47"/>
    </row>
    <row r="1021" spans="1:17" ht="15" customHeight="1" x14ac:dyDescent="0.3">
      <c r="A1021" s="49"/>
      <c r="B1021" s="49"/>
      <c r="C1021" s="49"/>
      <c r="D1021" s="50"/>
      <c r="E1021" s="50"/>
      <c r="F1021" s="50"/>
      <c r="G1021" s="50"/>
      <c r="H1021" s="51"/>
      <c r="I1021" s="39"/>
      <c r="J1021" s="51"/>
      <c r="K1021" s="51"/>
      <c r="L1021" s="51"/>
      <c r="P1021" s="52"/>
      <c r="Q1021" s="47"/>
    </row>
    <row r="1022" spans="1:17" ht="15" customHeight="1" x14ac:dyDescent="0.3">
      <c r="A1022" s="49"/>
      <c r="B1022" s="49"/>
      <c r="C1022" s="49"/>
      <c r="D1022" s="50"/>
      <c r="E1022" s="50"/>
      <c r="F1022" s="50"/>
      <c r="G1022" s="50"/>
      <c r="H1022" s="51"/>
      <c r="I1022" s="39"/>
      <c r="J1022" s="51"/>
      <c r="K1022" s="51"/>
      <c r="L1022" s="51"/>
      <c r="P1022" s="52"/>
      <c r="Q1022" s="47"/>
    </row>
    <row r="1023" spans="1:17" ht="15" customHeight="1" x14ac:dyDescent="0.3">
      <c r="A1023" s="49"/>
      <c r="B1023" s="49"/>
      <c r="C1023" s="49"/>
      <c r="D1023" s="50"/>
      <c r="E1023" s="50"/>
      <c r="F1023" s="50"/>
      <c r="G1023" s="50"/>
      <c r="H1023" s="51"/>
      <c r="I1023" s="39"/>
      <c r="J1023" s="51"/>
      <c r="K1023" s="51"/>
      <c r="L1023" s="51"/>
      <c r="P1023" s="52"/>
      <c r="Q1023" s="47"/>
    </row>
    <row r="1024" spans="1:17" ht="15" customHeight="1" x14ac:dyDescent="0.3">
      <c r="A1024" s="49"/>
      <c r="B1024" s="49"/>
      <c r="C1024" s="49"/>
      <c r="D1024" s="50"/>
      <c r="E1024" s="50"/>
      <c r="F1024" s="50"/>
      <c r="G1024" s="50"/>
      <c r="H1024" s="51"/>
      <c r="I1024" s="39"/>
      <c r="J1024" s="51"/>
      <c r="K1024" s="51"/>
      <c r="L1024" s="51"/>
      <c r="P1024" s="52"/>
      <c r="Q1024" s="47"/>
    </row>
    <row r="1025" spans="1:17" ht="15" customHeight="1" x14ac:dyDescent="0.3">
      <c r="A1025" s="49"/>
      <c r="B1025" s="49"/>
      <c r="C1025" s="49"/>
      <c r="D1025" s="50"/>
      <c r="E1025" s="50"/>
      <c r="F1025" s="50"/>
      <c r="G1025" s="50"/>
      <c r="H1025" s="51"/>
      <c r="I1025" s="39"/>
      <c r="J1025" s="51"/>
      <c r="K1025" s="51"/>
      <c r="L1025" s="51"/>
      <c r="P1025" s="52"/>
      <c r="Q1025" s="47"/>
    </row>
    <row r="1026" spans="1:17" ht="15" customHeight="1" x14ac:dyDescent="0.3">
      <c r="A1026" s="49"/>
      <c r="B1026" s="49"/>
      <c r="C1026" s="49"/>
      <c r="D1026" s="50"/>
      <c r="E1026" s="50"/>
      <c r="F1026" s="50"/>
      <c r="G1026" s="50"/>
      <c r="H1026" s="51"/>
      <c r="I1026" s="39"/>
      <c r="J1026" s="51"/>
      <c r="K1026" s="51"/>
      <c r="L1026" s="51"/>
      <c r="P1026" s="52"/>
      <c r="Q1026" s="47"/>
    </row>
    <row r="1027" spans="1:17" ht="15" customHeight="1" x14ac:dyDescent="0.3">
      <c r="A1027" s="49"/>
      <c r="B1027" s="49"/>
      <c r="C1027" s="49"/>
      <c r="D1027" s="50"/>
      <c r="E1027" s="50"/>
      <c r="F1027" s="50"/>
      <c r="G1027" s="50"/>
      <c r="H1027" s="51"/>
      <c r="I1027" s="39"/>
      <c r="J1027" s="51"/>
      <c r="K1027" s="51"/>
      <c r="L1027" s="51"/>
      <c r="P1027" s="52"/>
      <c r="Q1027" s="47"/>
    </row>
    <row r="1028" spans="1:17" ht="15" customHeight="1" x14ac:dyDescent="0.3">
      <c r="A1028" s="49"/>
      <c r="B1028" s="49"/>
      <c r="C1028" s="49"/>
      <c r="D1028" s="50"/>
      <c r="E1028" s="50"/>
      <c r="F1028" s="50"/>
      <c r="G1028" s="50"/>
      <c r="H1028" s="51"/>
      <c r="I1028" s="39"/>
      <c r="J1028" s="51"/>
      <c r="K1028" s="51"/>
      <c r="L1028" s="51"/>
      <c r="P1028" s="52"/>
      <c r="Q1028" s="47"/>
    </row>
    <row r="1029" spans="1:17" ht="15" customHeight="1" x14ac:dyDescent="0.3">
      <c r="A1029" s="49"/>
      <c r="B1029" s="49"/>
      <c r="C1029" s="49"/>
      <c r="D1029" s="50"/>
      <c r="E1029" s="50"/>
      <c r="F1029" s="50"/>
      <c r="G1029" s="50"/>
      <c r="H1029" s="51"/>
      <c r="I1029" s="39"/>
      <c r="J1029" s="51"/>
      <c r="K1029" s="51"/>
      <c r="L1029" s="51"/>
      <c r="P1029" s="52"/>
      <c r="Q1029" s="47"/>
    </row>
    <row r="1030" spans="1:17" ht="15" customHeight="1" x14ac:dyDescent="0.3">
      <c r="A1030" s="49"/>
      <c r="B1030" s="49"/>
      <c r="C1030" s="49"/>
      <c r="D1030" s="50"/>
      <c r="E1030" s="50"/>
      <c r="F1030" s="50"/>
      <c r="G1030" s="50"/>
      <c r="H1030" s="51"/>
      <c r="I1030" s="39"/>
      <c r="J1030" s="51"/>
      <c r="K1030" s="51"/>
      <c r="L1030" s="51"/>
      <c r="P1030" s="52"/>
      <c r="Q1030" s="47"/>
    </row>
    <row r="1031" spans="1:17" ht="15" customHeight="1" x14ac:dyDescent="0.3">
      <c r="A1031" s="49"/>
      <c r="B1031" s="49"/>
      <c r="C1031" s="49"/>
      <c r="D1031" s="50"/>
      <c r="E1031" s="50"/>
      <c r="F1031" s="50"/>
      <c r="G1031" s="50"/>
      <c r="H1031" s="51"/>
      <c r="I1031" s="39"/>
      <c r="J1031" s="51"/>
      <c r="K1031" s="51"/>
      <c r="L1031" s="51"/>
      <c r="P1031" s="52"/>
      <c r="Q1031" s="47"/>
    </row>
    <row r="1032" spans="1:17" ht="15" customHeight="1" x14ac:dyDescent="0.3">
      <c r="A1032" s="49"/>
      <c r="B1032" s="49"/>
      <c r="C1032" s="49"/>
      <c r="D1032" s="50"/>
      <c r="E1032" s="50"/>
      <c r="F1032" s="50"/>
      <c r="G1032" s="50"/>
      <c r="H1032" s="51"/>
      <c r="I1032" s="39"/>
      <c r="J1032" s="51"/>
      <c r="K1032" s="51"/>
      <c r="L1032" s="51"/>
      <c r="P1032" s="52"/>
      <c r="Q1032" s="47"/>
    </row>
    <row r="1033" spans="1:17" ht="15" customHeight="1" x14ac:dyDescent="0.3">
      <c r="A1033" s="49"/>
      <c r="B1033" s="49"/>
      <c r="C1033" s="49"/>
      <c r="D1033" s="50"/>
      <c r="E1033" s="50"/>
      <c r="F1033" s="50"/>
      <c r="G1033" s="50"/>
      <c r="H1033" s="51"/>
      <c r="I1033" s="39"/>
      <c r="J1033" s="51"/>
      <c r="K1033" s="51"/>
      <c r="L1033" s="51"/>
      <c r="P1033" s="52"/>
      <c r="Q1033" s="47"/>
    </row>
    <row r="1034" spans="1:17" ht="15" customHeight="1" x14ac:dyDescent="0.3">
      <c r="A1034" s="49"/>
      <c r="B1034" s="49"/>
      <c r="C1034" s="49"/>
      <c r="D1034" s="50"/>
      <c r="E1034" s="50"/>
      <c r="F1034" s="50"/>
      <c r="G1034" s="50"/>
      <c r="H1034" s="51"/>
      <c r="I1034" s="39"/>
      <c r="J1034" s="51"/>
      <c r="K1034" s="51"/>
      <c r="L1034" s="51"/>
      <c r="P1034" s="52"/>
      <c r="Q1034" s="47"/>
    </row>
    <row r="1035" spans="1:17" ht="15" customHeight="1" x14ac:dyDescent="0.3">
      <c r="A1035" s="49"/>
      <c r="B1035" s="49"/>
      <c r="C1035" s="49"/>
      <c r="D1035" s="50"/>
      <c r="E1035" s="50"/>
      <c r="F1035" s="50"/>
      <c r="G1035" s="50"/>
      <c r="H1035" s="51"/>
      <c r="I1035" s="39"/>
      <c r="J1035" s="51"/>
      <c r="K1035" s="51"/>
      <c r="L1035" s="51"/>
      <c r="P1035" s="52"/>
      <c r="Q1035" s="47"/>
    </row>
    <row r="1036" spans="1:17" ht="15" customHeight="1" x14ac:dyDescent="0.3">
      <c r="A1036" s="49"/>
      <c r="B1036" s="49"/>
      <c r="C1036" s="49"/>
      <c r="D1036" s="50"/>
      <c r="E1036" s="50"/>
      <c r="F1036" s="50"/>
      <c r="G1036" s="50"/>
      <c r="H1036" s="51"/>
      <c r="I1036" s="39"/>
      <c r="J1036" s="51"/>
      <c r="K1036" s="51"/>
      <c r="L1036" s="51"/>
      <c r="P1036" s="52"/>
      <c r="Q1036" s="47"/>
    </row>
    <row r="1037" spans="1:17" ht="15" customHeight="1" x14ac:dyDescent="0.3">
      <c r="A1037" s="49"/>
      <c r="B1037" s="49"/>
      <c r="C1037" s="49"/>
      <c r="D1037" s="50"/>
      <c r="E1037" s="50"/>
      <c r="F1037" s="50"/>
      <c r="G1037" s="50"/>
      <c r="H1037" s="51"/>
      <c r="I1037" s="39"/>
      <c r="J1037" s="51"/>
      <c r="K1037" s="51"/>
      <c r="L1037" s="51"/>
      <c r="P1037" s="52"/>
      <c r="Q1037" s="47"/>
    </row>
    <row r="1038" spans="1:17" ht="15" customHeight="1" x14ac:dyDescent="0.3">
      <c r="A1038" s="49"/>
      <c r="B1038" s="49"/>
      <c r="C1038" s="49"/>
      <c r="D1038" s="50"/>
      <c r="E1038" s="50"/>
      <c r="F1038" s="50"/>
      <c r="G1038" s="50"/>
      <c r="H1038" s="51"/>
      <c r="I1038" s="39"/>
      <c r="J1038" s="51"/>
      <c r="K1038" s="51"/>
      <c r="L1038" s="51"/>
      <c r="P1038" s="52"/>
      <c r="Q1038" s="47"/>
    </row>
    <row r="1039" spans="1:17" ht="15" customHeight="1" x14ac:dyDescent="0.3">
      <c r="A1039" s="49"/>
      <c r="B1039" s="49"/>
      <c r="C1039" s="49"/>
      <c r="D1039" s="50"/>
      <c r="E1039" s="50"/>
      <c r="F1039" s="50"/>
      <c r="G1039" s="50"/>
      <c r="H1039" s="51"/>
      <c r="I1039" s="39"/>
      <c r="J1039" s="51"/>
      <c r="K1039" s="51"/>
      <c r="L1039" s="51"/>
      <c r="P1039" s="52"/>
      <c r="Q1039" s="47"/>
    </row>
    <row r="1040" spans="1:17" ht="15" customHeight="1" x14ac:dyDescent="0.3">
      <c r="A1040" s="49"/>
      <c r="B1040" s="49"/>
      <c r="C1040" s="49"/>
      <c r="D1040" s="50"/>
      <c r="E1040" s="50"/>
      <c r="F1040" s="50"/>
      <c r="G1040" s="50"/>
      <c r="H1040" s="51"/>
      <c r="I1040" s="39"/>
      <c r="J1040" s="51"/>
      <c r="K1040" s="51"/>
      <c r="L1040" s="51"/>
      <c r="P1040" s="52"/>
      <c r="Q1040" s="47"/>
    </row>
    <row r="1041" spans="1:17" ht="15" customHeight="1" x14ac:dyDescent="0.3">
      <c r="A1041" s="49"/>
      <c r="B1041" s="49"/>
      <c r="C1041" s="49"/>
      <c r="D1041" s="50"/>
      <c r="E1041" s="50"/>
      <c r="F1041" s="50"/>
      <c r="G1041" s="50"/>
      <c r="H1041" s="51"/>
      <c r="I1041" s="39"/>
      <c r="J1041" s="51"/>
      <c r="K1041" s="51"/>
      <c r="L1041" s="51"/>
      <c r="P1041" s="52"/>
      <c r="Q1041" s="47"/>
    </row>
    <row r="1042" spans="1:17" ht="15" customHeight="1" x14ac:dyDescent="0.3">
      <c r="A1042" s="49"/>
      <c r="B1042" s="49"/>
      <c r="C1042" s="49"/>
      <c r="D1042" s="50"/>
      <c r="E1042" s="50"/>
      <c r="F1042" s="50"/>
      <c r="G1042" s="50"/>
      <c r="H1042" s="51"/>
      <c r="I1042" s="39"/>
      <c r="J1042" s="51"/>
      <c r="K1042" s="51"/>
      <c r="L1042" s="51"/>
      <c r="P1042" s="52"/>
      <c r="Q1042" s="47"/>
    </row>
    <row r="1043" spans="1:17" ht="15" customHeight="1" x14ac:dyDescent="0.3">
      <c r="A1043" s="49"/>
      <c r="B1043" s="49"/>
      <c r="C1043" s="49"/>
      <c r="D1043" s="50"/>
      <c r="E1043" s="50"/>
      <c r="F1043" s="50"/>
      <c r="G1043" s="50"/>
      <c r="H1043" s="51"/>
      <c r="I1043" s="39"/>
      <c r="J1043" s="51"/>
      <c r="K1043" s="51"/>
      <c r="L1043" s="51"/>
      <c r="P1043" s="52"/>
      <c r="Q1043" s="47"/>
    </row>
    <row r="1044" spans="1:17" ht="15" customHeight="1" x14ac:dyDescent="0.3">
      <c r="A1044" s="49"/>
      <c r="B1044" s="49"/>
      <c r="C1044" s="49"/>
      <c r="D1044" s="50"/>
      <c r="E1044" s="50"/>
      <c r="F1044" s="50"/>
      <c r="G1044" s="50"/>
      <c r="H1044" s="51"/>
      <c r="I1044" s="39"/>
      <c r="J1044" s="51"/>
      <c r="K1044" s="51"/>
      <c r="L1044" s="51"/>
      <c r="P1044" s="52"/>
      <c r="Q1044" s="47"/>
    </row>
    <row r="1045" spans="1:17" ht="15" customHeight="1" x14ac:dyDescent="0.3">
      <c r="A1045" s="49"/>
      <c r="B1045" s="49"/>
      <c r="C1045" s="49"/>
      <c r="D1045" s="50"/>
      <c r="E1045" s="50"/>
      <c r="F1045" s="50"/>
      <c r="G1045" s="50"/>
      <c r="H1045" s="51"/>
      <c r="I1045" s="39"/>
      <c r="J1045" s="51"/>
      <c r="K1045" s="51"/>
      <c r="L1045" s="51"/>
      <c r="P1045" s="52"/>
      <c r="Q1045" s="47"/>
    </row>
    <row r="1046" spans="1:17" ht="15" customHeight="1" x14ac:dyDescent="0.3">
      <c r="A1046" s="49"/>
      <c r="B1046" s="49"/>
      <c r="C1046" s="49"/>
      <c r="D1046" s="50"/>
      <c r="E1046" s="50"/>
      <c r="F1046" s="50"/>
      <c r="G1046" s="50"/>
      <c r="H1046" s="51"/>
      <c r="I1046" s="39"/>
      <c r="J1046" s="51"/>
      <c r="K1046" s="51"/>
      <c r="L1046" s="51"/>
      <c r="P1046" s="52"/>
      <c r="Q1046" s="47"/>
    </row>
    <row r="1047" spans="1:17" ht="15" customHeight="1" x14ac:dyDescent="0.3">
      <c r="A1047" s="49"/>
      <c r="B1047" s="49"/>
      <c r="C1047" s="49"/>
      <c r="D1047" s="50"/>
      <c r="E1047" s="50"/>
      <c r="F1047" s="50"/>
      <c r="G1047" s="50"/>
      <c r="H1047" s="51"/>
      <c r="I1047" s="39"/>
      <c r="J1047" s="51"/>
      <c r="K1047" s="51"/>
      <c r="L1047" s="51"/>
      <c r="P1047" s="52"/>
      <c r="Q1047" s="47"/>
    </row>
    <row r="1048" spans="1:17" ht="15" customHeight="1" x14ac:dyDescent="0.3">
      <c r="A1048" s="49"/>
      <c r="B1048" s="49"/>
      <c r="C1048" s="49"/>
      <c r="D1048" s="50"/>
      <c r="E1048" s="50"/>
      <c r="F1048" s="50"/>
      <c r="G1048" s="50"/>
      <c r="H1048" s="51"/>
      <c r="I1048" s="39"/>
      <c r="J1048" s="51"/>
      <c r="K1048" s="51"/>
      <c r="L1048" s="51"/>
      <c r="P1048" s="52"/>
      <c r="Q1048" s="47"/>
    </row>
    <row r="1049" spans="1:17" ht="15" customHeight="1" x14ac:dyDescent="0.3">
      <c r="A1049" s="49"/>
      <c r="B1049" s="49"/>
      <c r="C1049" s="49"/>
      <c r="D1049" s="50"/>
      <c r="E1049" s="50"/>
      <c r="F1049" s="50"/>
      <c r="G1049" s="50"/>
      <c r="H1049" s="51"/>
      <c r="I1049" s="39"/>
      <c r="J1049" s="51"/>
      <c r="K1049" s="51"/>
      <c r="L1049" s="51"/>
      <c r="P1049" s="52"/>
      <c r="Q1049" s="47"/>
    </row>
    <row r="1050" spans="1:17" ht="15" customHeight="1" x14ac:dyDescent="0.3">
      <c r="A1050" s="49"/>
      <c r="B1050" s="49"/>
      <c r="C1050" s="49"/>
      <c r="D1050" s="50"/>
      <c r="E1050" s="50"/>
      <c r="F1050" s="50"/>
      <c r="G1050" s="50"/>
      <c r="H1050" s="51"/>
      <c r="I1050" s="39"/>
      <c r="J1050" s="51"/>
      <c r="K1050" s="51"/>
      <c r="L1050" s="51"/>
      <c r="P1050" s="52"/>
      <c r="Q1050" s="47"/>
    </row>
    <row r="1051" spans="1:17" ht="15" customHeight="1" x14ac:dyDescent="0.3">
      <c r="A1051" s="49"/>
      <c r="B1051" s="49"/>
      <c r="C1051" s="49"/>
      <c r="D1051" s="50"/>
      <c r="E1051" s="50"/>
      <c r="F1051" s="50"/>
      <c r="G1051" s="50"/>
      <c r="H1051" s="51"/>
      <c r="I1051" s="39"/>
      <c r="J1051" s="51"/>
      <c r="K1051" s="51"/>
      <c r="L1051" s="51"/>
      <c r="P1051" s="52"/>
      <c r="Q1051" s="47"/>
    </row>
    <row r="1052" spans="1:17" ht="15" customHeight="1" x14ac:dyDescent="0.3">
      <c r="A1052" s="49"/>
      <c r="B1052" s="49"/>
      <c r="C1052" s="49"/>
      <c r="D1052" s="50"/>
      <c r="E1052" s="50"/>
      <c r="F1052" s="50"/>
      <c r="G1052" s="50"/>
      <c r="H1052" s="51"/>
      <c r="I1052" s="39"/>
      <c r="J1052" s="51"/>
      <c r="K1052" s="51"/>
      <c r="L1052" s="51"/>
      <c r="P1052" s="52"/>
      <c r="Q1052" s="47"/>
    </row>
    <row r="1053" spans="1:17" ht="15" customHeight="1" x14ac:dyDescent="0.3">
      <c r="A1053" s="49"/>
      <c r="B1053" s="49"/>
      <c r="C1053" s="49"/>
      <c r="D1053" s="50"/>
      <c r="E1053" s="50"/>
      <c r="F1053" s="50"/>
      <c r="G1053" s="50"/>
      <c r="H1053" s="51"/>
      <c r="I1053" s="39"/>
      <c r="J1053" s="51"/>
      <c r="K1053" s="51"/>
      <c r="L1053" s="51"/>
      <c r="P1053" s="52"/>
      <c r="Q1053" s="47"/>
    </row>
    <row r="1054" spans="1:17" ht="15" customHeight="1" x14ac:dyDescent="0.3">
      <c r="A1054" s="49"/>
      <c r="B1054" s="49"/>
      <c r="C1054" s="49"/>
      <c r="D1054" s="50"/>
      <c r="E1054" s="50"/>
      <c r="F1054" s="50"/>
      <c r="G1054" s="50"/>
      <c r="H1054" s="51"/>
      <c r="I1054" s="39"/>
      <c r="J1054" s="51"/>
      <c r="K1054" s="51"/>
      <c r="L1054" s="51"/>
      <c r="P1054" s="52"/>
      <c r="Q1054" s="47"/>
    </row>
    <row r="1055" spans="1:17" ht="15" customHeight="1" x14ac:dyDescent="0.3">
      <c r="A1055" s="49"/>
      <c r="B1055" s="49"/>
      <c r="C1055" s="49"/>
      <c r="D1055" s="50"/>
      <c r="E1055" s="50"/>
      <c r="F1055" s="50"/>
      <c r="G1055" s="50"/>
      <c r="H1055" s="51"/>
      <c r="I1055" s="39"/>
      <c r="J1055" s="51"/>
      <c r="K1055" s="51"/>
      <c r="L1055" s="51"/>
      <c r="P1055" s="52"/>
      <c r="Q1055" s="47"/>
    </row>
    <row r="1056" spans="1:17" ht="15" customHeight="1" x14ac:dyDescent="0.3">
      <c r="A1056" s="49"/>
      <c r="B1056" s="49"/>
      <c r="C1056" s="49"/>
      <c r="D1056" s="50"/>
      <c r="E1056" s="50"/>
      <c r="F1056" s="50"/>
      <c r="G1056" s="50"/>
      <c r="H1056" s="51"/>
      <c r="I1056" s="39"/>
      <c r="J1056" s="51"/>
      <c r="K1056" s="51"/>
      <c r="L1056" s="51"/>
      <c r="P1056" s="52"/>
      <c r="Q1056" s="47"/>
    </row>
    <row r="1057" spans="1:17" ht="15" customHeight="1" x14ac:dyDescent="0.3">
      <c r="A1057" s="49"/>
      <c r="B1057" s="49"/>
      <c r="C1057" s="49"/>
      <c r="D1057" s="50"/>
      <c r="E1057" s="50"/>
      <c r="F1057" s="50"/>
      <c r="G1057" s="50"/>
      <c r="H1057" s="51"/>
      <c r="I1057" s="39"/>
      <c r="J1057" s="51"/>
      <c r="K1057" s="51"/>
      <c r="L1057" s="51"/>
      <c r="P1057" s="52"/>
      <c r="Q1057" s="47"/>
    </row>
    <row r="1058" spans="1:17" ht="15" customHeight="1" x14ac:dyDescent="0.3">
      <c r="A1058" s="49"/>
      <c r="B1058" s="49"/>
      <c r="C1058" s="49"/>
      <c r="D1058" s="50"/>
      <c r="E1058" s="50"/>
      <c r="F1058" s="50"/>
      <c r="G1058" s="50"/>
      <c r="H1058" s="51"/>
      <c r="I1058" s="39"/>
      <c r="J1058" s="51"/>
      <c r="K1058" s="51"/>
      <c r="L1058" s="51"/>
      <c r="P1058" s="52"/>
      <c r="Q1058" s="47"/>
    </row>
    <row r="1059" spans="1:17" ht="15" customHeight="1" x14ac:dyDescent="0.3">
      <c r="A1059" s="49"/>
      <c r="B1059" s="49"/>
      <c r="C1059" s="49"/>
      <c r="D1059" s="50"/>
      <c r="E1059" s="50"/>
      <c r="F1059" s="50"/>
      <c r="G1059" s="50"/>
      <c r="H1059" s="51"/>
      <c r="I1059" s="39"/>
      <c r="J1059" s="51"/>
      <c r="K1059" s="51"/>
      <c r="L1059" s="51"/>
      <c r="P1059" s="52"/>
      <c r="Q1059" s="47"/>
    </row>
    <row r="1060" spans="1:17" ht="15" customHeight="1" x14ac:dyDescent="0.3">
      <c r="A1060" s="49"/>
      <c r="B1060" s="49"/>
      <c r="C1060" s="49"/>
      <c r="D1060" s="50"/>
      <c r="E1060" s="50"/>
      <c r="F1060" s="50"/>
      <c r="G1060" s="50"/>
      <c r="H1060" s="51"/>
      <c r="I1060" s="39"/>
      <c r="J1060" s="51"/>
      <c r="K1060" s="51"/>
      <c r="L1060" s="51"/>
      <c r="P1060" s="52"/>
      <c r="Q1060" s="47"/>
    </row>
    <row r="1061" spans="1:17" ht="15" customHeight="1" x14ac:dyDescent="0.3">
      <c r="A1061" s="49"/>
      <c r="B1061" s="49"/>
      <c r="C1061" s="49"/>
      <c r="D1061" s="50"/>
      <c r="E1061" s="50"/>
      <c r="F1061" s="50"/>
      <c r="G1061" s="50"/>
      <c r="H1061" s="51"/>
      <c r="I1061" s="39"/>
      <c r="J1061" s="51"/>
      <c r="K1061" s="51"/>
      <c r="L1061" s="51"/>
      <c r="P1061" s="52"/>
      <c r="Q1061" s="47"/>
    </row>
    <row r="1062" spans="1:17" ht="15" customHeight="1" x14ac:dyDescent="0.3">
      <c r="A1062" s="49"/>
      <c r="B1062" s="49"/>
      <c r="C1062" s="49"/>
      <c r="D1062" s="50"/>
      <c r="E1062" s="50"/>
      <c r="F1062" s="50"/>
      <c r="G1062" s="50"/>
      <c r="H1062" s="51"/>
      <c r="I1062" s="39"/>
      <c r="J1062" s="51"/>
      <c r="K1062" s="51"/>
      <c r="L1062" s="51"/>
      <c r="P1062" s="52"/>
      <c r="Q1062" s="47"/>
    </row>
    <row r="1063" spans="1:17" ht="15" customHeight="1" x14ac:dyDescent="0.3">
      <c r="A1063" s="49"/>
      <c r="B1063" s="49"/>
      <c r="C1063" s="49"/>
      <c r="D1063" s="50"/>
      <c r="E1063" s="50"/>
      <c r="F1063" s="50"/>
      <c r="G1063" s="50"/>
      <c r="H1063" s="51"/>
      <c r="I1063" s="39"/>
      <c r="J1063" s="51"/>
      <c r="K1063" s="51"/>
      <c r="L1063" s="51"/>
      <c r="P1063" s="52"/>
      <c r="Q1063" s="47"/>
    </row>
    <row r="1064" spans="1:17" ht="15" customHeight="1" x14ac:dyDescent="0.3">
      <c r="A1064" s="49"/>
      <c r="B1064" s="49"/>
      <c r="C1064" s="49"/>
      <c r="D1064" s="50"/>
      <c r="E1064" s="50"/>
      <c r="F1064" s="50"/>
      <c r="G1064" s="50"/>
      <c r="H1064" s="51"/>
      <c r="I1064" s="39"/>
      <c r="J1064" s="51"/>
      <c r="K1064" s="51"/>
      <c r="L1064" s="51"/>
      <c r="P1064" s="52"/>
      <c r="Q1064" s="47"/>
    </row>
    <row r="1065" spans="1:17" ht="15" customHeight="1" x14ac:dyDescent="0.3">
      <c r="A1065" s="49"/>
      <c r="B1065" s="49"/>
      <c r="C1065" s="49"/>
      <c r="D1065" s="50"/>
      <c r="E1065" s="50"/>
      <c r="F1065" s="50"/>
      <c r="G1065" s="50"/>
      <c r="H1065" s="51"/>
      <c r="I1065" s="39"/>
      <c r="J1065" s="51"/>
      <c r="K1065" s="51"/>
      <c r="L1065" s="51"/>
      <c r="P1065" s="52"/>
      <c r="Q1065" s="47"/>
    </row>
    <row r="1066" spans="1:17" ht="15" customHeight="1" x14ac:dyDescent="0.3">
      <c r="A1066" s="49"/>
      <c r="B1066" s="49"/>
      <c r="C1066" s="49"/>
      <c r="D1066" s="50"/>
      <c r="E1066" s="50"/>
      <c r="F1066" s="50"/>
      <c r="G1066" s="50"/>
      <c r="H1066" s="51"/>
      <c r="I1066" s="39"/>
      <c r="J1066" s="51"/>
      <c r="K1066" s="51"/>
      <c r="L1066" s="51"/>
      <c r="P1066" s="52"/>
      <c r="Q1066" s="47"/>
    </row>
    <row r="1067" spans="1:17" ht="15" customHeight="1" x14ac:dyDescent="0.3">
      <c r="A1067" s="49"/>
      <c r="B1067" s="49"/>
      <c r="C1067" s="49"/>
      <c r="D1067" s="50"/>
      <c r="E1067" s="50"/>
      <c r="F1067" s="50"/>
      <c r="G1067" s="50"/>
      <c r="H1067" s="51"/>
      <c r="I1067" s="39"/>
      <c r="J1067" s="51"/>
      <c r="K1067" s="51"/>
      <c r="L1067" s="51"/>
      <c r="P1067" s="52"/>
      <c r="Q1067" s="47"/>
    </row>
    <row r="1068" spans="1:17" ht="15" customHeight="1" x14ac:dyDescent="0.3">
      <c r="A1068" s="49"/>
      <c r="B1068" s="49"/>
      <c r="C1068" s="49"/>
      <c r="D1068" s="50"/>
      <c r="E1068" s="50"/>
      <c r="F1068" s="50"/>
      <c r="G1068" s="50"/>
      <c r="H1068" s="51"/>
      <c r="I1068" s="39"/>
      <c r="J1068" s="51"/>
      <c r="K1068" s="51"/>
      <c r="L1068" s="51"/>
      <c r="P1068" s="52"/>
      <c r="Q1068" s="47"/>
    </row>
    <row r="1069" spans="1:17" ht="15" customHeight="1" x14ac:dyDescent="0.3">
      <c r="A1069" s="49"/>
      <c r="B1069" s="49"/>
      <c r="C1069" s="49"/>
      <c r="D1069" s="50"/>
      <c r="E1069" s="50"/>
      <c r="F1069" s="50"/>
      <c r="G1069" s="50"/>
      <c r="H1069" s="51"/>
      <c r="I1069" s="39"/>
      <c r="J1069" s="51"/>
      <c r="K1069" s="51"/>
      <c r="L1069" s="51"/>
      <c r="P1069" s="52"/>
      <c r="Q1069" s="47"/>
    </row>
    <row r="1070" spans="1:17" ht="15" customHeight="1" x14ac:dyDescent="0.3">
      <c r="A1070" s="49"/>
      <c r="B1070" s="49"/>
      <c r="C1070" s="49"/>
      <c r="D1070" s="50"/>
      <c r="E1070" s="50"/>
      <c r="F1070" s="50"/>
      <c r="G1070" s="50"/>
      <c r="H1070" s="51"/>
      <c r="I1070" s="39"/>
      <c r="J1070" s="51"/>
      <c r="K1070" s="51"/>
      <c r="L1070" s="51"/>
      <c r="P1070" s="52"/>
      <c r="Q1070" s="47"/>
    </row>
    <row r="1071" spans="1:17" ht="15" customHeight="1" x14ac:dyDescent="0.3">
      <c r="A1071" s="49"/>
      <c r="B1071" s="49"/>
      <c r="C1071" s="49"/>
      <c r="D1071" s="50"/>
      <c r="E1071" s="50"/>
      <c r="F1071" s="50"/>
      <c r="G1071" s="50"/>
      <c r="H1071" s="51"/>
      <c r="I1071" s="39"/>
      <c r="J1071" s="51"/>
      <c r="K1071" s="51"/>
      <c r="L1071" s="51"/>
      <c r="P1071" s="52"/>
      <c r="Q1071" s="47"/>
    </row>
    <row r="1072" spans="1:17" ht="15" customHeight="1" x14ac:dyDescent="0.3">
      <c r="A1072" s="49"/>
      <c r="B1072" s="49"/>
      <c r="C1072" s="49"/>
      <c r="D1072" s="50"/>
      <c r="E1072" s="50"/>
      <c r="F1072" s="50"/>
      <c r="G1072" s="50"/>
      <c r="H1072" s="51"/>
      <c r="I1072" s="39"/>
      <c r="J1072" s="51"/>
      <c r="K1072" s="51"/>
      <c r="L1072" s="51"/>
      <c r="P1072" s="52"/>
      <c r="Q1072" s="47"/>
    </row>
    <row r="1073" spans="1:17" ht="15" customHeight="1" x14ac:dyDescent="0.3">
      <c r="A1073" s="49"/>
      <c r="B1073" s="49"/>
      <c r="C1073" s="49"/>
      <c r="D1073" s="50"/>
      <c r="E1073" s="50"/>
      <c r="F1073" s="50"/>
      <c r="G1073" s="50"/>
      <c r="H1073" s="51"/>
      <c r="I1073" s="39"/>
      <c r="J1073" s="51"/>
      <c r="K1073" s="51"/>
      <c r="L1073" s="51"/>
      <c r="P1073" s="52"/>
      <c r="Q1073" s="47"/>
    </row>
    <row r="1074" spans="1:17" ht="15" customHeight="1" x14ac:dyDescent="0.3">
      <c r="A1074" s="49"/>
      <c r="B1074" s="49"/>
      <c r="C1074" s="49"/>
      <c r="D1074" s="50"/>
      <c r="E1074" s="50"/>
      <c r="F1074" s="50"/>
      <c r="G1074" s="50"/>
      <c r="H1074" s="51"/>
      <c r="I1074" s="39"/>
      <c r="J1074" s="51"/>
      <c r="K1074" s="51"/>
      <c r="L1074" s="51"/>
      <c r="P1074" s="52"/>
      <c r="Q1074" s="47"/>
    </row>
    <row r="1075" spans="1:17" ht="15" customHeight="1" x14ac:dyDescent="0.3">
      <c r="A1075" s="49"/>
      <c r="B1075" s="49"/>
      <c r="C1075" s="49"/>
      <c r="D1075" s="50"/>
      <c r="E1075" s="50"/>
      <c r="F1075" s="50"/>
      <c r="G1075" s="50"/>
      <c r="H1075" s="51"/>
      <c r="I1075" s="39"/>
      <c r="J1075" s="51"/>
      <c r="K1075" s="51"/>
      <c r="L1075" s="51"/>
      <c r="P1075" s="52"/>
      <c r="Q1075" s="47"/>
    </row>
    <row r="1076" spans="1:17" ht="15" customHeight="1" x14ac:dyDescent="0.3">
      <c r="A1076" s="49"/>
      <c r="B1076" s="49"/>
      <c r="C1076" s="49"/>
      <c r="D1076" s="50"/>
      <c r="E1076" s="50"/>
      <c r="F1076" s="50"/>
      <c r="G1076" s="50"/>
      <c r="H1076" s="51"/>
      <c r="I1076" s="39"/>
      <c r="J1076" s="51"/>
      <c r="K1076" s="51"/>
      <c r="L1076" s="51"/>
      <c r="P1076" s="52"/>
      <c r="Q1076" s="47"/>
    </row>
    <row r="1077" spans="1:17" ht="15" customHeight="1" x14ac:dyDescent="0.3">
      <c r="A1077" s="49"/>
      <c r="B1077" s="49"/>
      <c r="C1077" s="49"/>
      <c r="D1077" s="50"/>
      <c r="E1077" s="50"/>
      <c r="F1077" s="50"/>
      <c r="G1077" s="50"/>
      <c r="H1077" s="51"/>
      <c r="I1077" s="39"/>
      <c r="J1077" s="51"/>
      <c r="K1077" s="51"/>
      <c r="L1077" s="51"/>
      <c r="P1077" s="52"/>
      <c r="Q1077" s="47"/>
    </row>
    <row r="1078" spans="1:17" ht="15" customHeight="1" x14ac:dyDescent="0.3">
      <c r="A1078" s="49"/>
      <c r="B1078" s="49"/>
      <c r="C1078" s="49"/>
      <c r="D1078" s="50"/>
      <c r="E1078" s="50"/>
      <c r="F1078" s="50"/>
      <c r="G1078" s="50"/>
      <c r="H1078" s="51"/>
      <c r="I1078" s="39"/>
      <c r="J1078" s="51"/>
      <c r="K1078" s="51"/>
      <c r="L1078" s="51"/>
      <c r="P1078" s="52"/>
      <c r="Q1078" s="47"/>
    </row>
    <row r="1079" spans="1:17" ht="15" customHeight="1" x14ac:dyDescent="0.3">
      <c r="A1079" s="49"/>
      <c r="B1079" s="49"/>
      <c r="C1079" s="49"/>
      <c r="D1079" s="50"/>
      <c r="E1079" s="50"/>
      <c r="F1079" s="50"/>
      <c r="G1079" s="50"/>
      <c r="H1079" s="51"/>
      <c r="I1079" s="39"/>
      <c r="J1079" s="51"/>
      <c r="K1079" s="51"/>
      <c r="L1079" s="51"/>
      <c r="P1079" s="52"/>
      <c r="Q1079" s="47"/>
    </row>
    <row r="1080" spans="1:17" ht="15" customHeight="1" x14ac:dyDescent="0.3">
      <c r="A1080" s="49"/>
      <c r="B1080" s="49"/>
      <c r="C1080" s="49"/>
      <c r="D1080" s="50"/>
      <c r="E1080" s="50"/>
      <c r="F1080" s="50"/>
      <c r="G1080" s="50"/>
      <c r="H1080" s="51"/>
      <c r="I1080" s="39"/>
      <c r="J1080" s="51"/>
      <c r="K1080" s="51"/>
      <c r="L1080" s="51"/>
      <c r="P1080" s="52"/>
      <c r="Q1080" s="47"/>
    </row>
    <row r="1081" spans="1:17" ht="15" customHeight="1" x14ac:dyDescent="0.3">
      <c r="A1081" s="49"/>
      <c r="B1081" s="49"/>
      <c r="C1081" s="49"/>
      <c r="D1081" s="50"/>
      <c r="E1081" s="50"/>
      <c r="F1081" s="50"/>
      <c r="G1081" s="50"/>
      <c r="H1081" s="51"/>
      <c r="I1081" s="39"/>
      <c r="J1081" s="51"/>
      <c r="K1081" s="51"/>
      <c r="L1081" s="51"/>
      <c r="P1081" s="52"/>
      <c r="Q1081" s="47"/>
    </row>
    <row r="1082" spans="1:17" ht="15" customHeight="1" x14ac:dyDescent="0.3">
      <c r="A1082" s="49"/>
      <c r="B1082" s="49"/>
      <c r="C1082" s="49"/>
      <c r="D1082" s="50"/>
      <c r="E1082" s="50"/>
      <c r="F1082" s="50"/>
      <c r="G1082" s="50"/>
      <c r="H1082" s="51"/>
      <c r="I1082" s="39"/>
      <c r="J1082" s="51"/>
      <c r="K1082" s="51"/>
      <c r="L1082" s="51"/>
      <c r="P1082" s="52"/>
      <c r="Q1082" s="47"/>
    </row>
    <row r="1083" spans="1:17" ht="15" customHeight="1" x14ac:dyDescent="0.3">
      <c r="A1083" s="49"/>
      <c r="B1083" s="49"/>
      <c r="C1083" s="49"/>
      <c r="D1083" s="50"/>
      <c r="E1083" s="50"/>
      <c r="F1083" s="50"/>
      <c r="G1083" s="50"/>
      <c r="H1083" s="51"/>
      <c r="I1083" s="39"/>
      <c r="J1083" s="51"/>
      <c r="K1083" s="51"/>
      <c r="L1083" s="51"/>
      <c r="P1083" s="52"/>
      <c r="Q1083" s="47"/>
    </row>
    <row r="1084" spans="1:17" ht="15" customHeight="1" x14ac:dyDescent="0.3">
      <c r="A1084" s="49"/>
      <c r="B1084" s="49"/>
      <c r="C1084" s="49"/>
      <c r="D1084" s="50"/>
      <c r="E1084" s="50"/>
      <c r="F1084" s="50"/>
      <c r="G1084" s="50"/>
      <c r="H1084" s="51"/>
      <c r="I1084" s="39"/>
      <c r="J1084" s="51"/>
      <c r="K1084" s="51"/>
      <c r="L1084" s="51"/>
      <c r="P1084" s="52"/>
      <c r="Q1084" s="47"/>
    </row>
    <row r="1085" spans="1:17" ht="15" customHeight="1" x14ac:dyDescent="0.3">
      <c r="A1085" s="49"/>
      <c r="B1085" s="49"/>
      <c r="C1085" s="49"/>
      <c r="D1085" s="50"/>
      <c r="E1085" s="50"/>
      <c r="F1085" s="50"/>
      <c r="G1085" s="50"/>
      <c r="H1085" s="51"/>
      <c r="I1085" s="39"/>
      <c r="J1085" s="51"/>
      <c r="K1085" s="51"/>
      <c r="L1085" s="51"/>
      <c r="P1085" s="52"/>
      <c r="Q1085" s="47"/>
    </row>
    <row r="1086" spans="1:17" ht="15" customHeight="1" x14ac:dyDescent="0.3">
      <c r="A1086" s="49"/>
      <c r="B1086" s="49"/>
      <c r="C1086" s="49"/>
      <c r="D1086" s="50"/>
      <c r="E1086" s="50"/>
      <c r="F1086" s="50"/>
      <c r="G1086" s="50"/>
      <c r="H1086" s="51"/>
      <c r="I1086" s="39"/>
      <c r="J1086" s="51"/>
      <c r="K1086" s="51"/>
      <c r="L1086" s="51"/>
      <c r="P1086" s="52"/>
      <c r="Q1086" s="47"/>
    </row>
    <row r="1087" spans="1:17" ht="15" customHeight="1" x14ac:dyDescent="0.3">
      <c r="A1087" s="49"/>
      <c r="B1087" s="49"/>
      <c r="C1087" s="49"/>
      <c r="D1087" s="50"/>
      <c r="E1087" s="50"/>
      <c r="F1087" s="50"/>
      <c r="G1087" s="50"/>
      <c r="H1087" s="51"/>
      <c r="I1087" s="39"/>
      <c r="J1087" s="51"/>
      <c r="K1087" s="51"/>
      <c r="L1087" s="51"/>
      <c r="P1087" s="52"/>
      <c r="Q1087" s="47"/>
    </row>
    <row r="1088" spans="1:17" ht="15" customHeight="1" x14ac:dyDescent="0.3">
      <c r="A1088" s="49"/>
      <c r="B1088" s="49"/>
      <c r="C1088" s="49"/>
      <c r="D1088" s="50"/>
      <c r="E1088" s="50"/>
      <c r="F1088" s="50"/>
      <c r="G1088" s="50"/>
      <c r="H1088" s="51"/>
      <c r="I1088" s="39"/>
      <c r="J1088" s="51"/>
      <c r="K1088" s="51"/>
      <c r="L1088" s="51"/>
      <c r="P1088" s="52"/>
      <c r="Q1088" s="47"/>
    </row>
    <row r="1089" spans="1:17" ht="15" customHeight="1" x14ac:dyDescent="0.3">
      <c r="A1089" s="49"/>
      <c r="B1089" s="49"/>
      <c r="C1089" s="49"/>
      <c r="D1089" s="50"/>
      <c r="E1089" s="50"/>
      <c r="F1089" s="50"/>
      <c r="G1089" s="50"/>
      <c r="H1089" s="51"/>
      <c r="I1089" s="39"/>
      <c r="J1089" s="51"/>
      <c r="K1089" s="51"/>
      <c r="L1089" s="51"/>
      <c r="P1089" s="52"/>
      <c r="Q1089" s="47"/>
    </row>
    <row r="1090" spans="1:17" ht="15" customHeight="1" x14ac:dyDescent="0.3">
      <c r="A1090" s="49"/>
      <c r="B1090" s="49"/>
      <c r="C1090" s="49"/>
      <c r="D1090" s="50"/>
      <c r="E1090" s="50"/>
      <c r="F1090" s="50"/>
      <c r="G1090" s="50"/>
      <c r="H1090" s="51"/>
      <c r="I1090" s="39"/>
      <c r="J1090" s="51"/>
      <c r="K1090" s="51"/>
      <c r="L1090" s="51"/>
      <c r="P1090" s="52"/>
      <c r="Q1090" s="47"/>
    </row>
    <row r="1091" spans="1:17" ht="15" customHeight="1" x14ac:dyDescent="0.3">
      <c r="A1091" s="49"/>
      <c r="B1091" s="49"/>
      <c r="C1091" s="49"/>
      <c r="D1091" s="50"/>
      <c r="E1091" s="50"/>
      <c r="F1091" s="50"/>
      <c r="G1091" s="50"/>
      <c r="H1091" s="51"/>
      <c r="I1091" s="39"/>
      <c r="J1091" s="51"/>
      <c r="K1091" s="51"/>
      <c r="L1091" s="51"/>
      <c r="P1091" s="52"/>
      <c r="Q1091" s="47"/>
    </row>
    <row r="1092" spans="1:17" ht="15" customHeight="1" x14ac:dyDescent="0.3">
      <c r="A1092" s="49"/>
      <c r="B1092" s="49"/>
      <c r="C1092" s="49"/>
      <c r="D1092" s="50"/>
      <c r="E1092" s="50"/>
      <c r="F1092" s="50"/>
      <c r="G1092" s="50"/>
      <c r="H1092" s="51"/>
      <c r="I1092" s="39"/>
      <c r="J1092" s="51"/>
      <c r="K1092" s="51"/>
      <c r="L1092" s="51"/>
      <c r="P1092" s="52"/>
      <c r="Q1092" s="47"/>
    </row>
    <row r="1093" spans="1:17" ht="15" customHeight="1" x14ac:dyDescent="0.3">
      <c r="A1093" s="49"/>
      <c r="B1093" s="49"/>
      <c r="C1093" s="49"/>
      <c r="D1093" s="50"/>
      <c r="E1093" s="50"/>
      <c r="F1093" s="50"/>
      <c r="G1093" s="50"/>
      <c r="H1093" s="51"/>
      <c r="I1093" s="39"/>
      <c r="J1093" s="51"/>
      <c r="K1093" s="51"/>
      <c r="L1093" s="51"/>
      <c r="P1093" s="52"/>
      <c r="Q1093" s="47"/>
    </row>
    <row r="1094" spans="1:17" ht="15" customHeight="1" x14ac:dyDescent="0.3">
      <c r="A1094" s="49"/>
      <c r="B1094" s="49"/>
      <c r="C1094" s="49"/>
      <c r="D1094" s="50"/>
      <c r="E1094" s="50"/>
      <c r="F1094" s="50"/>
      <c r="G1094" s="50"/>
      <c r="H1094" s="51"/>
      <c r="I1094" s="39"/>
      <c r="J1094" s="51"/>
      <c r="K1094" s="51"/>
      <c r="L1094" s="51"/>
      <c r="P1094" s="52"/>
      <c r="Q1094" s="47"/>
    </row>
    <row r="1095" spans="1:17" ht="15" customHeight="1" x14ac:dyDescent="0.3">
      <c r="A1095" s="49"/>
      <c r="B1095" s="49"/>
      <c r="C1095" s="49"/>
      <c r="D1095" s="50"/>
      <c r="E1095" s="50"/>
      <c r="F1095" s="50"/>
      <c r="G1095" s="50"/>
      <c r="H1095" s="51"/>
      <c r="I1095" s="39"/>
      <c r="J1095" s="51"/>
      <c r="K1095" s="51"/>
      <c r="L1095" s="51"/>
      <c r="P1095" s="52"/>
      <c r="Q1095" s="47"/>
    </row>
    <row r="1096" spans="1:17" ht="15" customHeight="1" x14ac:dyDescent="0.3">
      <c r="A1096" s="49"/>
      <c r="B1096" s="49"/>
      <c r="C1096" s="49"/>
      <c r="D1096" s="50"/>
      <c r="E1096" s="50"/>
      <c r="F1096" s="50"/>
      <c r="G1096" s="50"/>
      <c r="H1096" s="51"/>
      <c r="I1096" s="39"/>
      <c r="J1096" s="51"/>
      <c r="K1096" s="51"/>
      <c r="L1096" s="51"/>
      <c r="P1096" s="52"/>
      <c r="Q1096" s="47"/>
    </row>
    <row r="1097" spans="1:17" ht="15" customHeight="1" x14ac:dyDescent="0.3">
      <c r="A1097" s="49"/>
      <c r="B1097" s="49"/>
      <c r="C1097" s="49"/>
      <c r="D1097" s="50"/>
      <c r="E1097" s="50"/>
      <c r="F1097" s="50"/>
      <c r="G1097" s="50"/>
      <c r="H1097" s="51"/>
      <c r="I1097" s="39"/>
      <c r="J1097" s="51"/>
      <c r="K1097" s="51"/>
      <c r="L1097" s="51"/>
      <c r="P1097" s="52"/>
      <c r="Q1097" s="47"/>
    </row>
    <row r="1098" spans="1:17" ht="15" customHeight="1" x14ac:dyDescent="0.3">
      <c r="A1098" s="49"/>
      <c r="B1098" s="49"/>
      <c r="C1098" s="49"/>
      <c r="D1098" s="50"/>
      <c r="E1098" s="50"/>
      <c r="F1098" s="50"/>
      <c r="G1098" s="50"/>
      <c r="H1098" s="51"/>
      <c r="I1098" s="39"/>
      <c r="J1098" s="51"/>
      <c r="K1098" s="51"/>
      <c r="L1098" s="51"/>
      <c r="P1098" s="52"/>
      <c r="Q1098" s="47"/>
    </row>
    <row r="1099" spans="1:17" ht="15" customHeight="1" x14ac:dyDescent="0.3">
      <c r="A1099" s="49"/>
      <c r="B1099" s="49"/>
      <c r="C1099" s="49"/>
      <c r="D1099" s="50"/>
      <c r="E1099" s="50"/>
      <c r="F1099" s="50"/>
      <c r="G1099" s="50"/>
      <c r="H1099" s="51"/>
      <c r="I1099" s="39"/>
      <c r="J1099" s="51"/>
      <c r="K1099" s="51"/>
      <c r="L1099" s="51"/>
      <c r="P1099" s="52"/>
      <c r="Q1099" s="47"/>
    </row>
    <row r="1100" spans="1:17" ht="15" customHeight="1" x14ac:dyDescent="0.3">
      <c r="A1100" s="49"/>
      <c r="B1100" s="49"/>
      <c r="C1100" s="49"/>
      <c r="D1100" s="50"/>
      <c r="E1100" s="50"/>
      <c r="F1100" s="50"/>
      <c r="G1100" s="50"/>
      <c r="H1100" s="51"/>
      <c r="I1100" s="39"/>
      <c r="J1100" s="51"/>
      <c r="K1100" s="51"/>
      <c r="L1100" s="51"/>
      <c r="P1100" s="52"/>
      <c r="Q1100" s="47"/>
    </row>
    <row r="1101" spans="1:17" ht="15" customHeight="1" x14ac:dyDescent="0.3">
      <c r="A1101" s="49"/>
      <c r="B1101" s="49"/>
      <c r="C1101" s="49"/>
      <c r="D1101" s="50"/>
      <c r="E1101" s="50"/>
      <c r="F1101" s="50"/>
      <c r="G1101" s="50"/>
      <c r="H1101" s="51"/>
      <c r="I1101" s="39"/>
      <c r="J1101" s="51"/>
      <c r="K1101" s="51"/>
      <c r="L1101" s="51"/>
      <c r="P1101" s="52"/>
      <c r="Q1101" s="47"/>
    </row>
    <row r="1102" spans="1:17" ht="15" customHeight="1" x14ac:dyDescent="0.3">
      <c r="A1102" s="49"/>
      <c r="B1102" s="49"/>
      <c r="C1102" s="49"/>
      <c r="D1102" s="50"/>
      <c r="E1102" s="50"/>
      <c r="F1102" s="50"/>
      <c r="G1102" s="50"/>
      <c r="H1102" s="51"/>
      <c r="I1102" s="39"/>
      <c r="J1102" s="51"/>
      <c r="K1102" s="51"/>
      <c r="L1102" s="51"/>
      <c r="P1102" s="52"/>
      <c r="Q1102" s="47"/>
    </row>
    <row r="1103" spans="1:17" ht="15" customHeight="1" x14ac:dyDescent="0.3">
      <c r="A1103" s="49"/>
      <c r="B1103" s="49"/>
      <c r="C1103" s="49"/>
      <c r="D1103" s="50"/>
      <c r="E1103" s="50"/>
      <c r="F1103" s="50"/>
      <c r="G1103" s="50"/>
      <c r="H1103" s="51"/>
      <c r="I1103" s="39"/>
      <c r="J1103" s="51"/>
      <c r="K1103" s="51"/>
      <c r="L1103" s="51"/>
      <c r="P1103" s="52"/>
      <c r="Q1103" s="47"/>
    </row>
    <row r="1104" spans="1:17" ht="15" customHeight="1" x14ac:dyDescent="0.3">
      <c r="A1104" s="49"/>
      <c r="B1104" s="49"/>
      <c r="C1104" s="49"/>
      <c r="D1104" s="50"/>
      <c r="E1104" s="50"/>
      <c r="F1104" s="50"/>
      <c r="G1104" s="50"/>
      <c r="H1104" s="51"/>
      <c r="I1104" s="39"/>
      <c r="J1104" s="51"/>
      <c r="K1104" s="51"/>
      <c r="L1104" s="51"/>
      <c r="P1104" s="52"/>
      <c r="Q1104" s="47"/>
    </row>
    <row r="1105" spans="1:17" ht="15" customHeight="1" x14ac:dyDescent="0.3">
      <c r="A1105" s="49"/>
      <c r="B1105" s="49"/>
      <c r="C1105" s="49"/>
      <c r="D1105" s="50"/>
      <c r="E1105" s="50"/>
      <c r="F1105" s="50"/>
      <c r="G1105" s="50"/>
      <c r="H1105" s="51"/>
      <c r="I1105" s="39"/>
      <c r="J1105" s="51"/>
      <c r="K1105" s="51"/>
      <c r="L1105" s="51"/>
      <c r="P1105" s="52"/>
      <c r="Q1105" s="47"/>
    </row>
    <row r="1106" spans="1:17" ht="15" customHeight="1" x14ac:dyDescent="0.3">
      <c r="A1106" s="49"/>
      <c r="B1106" s="49"/>
      <c r="C1106" s="49"/>
      <c r="D1106" s="50"/>
      <c r="E1106" s="50"/>
      <c r="F1106" s="50"/>
      <c r="G1106" s="50"/>
      <c r="H1106" s="51"/>
      <c r="I1106" s="39"/>
      <c r="J1106" s="51"/>
      <c r="K1106" s="51"/>
      <c r="L1106" s="51"/>
      <c r="P1106" s="52"/>
      <c r="Q1106" s="47"/>
    </row>
    <row r="1107" spans="1:17" ht="15" customHeight="1" x14ac:dyDescent="0.3">
      <c r="A1107" s="49"/>
      <c r="B1107" s="49"/>
      <c r="C1107" s="49"/>
      <c r="D1107" s="50"/>
      <c r="E1107" s="50"/>
      <c r="F1107" s="50"/>
      <c r="G1107" s="50"/>
      <c r="H1107" s="51"/>
      <c r="I1107" s="39"/>
      <c r="J1107" s="51"/>
      <c r="K1107" s="51"/>
      <c r="L1107" s="51"/>
      <c r="P1107" s="52"/>
      <c r="Q1107" s="47"/>
    </row>
    <row r="1108" spans="1:17" ht="15" customHeight="1" x14ac:dyDescent="0.3">
      <c r="A1108" s="49"/>
      <c r="B1108" s="49"/>
      <c r="C1108" s="49"/>
      <c r="D1108" s="50"/>
      <c r="E1108" s="50"/>
      <c r="F1108" s="50"/>
      <c r="G1108" s="50"/>
      <c r="H1108" s="51"/>
      <c r="I1108" s="39"/>
      <c r="J1108" s="51"/>
      <c r="K1108" s="51"/>
      <c r="L1108" s="51"/>
      <c r="P1108" s="52"/>
      <c r="Q1108" s="47"/>
    </row>
    <row r="1109" spans="1:17" ht="15" customHeight="1" x14ac:dyDescent="0.3">
      <c r="A1109" s="49"/>
      <c r="B1109" s="49"/>
      <c r="C1109" s="49"/>
      <c r="D1109" s="50"/>
      <c r="E1109" s="50"/>
      <c r="F1109" s="50"/>
      <c r="G1109" s="50"/>
      <c r="H1109" s="51"/>
      <c r="I1109" s="39"/>
      <c r="J1109" s="51"/>
      <c r="K1109" s="51"/>
      <c r="L1109" s="51"/>
      <c r="P1109" s="52"/>
      <c r="Q1109" s="47"/>
    </row>
    <row r="1110" spans="1:17" ht="15" customHeight="1" x14ac:dyDescent="0.3">
      <c r="A1110" s="49"/>
      <c r="B1110" s="49"/>
      <c r="C1110" s="49"/>
      <c r="D1110" s="50"/>
      <c r="E1110" s="50"/>
      <c r="F1110" s="50"/>
      <c r="G1110" s="50"/>
      <c r="H1110" s="51"/>
      <c r="I1110" s="39"/>
      <c r="J1110" s="51"/>
      <c r="K1110" s="51"/>
      <c r="L1110" s="51"/>
      <c r="P1110" s="52"/>
      <c r="Q1110" s="47"/>
    </row>
    <row r="1111" spans="1:17" ht="15" customHeight="1" x14ac:dyDescent="0.3">
      <c r="A1111" s="49"/>
      <c r="B1111" s="49"/>
      <c r="C1111" s="49"/>
      <c r="D1111" s="50"/>
      <c r="E1111" s="50"/>
      <c r="F1111" s="50"/>
      <c r="G1111" s="50"/>
      <c r="H1111" s="51"/>
      <c r="I1111" s="39"/>
      <c r="J1111" s="51"/>
      <c r="K1111" s="51"/>
      <c r="L1111" s="51"/>
      <c r="P1111" s="52"/>
      <c r="Q1111" s="47"/>
    </row>
    <row r="1112" spans="1:17" ht="15" customHeight="1" x14ac:dyDescent="0.3">
      <c r="A1112" s="49"/>
      <c r="B1112" s="49"/>
      <c r="C1112" s="49"/>
      <c r="D1112" s="50"/>
      <c r="E1112" s="50"/>
      <c r="F1112" s="50"/>
      <c r="G1112" s="50"/>
      <c r="H1112" s="51"/>
      <c r="I1112" s="39"/>
      <c r="J1112" s="51"/>
      <c r="K1112" s="51"/>
      <c r="L1112" s="51"/>
      <c r="P1112" s="52"/>
      <c r="Q1112" s="47"/>
    </row>
    <row r="1113" spans="1:17" ht="15" customHeight="1" x14ac:dyDescent="0.3">
      <c r="A1113" s="49"/>
      <c r="B1113" s="49"/>
      <c r="C1113" s="49"/>
      <c r="D1113" s="50"/>
      <c r="E1113" s="50"/>
      <c r="F1113" s="50"/>
      <c r="G1113" s="50"/>
      <c r="H1113" s="51"/>
      <c r="I1113" s="39"/>
      <c r="J1113" s="51"/>
      <c r="K1113" s="51"/>
      <c r="L1113" s="51"/>
      <c r="P1113" s="52"/>
      <c r="Q1113" s="47"/>
    </row>
    <row r="1114" spans="1:17" ht="15" customHeight="1" x14ac:dyDescent="0.3">
      <c r="A1114" s="49"/>
      <c r="B1114" s="49"/>
      <c r="C1114" s="49"/>
      <c r="D1114" s="50"/>
      <c r="E1114" s="50"/>
      <c r="F1114" s="50"/>
      <c r="G1114" s="50"/>
      <c r="H1114" s="51"/>
      <c r="I1114" s="39"/>
      <c r="J1114" s="51"/>
      <c r="K1114" s="51"/>
      <c r="L1114" s="51"/>
      <c r="P1114" s="52"/>
      <c r="Q1114" s="47"/>
    </row>
    <row r="1115" spans="1:17" ht="15" customHeight="1" x14ac:dyDescent="0.3">
      <c r="A1115" s="49"/>
      <c r="B1115" s="49"/>
      <c r="C1115" s="49"/>
      <c r="D1115" s="50"/>
      <c r="E1115" s="50"/>
      <c r="F1115" s="50"/>
      <c r="G1115" s="50"/>
      <c r="H1115" s="51"/>
      <c r="I1115" s="39"/>
      <c r="J1115" s="51"/>
      <c r="K1115" s="51"/>
      <c r="L1115" s="51"/>
      <c r="P1115" s="52"/>
      <c r="Q1115" s="47"/>
    </row>
    <row r="1116" spans="1:17" ht="15" customHeight="1" x14ac:dyDescent="0.3">
      <c r="A1116" s="49"/>
      <c r="B1116" s="49"/>
      <c r="C1116" s="49"/>
      <c r="D1116" s="50"/>
      <c r="E1116" s="50"/>
      <c r="F1116" s="50"/>
      <c r="G1116" s="50"/>
      <c r="H1116" s="51"/>
      <c r="I1116" s="39"/>
      <c r="J1116" s="51"/>
      <c r="K1116" s="51"/>
      <c r="L1116" s="51"/>
      <c r="P1116" s="52"/>
      <c r="Q1116" s="47"/>
    </row>
    <row r="1117" spans="1:17" ht="15" customHeight="1" x14ac:dyDescent="0.3">
      <c r="A1117" s="49"/>
      <c r="B1117" s="49"/>
      <c r="C1117" s="49"/>
      <c r="D1117" s="50"/>
      <c r="E1117" s="50"/>
      <c r="F1117" s="50"/>
      <c r="G1117" s="50"/>
      <c r="H1117" s="51"/>
      <c r="I1117" s="39"/>
      <c r="J1117" s="51"/>
      <c r="K1117" s="51"/>
      <c r="L1117" s="51"/>
      <c r="P1117" s="52"/>
      <c r="Q1117" s="47"/>
    </row>
    <row r="1118" spans="1:17" ht="15" customHeight="1" x14ac:dyDescent="0.3">
      <c r="A1118" s="49"/>
      <c r="B1118" s="49"/>
      <c r="C1118" s="49"/>
      <c r="D1118" s="50"/>
      <c r="E1118" s="50"/>
      <c r="F1118" s="50"/>
      <c r="G1118" s="50"/>
      <c r="H1118" s="51"/>
      <c r="I1118" s="39"/>
      <c r="J1118" s="51"/>
      <c r="K1118" s="51"/>
      <c r="L1118" s="51"/>
      <c r="P1118" s="52"/>
      <c r="Q1118" s="47"/>
    </row>
    <row r="1119" spans="1:17" ht="15" customHeight="1" x14ac:dyDescent="0.3">
      <c r="A1119" s="49"/>
      <c r="B1119" s="49"/>
      <c r="C1119" s="49"/>
      <c r="D1119" s="50"/>
      <c r="E1119" s="50"/>
      <c r="F1119" s="50"/>
      <c r="G1119" s="50"/>
      <c r="H1119" s="51"/>
      <c r="I1119" s="39"/>
      <c r="J1119" s="51"/>
      <c r="K1119" s="51"/>
      <c r="L1119" s="51"/>
      <c r="P1119" s="52"/>
      <c r="Q1119" s="47"/>
    </row>
    <row r="1120" spans="1:17" ht="15" customHeight="1" x14ac:dyDescent="0.3">
      <c r="A1120" s="49"/>
      <c r="B1120" s="49"/>
      <c r="C1120" s="49"/>
      <c r="D1120" s="50"/>
      <c r="E1120" s="50"/>
      <c r="F1120" s="50"/>
      <c r="G1120" s="50"/>
      <c r="H1120" s="51"/>
      <c r="I1120" s="39"/>
      <c r="J1120" s="51"/>
      <c r="K1120" s="51"/>
      <c r="L1120" s="51"/>
      <c r="P1120" s="52"/>
      <c r="Q1120" s="47"/>
    </row>
    <row r="1121" spans="1:17" ht="15" customHeight="1" x14ac:dyDescent="0.3">
      <c r="A1121" s="49"/>
      <c r="B1121" s="49"/>
      <c r="C1121" s="49"/>
      <c r="D1121" s="50"/>
      <c r="E1121" s="50"/>
      <c r="F1121" s="50"/>
      <c r="G1121" s="50"/>
      <c r="H1121" s="51"/>
      <c r="I1121" s="39"/>
      <c r="J1121" s="51"/>
      <c r="K1121" s="51"/>
      <c r="L1121" s="51"/>
      <c r="P1121" s="52"/>
      <c r="Q1121" s="47"/>
    </row>
    <row r="1122" spans="1:17" ht="15" customHeight="1" x14ac:dyDescent="0.3">
      <c r="A1122" s="49"/>
      <c r="B1122" s="49"/>
      <c r="C1122" s="49"/>
      <c r="D1122" s="50"/>
      <c r="E1122" s="50"/>
      <c r="F1122" s="50"/>
      <c r="G1122" s="50"/>
      <c r="H1122" s="51"/>
      <c r="I1122" s="39"/>
      <c r="J1122" s="51"/>
      <c r="K1122" s="51"/>
      <c r="L1122" s="51"/>
      <c r="P1122" s="52"/>
      <c r="Q1122" s="47"/>
    </row>
    <row r="1123" spans="1:17" ht="15" customHeight="1" x14ac:dyDescent="0.3">
      <c r="A1123" s="49"/>
      <c r="B1123" s="49"/>
      <c r="C1123" s="49"/>
      <c r="D1123" s="50"/>
      <c r="E1123" s="50"/>
      <c r="F1123" s="50"/>
      <c r="G1123" s="50"/>
      <c r="H1123" s="51"/>
      <c r="I1123" s="39"/>
      <c r="J1123" s="51"/>
      <c r="K1123" s="51"/>
      <c r="L1123" s="51"/>
      <c r="P1123" s="52"/>
      <c r="Q1123" s="47"/>
    </row>
    <row r="1124" spans="1:17" ht="15" customHeight="1" x14ac:dyDescent="0.3">
      <c r="A1124" s="49"/>
      <c r="B1124" s="49"/>
      <c r="C1124" s="49"/>
      <c r="D1124" s="50"/>
      <c r="E1124" s="50"/>
      <c r="F1124" s="50"/>
      <c r="G1124" s="50"/>
      <c r="H1124" s="51"/>
      <c r="I1124" s="39"/>
      <c r="J1124" s="51"/>
      <c r="K1124" s="51"/>
      <c r="L1124" s="51"/>
      <c r="P1124" s="52"/>
      <c r="Q1124" s="47"/>
    </row>
    <row r="1125" spans="1:17" ht="15" customHeight="1" x14ac:dyDescent="0.3">
      <c r="A1125" s="49"/>
      <c r="B1125" s="49"/>
      <c r="C1125" s="49"/>
      <c r="D1125" s="50"/>
      <c r="E1125" s="50"/>
      <c r="F1125" s="50"/>
      <c r="G1125" s="50"/>
      <c r="H1125" s="51"/>
      <c r="I1125" s="39"/>
      <c r="J1125" s="51"/>
      <c r="K1125" s="51"/>
      <c r="L1125" s="51"/>
      <c r="P1125" s="52"/>
      <c r="Q1125" s="47"/>
    </row>
    <row r="1126" spans="1:17" ht="15" customHeight="1" x14ac:dyDescent="0.3">
      <c r="A1126" s="49"/>
      <c r="B1126" s="49"/>
      <c r="C1126" s="49"/>
      <c r="D1126" s="50"/>
      <c r="E1126" s="50"/>
      <c r="F1126" s="50"/>
      <c r="G1126" s="50"/>
      <c r="H1126" s="51"/>
      <c r="I1126" s="39"/>
      <c r="J1126" s="51"/>
      <c r="K1126" s="51"/>
      <c r="L1126" s="51"/>
      <c r="P1126" s="52"/>
      <c r="Q1126" s="47"/>
    </row>
    <row r="1127" spans="1:17" ht="15" customHeight="1" x14ac:dyDescent="0.3">
      <c r="A1127" s="49"/>
      <c r="B1127" s="49"/>
      <c r="C1127" s="49"/>
      <c r="D1127" s="50"/>
      <c r="E1127" s="50"/>
      <c r="F1127" s="50"/>
      <c r="G1127" s="50"/>
      <c r="H1127" s="51"/>
      <c r="I1127" s="39"/>
      <c r="J1127" s="51"/>
      <c r="K1127" s="51"/>
      <c r="L1127" s="51"/>
      <c r="P1127" s="52"/>
      <c r="Q1127" s="47"/>
    </row>
    <row r="1128" spans="1:17" ht="15" customHeight="1" x14ac:dyDescent="0.3">
      <c r="A1128" s="49"/>
      <c r="B1128" s="49"/>
      <c r="C1128" s="49"/>
      <c r="D1128" s="50"/>
      <c r="E1128" s="50"/>
      <c r="F1128" s="50"/>
      <c r="G1128" s="50"/>
      <c r="H1128" s="51"/>
      <c r="I1128" s="39"/>
      <c r="J1128" s="51"/>
      <c r="K1128" s="51"/>
      <c r="L1128" s="51"/>
      <c r="P1128" s="52"/>
      <c r="Q1128" s="47"/>
    </row>
    <row r="1129" spans="1:17" ht="15" customHeight="1" x14ac:dyDescent="0.3">
      <c r="A1129" s="49"/>
      <c r="B1129" s="49"/>
      <c r="C1129" s="49"/>
      <c r="D1129" s="50"/>
      <c r="E1129" s="50"/>
      <c r="F1129" s="50"/>
      <c r="G1129" s="50"/>
      <c r="H1129" s="51"/>
      <c r="I1129" s="39"/>
      <c r="J1129" s="51"/>
      <c r="K1129" s="51"/>
      <c r="L1129" s="51"/>
      <c r="P1129" s="52"/>
      <c r="Q1129" s="47"/>
    </row>
    <row r="1130" spans="1:17" ht="15" customHeight="1" x14ac:dyDescent="0.3">
      <c r="A1130" s="49"/>
      <c r="B1130" s="49"/>
      <c r="C1130" s="49"/>
      <c r="D1130" s="50"/>
      <c r="E1130" s="50"/>
      <c r="F1130" s="50"/>
      <c r="G1130" s="50"/>
      <c r="H1130" s="51"/>
      <c r="I1130" s="39"/>
      <c r="J1130" s="51"/>
      <c r="K1130" s="51"/>
      <c r="L1130" s="51"/>
      <c r="P1130" s="52"/>
      <c r="Q1130" s="47"/>
    </row>
    <row r="1131" spans="1:17" ht="15" customHeight="1" x14ac:dyDescent="0.3">
      <c r="A1131" s="49"/>
      <c r="B1131" s="49"/>
      <c r="C1131" s="49"/>
      <c r="D1131" s="50"/>
      <c r="E1131" s="50"/>
      <c r="F1131" s="50"/>
      <c r="G1131" s="50"/>
      <c r="H1131" s="51"/>
      <c r="I1131" s="39"/>
      <c r="J1131" s="51"/>
      <c r="K1131" s="51"/>
      <c r="L1131" s="51"/>
      <c r="P1131" s="52"/>
      <c r="Q1131" s="47"/>
    </row>
    <row r="1132" spans="1:17" ht="15" customHeight="1" x14ac:dyDescent="0.3">
      <c r="A1132" s="49"/>
      <c r="B1132" s="49"/>
      <c r="C1132" s="49"/>
      <c r="D1132" s="50"/>
      <c r="E1132" s="50"/>
      <c r="F1132" s="50"/>
      <c r="G1132" s="50"/>
      <c r="H1132" s="51"/>
      <c r="I1132" s="39"/>
      <c r="J1132" s="51"/>
      <c r="K1132" s="51"/>
      <c r="L1132" s="51"/>
      <c r="P1132" s="52"/>
      <c r="Q1132" s="47"/>
    </row>
    <row r="1133" spans="1:17" ht="15" customHeight="1" x14ac:dyDescent="0.3">
      <c r="A1133" s="49"/>
      <c r="B1133" s="49"/>
      <c r="C1133" s="49"/>
      <c r="D1133" s="50"/>
      <c r="E1133" s="50"/>
      <c r="F1133" s="50"/>
      <c r="G1133" s="50"/>
      <c r="H1133" s="51"/>
      <c r="I1133" s="39"/>
      <c r="J1133" s="51"/>
      <c r="K1133" s="51"/>
      <c r="L1133" s="51"/>
      <c r="P1133" s="52"/>
      <c r="Q1133" s="47"/>
    </row>
    <row r="1134" spans="1:17" ht="15" customHeight="1" x14ac:dyDescent="0.3">
      <c r="A1134" s="49"/>
      <c r="B1134" s="49"/>
      <c r="C1134" s="49"/>
      <c r="D1134" s="50"/>
      <c r="E1134" s="50"/>
      <c r="F1134" s="50"/>
      <c r="G1134" s="50"/>
      <c r="H1134" s="51"/>
      <c r="I1134" s="39"/>
      <c r="J1134" s="51"/>
      <c r="K1134" s="51"/>
      <c r="L1134" s="51"/>
      <c r="P1134" s="52"/>
      <c r="Q1134" s="47"/>
    </row>
    <row r="1135" spans="1:17" ht="15" customHeight="1" x14ac:dyDescent="0.3">
      <c r="A1135" s="49"/>
      <c r="B1135" s="49"/>
      <c r="C1135" s="49"/>
      <c r="D1135" s="50"/>
      <c r="E1135" s="50"/>
      <c r="F1135" s="50"/>
      <c r="G1135" s="50"/>
      <c r="H1135" s="51"/>
      <c r="I1135" s="39"/>
      <c r="J1135" s="51"/>
      <c r="K1135" s="51"/>
      <c r="L1135" s="51"/>
      <c r="P1135" s="52"/>
      <c r="Q1135" s="47"/>
    </row>
    <row r="1136" spans="1:17" ht="15" customHeight="1" x14ac:dyDescent="0.3">
      <c r="A1136" s="49"/>
      <c r="B1136" s="49"/>
      <c r="C1136" s="49"/>
      <c r="D1136" s="50"/>
      <c r="E1136" s="50"/>
      <c r="F1136" s="50"/>
      <c r="G1136" s="50"/>
      <c r="H1136" s="51"/>
      <c r="I1136" s="39"/>
      <c r="J1136" s="51"/>
      <c r="K1136" s="51"/>
      <c r="L1136" s="51"/>
      <c r="P1136" s="52"/>
      <c r="Q1136" s="47"/>
    </row>
    <row r="1137" spans="1:17" ht="15" customHeight="1" x14ac:dyDescent="0.3">
      <c r="A1137" s="49"/>
      <c r="B1137" s="49"/>
      <c r="C1137" s="49"/>
      <c r="D1137" s="50"/>
      <c r="E1137" s="50"/>
      <c r="F1137" s="50"/>
      <c r="G1137" s="50"/>
      <c r="H1137" s="51"/>
      <c r="I1137" s="39"/>
      <c r="J1137" s="51"/>
      <c r="K1137" s="51"/>
      <c r="L1137" s="51"/>
      <c r="P1137" s="52"/>
      <c r="Q1137" s="47"/>
    </row>
    <row r="1138" spans="1:17" ht="15" customHeight="1" x14ac:dyDescent="0.3">
      <c r="A1138" s="49"/>
      <c r="B1138" s="49"/>
      <c r="C1138" s="49"/>
      <c r="D1138" s="50"/>
      <c r="E1138" s="50"/>
      <c r="F1138" s="50"/>
      <c r="G1138" s="50"/>
      <c r="H1138" s="51"/>
      <c r="I1138" s="39"/>
      <c r="J1138" s="51"/>
      <c r="K1138" s="51"/>
      <c r="L1138" s="51"/>
      <c r="P1138" s="52"/>
      <c r="Q1138" s="47"/>
    </row>
    <row r="1139" spans="1:17" ht="15" customHeight="1" x14ac:dyDescent="0.3">
      <c r="A1139" s="49"/>
      <c r="B1139" s="49"/>
      <c r="C1139" s="49"/>
      <c r="D1139" s="50"/>
      <c r="E1139" s="50"/>
      <c r="F1139" s="50"/>
      <c r="G1139" s="50"/>
      <c r="H1139" s="51"/>
      <c r="I1139" s="39"/>
      <c r="J1139" s="51"/>
      <c r="K1139" s="51"/>
      <c r="L1139" s="51"/>
      <c r="P1139" s="52"/>
      <c r="Q1139" s="47"/>
    </row>
    <row r="1140" spans="1:17" ht="15" customHeight="1" x14ac:dyDescent="0.3">
      <c r="A1140" s="49"/>
      <c r="B1140" s="49"/>
      <c r="C1140" s="49"/>
      <c r="D1140" s="50"/>
      <c r="E1140" s="50"/>
      <c r="F1140" s="50"/>
      <c r="G1140" s="50"/>
      <c r="H1140" s="51"/>
      <c r="I1140" s="39"/>
      <c r="J1140" s="51"/>
      <c r="K1140" s="51"/>
      <c r="L1140" s="51"/>
      <c r="P1140" s="52"/>
      <c r="Q1140" s="47"/>
    </row>
    <row r="1141" spans="1:17" ht="15" customHeight="1" x14ac:dyDescent="0.3">
      <c r="A1141" s="49"/>
      <c r="B1141" s="49"/>
      <c r="C1141" s="49"/>
      <c r="D1141" s="50"/>
      <c r="E1141" s="50"/>
      <c r="F1141" s="50"/>
      <c r="G1141" s="50"/>
      <c r="H1141" s="51"/>
      <c r="I1141" s="39"/>
      <c r="J1141" s="51"/>
      <c r="K1141" s="51"/>
      <c r="L1141" s="51"/>
      <c r="P1141" s="52"/>
      <c r="Q1141" s="47"/>
    </row>
    <row r="1142" spans="1:17" ht="15" customHeight="1" x14ac:dyDescent="0.3">
      <c r="A1142" s="49"/>
      <c r="B1142" s="49"/>
      <c r="C1142" s="49"/>
      <c r="D1142" s="50"/>
      <c r="E1142" s="50"/>
      <c r="F1142" s="50"/>
      <c r="G1142" s="50"/>
      <c r="H1142" s="51"/>
      <c r="I1142" s="39"/>
      <c r="J1142" s="51"/>
      <c r="K1142" s="51"/>
      <c r="L1142" s="51"/>
      <c r="P1142" s="52"/>
      <c r="Q1142" s="47"/>
    </row>
    <row r="1143" spans="1:17" ht="15" customHeight="1" x14ac:dyDescent="0.3">
      <c r="A1143" s="49"/>
      <c r="B1143" s="49"/>
      <c r="C1143" s="49"/>
      <c r="D1143" s="50"/>
      <c r="E1143" s="50"/>
      <c r="F1143" s="50"/>
      <c r="G1143" s="50"/>
      <c r="H1143" s="51"/>
      <c r="I1143" s="39"/>
      <c r="J1143" s="51"/>
      <c r="K1143" s="51"/>
      <c r="L1143" s="51"/>
      <c r="P1143" s="52"/>
      <c r="Q1143" s="47"/>
    </row>
    <row r="1144" spans="1:17" ht="15" customHeight="1" x14ac:dyDescent="0.3">
      <c r="A1144" s="49"/>
      <c r="B1144" s="49"/>
      <c r="C1144" s="49"/>
      <c r="D1144" s="50"/>
      <c r="E1144" s="50"/>
      <c r="F1144" s="50"/>
      <c r="G1144" s="50"/>
      <c r="H1144" s="51"/>
      <c r="I1144" s="39"/>
      <c r="J1144" s="51"/>
      <c r="K1144" s="51"/>
      <c r="L1144" s="51"/>
      <c r="P1144" s="52"/>
      <c r="Q1144" s="47"/>
    </row>
    <row r="1145" spans="1:17" ht="15" customHeight="1" x14ac:dyDescent="0.3">
      <c r="A1145" s="49"/>
      <c r="B1145" s="49"/>
      <c r="C1145" s="49"/>
      <c r="D1145" s="50"/>
      <c r="E1145" s="50"/>
      <c r="F1145" s="50"/>
      <c r="G1145" s="50"/>
      <c r="H1145" s="51"/>
      <c r="I1145" s="39"/>
      <c r="J1145" s="51"/>
      <c r="K1145" s="51"/>
      <c r="L1145" s="51"/>
      <c r="P1145" s="52"/>
      <c r="Q1145" s="47"/>
    </row>
    <row r="1146" spans="1:17" ht="15" customHeight="1" x14ac:dyDescent="0.3">
      <c r="A1146" s="49"/>
      <c r="B1146" s="49"/>
      <c r="C1146" s="49"/>
      <c r="D1146" s="50"/>
      <c r="E1146" s="50"/>
      <c r="F1146" s="50"/>
      <c r="G1146" s="50"/>
      <c r="H1146" s="51"/>
      <c r="I1146" s="39"/>
      <c r="J1146" s="51"/>
      <c r="K1146" s="51"/>
      <c r="L1146" s="51"/>
      <c r="P1146" s="52"/>
      <c r="Q1146" s="47"/>
    </row>
    <row r="1147" spans="1:17" ht="15" customHeight="1" x14ac:dyDescent="0.3">
      <c r="A1147" s="49"/>
      <c r="B1147" s="49"/>
      <c r="C1147" s="49"/>
      <c r="D1147" s="50"/>
      <c r="E1147" s="50"/>
      <c r="F1147" s="50"/>
      <c r="G1147" s="50"/>
      <c r="H1147" s="51"/>
      <c r="I1147" s="39"/>
      <c r="J1147" s="51"/>
      <c r="K1147" s="51"/>
      <c r="L1147" s="51"/>
      <c r="P1147" s="52"/>
      <c r="Q1147" s="47"/>
    </row>
    <row r="1148" spans="1:17" ht="15" customHeight="1" x14ac:dyDescent="0.3">
      <c r="A1148" s="49"/>
      <c r="B1148" s="49"/>
      <c r="C1148" s="49"/>
      <c r="D1148" s="50"/>
      <c r="E1148" s="50"/>
      <c r="F1148" s="50"/>
      <c r="G1148" s="50"/>
      <c r="H1148" s="51"/>
      <c r="I1148" s="39"/>
      <c r="J1148" s="51"/>
      <c r="K1148" s="51"/>
      <c r="L1148" s="51"/>
      <c r="P1148" s="52"/>
      <c r="Q1148" s="47"/>
    </row>
    <row r="1149" spans="1:17" ht="15" customHeight="1" x14ac:dyDescent="0.3">
      <c r="A1149" s="49"/>
      <c r="B1149" s="49"/>
      <c r="C1149" s="49"/>
      <c r="D1149" s="50"/>
      <c r="E1149" s="50"/>
      <c r="F1149" s="50"/>
      <c r="G1149" s="50"/>
      <c r="H1149" s="51"/>
      <c r="I1149" s="39"/>
      <c r="J1149" s="51"/>
      <c r="K1149" s="51"/>
      <c r="L1149" s="51"/>
      <c r="P1149" s="52"/>
      <c r="Q1149" s="47"/>
    </row>
    <row r="1150" spans="1:17" ht="15" customHeight="1" x14ac:dyDescent="0.3">
      <c r="A1150" s="49"/>
      <c r="B1150" s="49"/>
      <c r="C1150" s="49"/>
      <c r="D1150" s="50"/>
      <c r="E1150" s="50"/>
      <c r="F1150" s="50"/>
      <c r="G1150" s="50"/>
      <c r="H1150" s="51"/>
      <c r="I1150" s="39"/>
      <c r="J1150" s="51"/>
      <c r="K1150" s="51"/>
      <c r="L1150" s="51"/>
      <c r="P1150" s="52"/>
      <c r="Q1150" s="47"/>
    </row>
    <row r="1151" spans="1:17" ht="15" customHeight="1" x14ac:dyDescent="0.3">
      <c r="A1151" s="49"/>
      <c r="B1151" s="49"/>
      <c r="C1151" s="49"/>
      <c r="D1151" s="50"/>
      <c r="E1151" s="50"/>
      <c r="F1151" s="50"/>
      <c r="G1151" s="50"/>
      <c r="H1151" s="51"/>
      <c r="I1151" s="39"/>
      <c r="J1151" s="51"/>
      <c r="K1151" s="51"/>
      <c r="L1151" s="51"/>
      <c r="P1151" s="52"/>
      <c r="Q1151" s="47"/>
    </row>
    <row r="1152" spans="1:17" ht="15" customHeight="1" x14ac:dyDescent="0.3">
      <c r="A1152" s="49"/>
      <c r="B1152" s="49"/>
      <c r="C1152" s="49"/>
      <c r="D1152" s="50"/>
      <c r="E1152" s="50"/>
      <c r="F1152" s="50"/>
      <c r="G1152" s="50"/>
      <c r="H1152" s="51"/>
      <c r="I1152" s="39"/>
      <c r="J1152" s="51"/>
      <c r="K1152" s="51"/>
      <c r="L1152" s="51"/>
      <c r="P1152" s="52"/>
      <c r="Q1152" s="47"/>
    </row>
    <row r="1153" spans="1:17" ht="15" customHeight="1" x14ac:dyDescent="0.3">
      <c r="A1153" s="49"/>
      <c r="B1153" s="49"/>
      <c r="C1153" s="49"/>
      <c r="D1153" s="50"/>
      <c r="E1153" s="50"/>
      <c r="F1153" s="50"/>
      <c r="G1153" s="50"/>
      <c r="H1153" s="51"/>
      <c r="I1153" s="39"/>
      <c r="J1153" s="51"/>
      <c r="K1153" s="51"/>
      <c r="L1153" s="51"/>
      <c r="P1153" s="52"/>
      <c r="Q1153" s="47"/>
    </row>
    <row r="1154" spans="1:17" ht="15" customHeight="1" x14ac:dyDescent="0.3">
      <c r="A1154" s="49"/>
      <c r="B1154" s="49"/>
      <c r="C1154" s="49"/>
      <c r="D1154" s="50"/>
      <c r="E1154" s="50"/>
      <c r="F1154" s="50"/>
      <c r="G1154" s="50"/>
      <c r="H1154" s="51"/>
      <c r="I1154" s="39"/>
      <c r="J1154" s="51"/>
      <c r="K1154" s="51"/>
      <c r="L1154" s="51"/>
      <c r="P1154" s="52"/>
      <c r="Q1154" s="47"/>
    </row>
    <row r="1155" spans="1:17" ht="15" customHeight="1" x14ac:dyDescent="0.3">
      <c r="A1155" s="49"/>
      <c r="B1155" s="49"/>
      <c r="C1155" s="49"/>
      <c r="D1155" s="50"/>
      <c r="E1155" s="50"/>
      <c r="F1155" s="50"/>
      <c r="G1155" s="50"/>
      <c r="H1155" s="51"/>
      <c r="I1155" s="39"/>
      <c r="J1155" s="51"/>
      <c r="K1155" s="51"/>
      <c r="L1155" s="51"/>
      <c r="P1155" s="52"/>
      <c r="Q1155" s="47"/>
    </row>
    <row r="1156" spans="1:17" ht="15" customHeight="1" x14ac:dyDescent="0.3">
      <c r="A1156" s="49"/>
      <c r="B1156" s="49"/>
      <c r="C1156" s="49"/>
      <c r="D1156" s="50"/>
      <c r="E1156" s="50"/>
      <c r="F1156" s="50"/>
      <c r="G1156" s="50"/>
      <c r="H1156" s="51"/>
      <c r="I1156" s="39"/>
      <c r="J1156" s="51"/>
      <c r="K1156" s="51"/>
      <c r="L1156" s="51"/>
      <c r="P1156" s="52"/>
      <c r="Q1156" s="47"/>
    </row>
    <row r="1157" spans="1:17" ht="15" customHeight="1" x14ac:dyDescent="0.3">
      <c r="A1157" s="49"/>
      <c r="B1157" s="49"/>
      <c r="C1157" s="49"/>
      <c r="D1157" s="50"/>
      <c r="E1157" s="50"/>
      <c r="F1157" s="50"/>
      <c r="G1157" s="50"/>
      <c r="H1157" s="51"/>
      <c r="I1157" s="39"/>
      <c r="J1157" s="51"/>
      <c r="K1157" s="51"/>
      <c r="L1157" s="51"/>
      <c r="P1157" s="52"/>
      <c r="Q1157" s="47"/>
    </row>
    <row r="1158" spans="1:17" ht="15" customHeight="1" x14ac:dyDescent="0.3">
      <c r="A1158" s="49"/>
      <c r="B1158" s="49"/>
      <c r="C1158" s="49"/>
      <c r="D1158" s="50"/>
      <c r="E1158" s="50"/>
      <c r="F1158" s="50"/>
      <c r="G1158" s="50"/>
      <c r="H1158" s="51"/>
      <c r="I1158" s="39"/>
      <c r="J1158" s="51"/>
      <c r="K1158" s="51"/>
      <c r="L1158" s="51"/>
      <c r="P1158" s="52"/>
      <c r="Q1158" s="47"/>
    </row>
    <row r="1159" spans="1:17" ht="15" customHeight="1" x14ac:dyDescent="0.3">
      <c r="A1159" s="49"/>
      <c r="B1159" s="49"/>
      <c r="C1159" s="49"/>
      <c r="D1159" s="50"/>
      <c r="E1159" s="50"/>
      <c r="F1159" s="50"/>
      <c r="G1159" s="50"/>
      <c r="H1159" s="51"/>
      <c r="I1159" s="39"/>
      <c r="J1159" s="51"/>
      <c r="K1159" s="51"/>
      <c r="L1159" s="51"/>
      <c r="P1159" s="52"/>
      <c r="Q1159" s="47"/>
    </row>
    <row r="1160" spans="1:17" ht="15" customHeight="1" x14ac:dyDescent="0.3">
      <c r="A1160" s="49"/>
      <c r="B1160" s="49"/>
      <c r="C1160" s="49"/>
      <c r="D1160" s="50"/>
      <c r="E1160" s="50"/>
      <c r="F1160" s="50"/>
      <c r="G1160" s="50"/>
      <c r="H1160" s="51"/>
      <c r="I1160" s="39"/>
      <c r="J1160" s="51"/>
      <c r="K1160" s="51"/>
      <c r="L1160" s="51"/>
      <c r="P1160" s="52"/>
      <c r="Q1160" s="47"/>
    </row>
    <row r="1161" spans="1:17" ht="15" customHeight="1" x14ac:dyDescent="0.3">
      <c r="A1161" s="49"/>
      <c r="B1161" s="49"/>
      <c r="C1161" s="49"/>
      <c r="D1161" s="50"/>
      <c r="E1161" s="50"/>
      <c r="F1161" s="50"/>
      <c r="G1161" s="50"/>
      <c r="H1161" s="51"/>
      <c r="I1161" s="39"/>
      <c r="J1161" s="51"/>
      <c r="K1161" s="51"/>
      <c r="L1161" s="51"/>
      <c r="P1161" s="52"/>
      <c r="Q1161" s="47"/>
    </row>
    <row r="1162" spans="1:17" ht="15" customHeight="1" x14ac:dyDescent="0.3">
      <c r="A1162" s="49"/>
      <c r="B1162" s="49"/>
      <c r="C1162" s="49"/>
      <c r="D1162" s="50"/>
      <c r="E1162" s="50"/>
      <c r="F1162" s="50"/>
      <c r="G1162" s="50"/>
      <c r="H1162" s="51"/>
      <c r="I1162" s="39"/>
      <c r="J1162" s="51"/>
      <c r="K1162" s="51"/>
      <c r="L1162" s="51"/>
      <c r="P1162" s="52"/>
      <c r="Q1162" s="47"/>
    </row>
    <row r="1163" spans="1:17" ht="15" customHeight="1" x14ac:dyDescent="0.3">
      <c r="A1163" s="49"/>
      <c r="B1163" s="49"/>
      <c r="C1163" s="49"/>
      <c r="D1163" s="50"/>
      <c r="E1163" s="50"/>
      <c r="F1163" s="50"/>
      <c r="G1163" s="50"/>
      <c r="H1163" s="51"/>
      <c r="I1163" s="39"/>
      <c r="J1163" s="51"/>
      <c r="K1163" s="51"/>
      <c r="L1163" s="51"/>
      <c r="P1163" s="52"/>
      <c r="Q1163" s="47"/>
    </row>
    <row r="1164" spans="1:17" ht="15" customHeight="1" x14ac:dyDescent="0.3">
      <c r="A1164" s="49"/>
      <c r="B1164" s="49"/>
      <c r="C1164" s="49"/>
      <c r="D1164" s="50"/>
      <c r="E1164" s="50"/>
      <c r="F1164" s="50"/>
      <c r="G1164" s="50"/>
      <c r="H1164" s="51"/>
      <c r="I1164" s="39"/>
      <c r="J1164" s="51"/>
      <c r="K1164" s="51"/>
      <c r="L1164" s="51"/>
      <c r="P1164" s="52"/>
      <c r="Q1164" s="47"/>
    </row>
    <row r="1165" spans="1:17" ht="15" customHeight="1" x14ac:dyDescent="0.3">
      <c r="A1165" s="49"/>
      <c r="B1165" s="49"/>
      <c r="C1165" s="49"/>
      <c r="D1165" s="50"/>
      <c r="E1165" s="50"/>
      <c r="F1165" s="50"/>
      <c r="G1165" s="50"/>
      <c r="H1165" s="51"/>
      <c r="I1165" s="39"/>
      <c r="J1165" s="51"/>
      <c r="K1165" s="51"/>
      <c r="L1165" s="51"/>
      <c r="P1165" s="52"/>
      <c r="Q1165" s="47"/>
    </row>
    <row r="1166" spans="1:17" ht="15" customHeight="1" x14ac:dyDescent="0.3">
      <c r="A1166" s="49"/>
      <c r="B1166" s="49"/>
      <c r="C1166" s="49"/>
      <c r="D1166" s="50"/>
      <c r="E1166" s="50"/>
      <c r="F1166" s="50"/>
      <c r="G1166" s="50"/>
      <c r="H1166" s="51"/>
      <c r="I1166" s="39"/>
      <c r="J1166" s="51"/>
      <c r="K1166" s="51"/>
      <c r="L1166" s="51"/>
      <c r="P1166" s="52"/>
      <c r="Q1166" s="47"/>
    </row>
    <row r="1167" spans="1:17" ht="15" customHeight="1" x14ac:dyDescent="0.3">
      <c r="A1167" s="49"/>
      <c r="B1167" s="49"/>
      <c r="C1167" s="49"/>
      <c r="D1167" s="50"/>
      <c r="E1167" s="50"/>
      <c r="F1167" s="50"/>
      <c r="G1167" s="50"/>
      <c r="H1167" s="51"/>
      <c r="I1167" s="39"/>
      <c r="J1167" s="51"/>
      <c r="K1167" s="51"/>
      <c r="L1167" s="51"/>
      <c r="P1167" s="52"/>
      <c r="Q1167" s="47"/>
    </row>
    <row r="1168" spans="1:17" ht="15" customHeight="1" x14ac:dyDescent="0.3">
      <c r="A1168" s="49"/>
      <c r="B1168" s="49"/>
      <c r="C1168" s="49"/>
      <c r="D1168" s="50"/>
      <c r="E1168" s="50"/>
      <c r="F1168" s="50"/>
      <c r="G1168" s="50"/>
      <c r="H1168" s="51"/>
      <c r="I1168" s="39"/>
      <c r="J1168" s="51"/>
      <c r="K1168" s="51"/>
      <c r="L1168" s="51"/>
      <c r="P1168" s="52"/>
      <c r="Q1168" s="47"/>
    </row>
    <row r="1169" spans="1:17" ht="15" customHeight="1" x14ac:dyDescent="0.3">
      <c r="A1169" s="49"/>
      <c r="B1169" s="49"/>
      <c r="C1169" s="49"/>
      <c r="D1169" s="50"/>
      <c r="E1169" s="50"/>
      <c r="F1169" s="50"/>
      <c r="G1169" s="50"/>
      <c r="H1169" s="51"/>
      <c r="I1169" s="39"/>
      <c r="J1169" s="51"/>
      <c r="K1169" s="51"/>
      <c r="L1169" s="51"/>
      <c r="P1169" s="52"/>
      <c r="Q1169" s="47"/>
    </row>
    <row r="1170" spans="1:17" ht="15" customHeight="1" x14ac:dyDescent="0.3">
      <c r="A1170" s="49"/>
      <c r="B1170" s="49"/>
      <c r="C1170" s="49"/>
      <c r="D1170" s="50"/>
      <c r="E1170" s="50"/>
      <c r="F1170" s="50"/>
      <c r="G1170" s="50"/>
      <c r="H1170" s="51"/>
      <c r="I1170" s="39"/>
      <c r="J1170" s="51"/>
      <c r="K1170" s="51"/>
      <c r="L1170" s="51"/>
      <c r="P1170" s="52"/>
      <c r="Q1170" s="47"/>
    </row>
    <row r="1171" spans="1:17" ht="15" customHeight="1" x14ac:dyDescent="0.3">
      <c r="A1171" s="49"/>
      <c r="B1171" s="49"/>
      <c r="C1171" s="49"/>
      <c r="D1171" s="50"/>
      <c r="E1171" s="50"/>
      <c r="F1171" s="50"/>
      <c r="G1171" s="50"/>
      <c r="H1171" s="51"/>
      <c r="I1171" s="39"/>
      <c r="J1171" s="51"/>
      <c r="K1171" s="51"/>
      <c r="L1171" s="51"/>
      <c r="P1171" s="52"/>
      <c r="Q1171" s="47"/>
    </row>
    <row r="1172" spans="1:17" ht="15" customHeight="1" x14ac:dyDescent="0.3">
      <c r="A1172" s="49"/>
      <c r="B1172" s="49"/>
      <c r="C1172" s="49"/>
      <c r="D1172" s="50"/>
      <c r="E1172" s="50"/>
      <c r="F1172" s="50"/>
      <c r="G1172" s="50"/>
      <c r="H1172" s="51"/>
      <c r="I1172" s="39"/>
      <c r="J1172" s="51"/>
      <c r="K1172" s="51"/>
      <c r="L1172" s="51"/>
      <c r="P1172" s="52"/>
      <c r="Q1172" s="47"/>
    </row>
    <row r="1173" spans="1:17" ht="15" customHeight="1" x14ac:dyDescent="0.3">
      <c r="A1173" s="49"/>
      <c r="B1173" s="49"/>
      <c r="C1173" s="49"/>
      <c r="D1173" s="50"/>
      <c r="E1173" s="50"/>
      <c r="F1173" s="50"/>
      <c r="G1173" s="50"/>
      <c r="H1173" s="51"/>
      <c r="I1173" s="39"/>
      <c r="J1173" s="51"/>
      <c r="K1173" s="51"/>
      <c r="L1173" s="51"/>
      <c r="P1173" s="52"/>
      <c r="Q1173" s="47"/>
    </row>
    <row r="1174" spans="1:17" ht="15" customHeight="1" x14ac:dyDescent="0.3">
      <c r="A1174" s="49"/>
      <c r="B1174" s="49"/>
      <c r="C1174" s="49"/>
      <c r="D1174" s="50"/>
      <c r="E1174" s="50"/>
      <c r="F1174" s="50"/>
      <c r="G1174" s="50"/>
      <c r="H1174" s="51"/>
      <c r="I1174" s="39"/>
      <c r="J1174" s="51"/>
      <c r="K1174" s="51"/>
      <c r="L1174" s="51"/>
      <c r="P1174" s="52"/>
      <c r="Q1174" s="47"/>
    </row>
    <row r="1175" spans="1:17" ht="15" customHeight="1" x14ac:dyDescent="0.3">
      <c r="A1175" s="49"/>
      <c r="B1175" s="49"/>
      <c r="C1175" s="49"/>
      <c r="D1175" s="50"/>
      <c r="E1175" s="50"/>
      <c r="F1175" s="50"/>
      <c r="G1175" s="50"/>
      <c r="H1175" s="51"/>
      <c r="I1175" s="39"/>
      <c r="J1175" s="51"/>
      <c r="K1175" s="51"/>
      <c r="L1175" s="51"/>
      <c r="P1175" s="52"/>
      <c r="Q1175" s="47"/>
    </row>
    <row r="1176" spans="1:17" ht="15" customHeight="1" x14ac:dyDescent="0.3">
      <c r="A1176" s="49"/>
      <c r="B1176" s="49"/>
      <c r="C1176" s="49"/>
      <c r="D1176" s="50"/>
      <c r="E1176" s="50"/>
      <c r="F1176" s="50"/>
      <c r="G1176" s="50"/>
      <c r="H1176" s="51"/>
      <c r="I1176" s="39"/>
      <c r="J1176" s="51"/>
      <c r="K1176" s="51"/>
      <c r="L1176" s="51"/>
      <c r="P1176" s="52"/>
      <c r="Q1176" s="47"/>
    </row>
    <row r="1177" spans="1:17" ht="15" customHeight="1" x14ac:dyDescent="0.3">
      <c r="A1177" s="49"/>
      <c r="B1177" s="49"/>
      <c r="C1177" s="49"/>
      <c r="D1177" s="50"/>
      <c r="E1177" s="50"/>
      <c r="F1177" s="50"/>
      <c r="G1177" s="50"/>
      <c r="H1177" s="51"/>
      <c r="I1177" s="39"/>
      <c r="J1177" s="51"/>
      <c r="K1177" s="51"/>
      <c r="L1177" s="51"/>
      <c r="P1177" s="52"/>
      <c r="Q1177" s="47"/>
    </row>
    <row r="1178" spans="1:17" ht="15" customHeight="1" x14ac:dyDescent="0.3">
      <c r="A1178" s="49"/>
      <c r="B1178" s="49"/>
      <c r="C1178" s="49"/>
      <c r="D1178" s="50"/>
      <c r="E1178" s="50"/>
      <c r="F1178" s="50"/>
      <c r="G1178" s="50"/>
      <c r="H1178" s="51"/>
      <c r="I1178" s="39"/>
      <c r="J1178" s="51"/>
      <c r="K1178" s="51"/>
      <c r="L1178" s="51"/>
      <c r="P1178" s="52"/>
      <c r="Q1178" s="47"/>
    </row>
    <row r="1179" spans="1:17" ht="15" customHeight="1" x14ac:dyDescent="0.3">
      <c r="A1179" s="49"/>
      <c r="B1179" s="49"/>
      <c r="C1179" s="49"/>
      <c r="D1179" s="50"/>
      <c r="E1179" s="50"/>
      <c r="F1179" s="50"/>
      <c r="G1179" s="50"/>
      <c r="H1179" s="51"/>
      <c r="I1179" s="39"/>
      <c r="J1179" s="51"/>
      <c r="K1179" s="51"/>
      <c r="L1179" s="51"/>
      <c r="P1179" s="52"/>
      <c r="Q1179" s="47"/>
    </row>
    <row r="1180" spans="1:17" ht="15" customHeight="1" x14ac:dyDescent="0.3">
      <c r="A1180" s="49"/>
      <c r="B1180" s="49"/>
      <c r="C1180" s="49"/>
      <c r="D1180" s="50"/>
      <c r="E1180" s="50"/>
      <c r="F1180" s="50"/>
      <c r="G1180" s="50"/>
      <c r="H1180" s="51"/>
      <c r="I1180" s="39"/>
      <c r="J1180" s="51"/>
      <c r="K1180" s="51"/>
      <c r="L1180" s="51"/>
      <c r="P1180" s="52"/>
      <c r="Q1180" s="47"/>
    </row>
    <row r="1181" spans="1:17" ht="15" customHeight="1" x14ac:dyDescent="0.3">
      <c r="A1181" s="49"/>
      <c r="B1181" s="49"/>
      <c r="C1181" s="49"/>
      <c r="D1181" s="50"/>
      <c r="E1181" s="50"/>
      <c r="F1181" s="50"/>
      <c r="G1181" s="50"/>
      <c r="H1181" s="51"/>
      <c r="I1181" s="39"/>
      <c r="J1181" s="51"/>
      <c r="K1181" s="51"/>
      <c r="L1181" s="51"/>
      <c r="P1181" s="52"/>
      <c r="Q1181" s="47"/>
    </row>
    <row r="1182" spans="1:17" ht="15" customHeight="1" x14ac:dyDescent="0.3">
      <c r="A1182" s="49"/>
      <c r="B1182" s="49"/>
      <c r="C1182" s="49"/>
      <c r="D1182" s="50"/>
      <c r="E1182" s="50"/>
      <c r="F1182" s="50"/>
      <c r="G1182" s="50"/>
      <c r="H1182" s="51"/>
      <c r="I1182" s="39"/>
      <c r="J1182" s="51"/>
      <c r="K1182" s="51"/>
      <c r="L1182" s="51"/>
      <c r="P1182" s="52"/>
      <c r="Q1182" s="47"/>
    </row>
    <row r="1183" spans="1:17" ht="15" customHeight="1" x14ac:dyDescent="0.3">
      <c r="A1183" s="49"/>
      <c r="B1183" s="49"/>
      <c r="C1183" s="49"/>
      <c r="D1183" s="50"/>
      <c r="E1183" s="50"/>
      <c r="F1183" s="50"/>
      <c r="G1183" s="50"/>
      <c r="H1183" s="51"/>
      <c r="I1183" s="39"/>
      <c r="J1183" s="51"/>
      <c r="K1183" s="51"/>
      <c r="L1183" s="51"/>
      <c r="P1183" s="52"/>
      <c r="Q1183" s="47"/>
    </row>
    <row r="1184" spans="1:17" ht="15" customHeight="1" x14ac:dyDescent="0.3">
      <c r="A1184" s="49"/>
      <c r="B1184" s="49"/>
      <c r="C1184" s="49"/>
      <c r="D1184" s="50"/>
      <c r="E1184" s="50"/>
      <c r="F1184" s="50"/>
      <c r="G1184" s="50"/>
      <c r="H1184" s="51"/>
      <c r="I1184" s="39"/>
      <c r="J1184" s="51"/>
      <c r="K1184" s="51"/>
      <c r="L1184" s="51"/>
      <c r="P1184" s="52"/>
      <c r="Q1184" s="47"/>
    </row>
    <row r="1185" spans="1:17" ht="15" customHeight="1" x14ac:dyDescent="0.3">
      <c r="A1185" s="49"/>
      <c r="B1185" s="49"/>
      <c r="C1185" s="49"/>
      <c r="D1185" s="50"/>
      <c r="E1185" s="50"/>
      <c r="F1185" s="50"/>
      <c r="G1185" s="50"/>
      <c r="H1185" s="51"/>
      <c r="I1185" s="39"/>
      <c r="J1185" s="51"/>
      <c r="K1185" s="51"/>
      <c r="L1185" s="51"/>
      <c r="P1185" s="52"/>
      <c r="Q1185" s="47"/>
    </row>
    <row r="1186" spans="1:17" ht="15" customHeight="1" x14ac:dyDescent="0.3">
      <c r="A1186" s="49"/>
      <c r="B1186" s="49"/>
      <c r="C1186" s="49"/>
      <c r="D1186" s="50"/>
      <c r="E1186" s="50"/>
      <c r="F1186" s="50"/>
      <c r="G1186" s="50"/>
      <c r="H1186" s="51"/>
      <c r="I1186" s="39"/>
      <c r="J1186" s="51"/>
      <c r="K1186" s="51"/>
      <c r="L1186" s="51"/>
      <c r="P1186" s="52"/>
      <c r="Q1186" s="47"/>
    </row>
    <row r="1187" spans="1:17" ht="15" customHeight="1" x14ac:dyDescent="0.3">
      <c r="A1187" s="49"/>
      <c r="B1187" s="49"/>
      <c r="C1187" s="49"/>
      <c r="D1187" s="50"/>
      <c r="E1187" s="50"/>
      <c r="F1187" s="50"/>
      <c r="G1187" s="50"/>
      <c r="H1187" s="51"/>
      <c r="I1187" s="39"/>
      <c r="J1187" s="51"/>
      <c r="K1187" s="51"/>
      <c r="L1187" s="51"/>
      <c r="P1187" s="52"/>
      <c r="Q1187" s="47"/>
    </row>
    <row r="1188" spans="1:17" ht="15" customHeight="1" x14ac:dyDescent="0.3">
      <c r="A1188" s="49"/>
      <c r="B1188" s="49"/>
      <c r="C1188" s="49"/>
      <c r="D1188" s="50"/>
      <c r="E1188" s="50"/>
      <c r="F1188" s="50"/>
      <c r="G1188" s="50"/>
      <c r="H1188" s="51"/>
      <c r="I1188" s="39"/>
      <c r="J1188" s="51"/>
      <c r="K1188" s="51"/>
      <c r="L1188" s="51"/>
      <c r="P1188" s="52"/>
      <c r="Q1188" s="47"/>
    </row>
    <row r="1189" spans="1:17" ht="15" customHeight="1" x14ac:dyDescent="0.3">
      <c r="A1189" s="49"/>
      <c r="B1189" s="49"/>
      <c r="C1189" s="49"/>
      <c r="D1189" s="50"/>
      <c r="E1189" s="50"/>
      <c r="F1189" s="50"/>
      <c r="G1189" s="50"/>
      <c r="H1189" s="51"/>
      <c r="I1189" s="39"/>
      <c r="J1189" s="51"/>
      <c r="K1189" s="51"/>
      <c r="L1189" s="51"/>
      <c r="P1189" s="52"/>
      <c r="Q1189" s="47"/>
    </row>
    <row r="1190" spans="1:17" ht="15" customHeight="1" x14ac:dyDescent="0.3">
      <c r="A1190" s="49"/>
      <c r="B1190" s="49"/>
      <c r="C1190" s="49"/>
      <c r="D1190" s="50"/>
      <c r="E1190" s="50"/>
      <c r="F1190" s="50"/>
      <c r="G1190" s="50"/>
      <c r="H1190" s="51"/>
      <c r="I1190" s="39"/>
      <c r="J1190" s="51"/>
      <c r="K1190" s="51"/>
      <c r="L1190" s="51"/>
      <c r="P1190" s="52"/>
      <c r="Q1190" s="47"/>
    </row>
    <row r="1191" spans="1:17" ht="15" customHeight="1" x14ac:dyDescent="0.3">
      <c r="A1191" s="49"/>
      <c r="B1191" s="49"/>
      <c r="C1191" s="49"/>
      <c r="D1191" s="50"/>
      <c r="E1191" s="50"/>
      <c r="F1191" s="50"/>
      <c r="G1191" s="50"/>
      <c r="H1191" s="51"/>
      <c r="I1191" s="39"/>
      <c r="J1191" s="51"/>
      <c r="K1191" s="51"/>
      <c r="L1191" s="51"/>
      <c r="P1191" s="52"/>
      <c r="Q1191" s="47"/>
    </row>
    <row r="1192" spans="1:17" ht="15" customHeight="1" x14ac:dyDescent="0.3">
      <c r="A1192" s="49"/>
      <c r="B1192" s="49"/>
      <c r="C1192" s="49"/>
      <c r="D1192" s="50"/>
      <c r="E1192" s="50"/>
      <c r="F1192" s="50"/>
      <c r="G1192" s="50"/>
      <c r="H1192" s="51"/>
      <c r="I1192" s="39"/>
      <c r="J1192" s="51"/>
      <c r="K1192" s="51"/>
      <c r="L1192" s="51"/>
      <c r="P1192" s="52"/>
      <c r="Q1192" s="47"/>
    </row>
    <row r="1193" spans="1:17" ht="15" customHeight="1" x14ac:dyDescent="0.3">
      <c r="A1193" s="49"/>
      <c r="B1193" s="49"/>
      <c r="C1193" s="49"/>
      <c r="D1193" s="50"/>
      <c r="E1193" s="50"/>
      <c r="F1193" s="50"/>
      <c r="G1193" s="50"/>
      <c r="H1193" s="51"/>
      <c r="I1193" s="39"/>
      <c r="J1193" s="51"/>
      <c r="K1193" s="51"/>
      <c r="L1193" s="51"/>
      <c r="P1193" s="52"/>
      <c r="Q1193" s="47"/>
    </row>
    <row r="1194" spans="1:17" ht="15" customHeight="1" x14ac:dyDescent="0.3">
      <c r="A1194" s="49"/>
      <c r="B1194" s="49"/>
      <c r="C1194" s="49"/>
      <c r="D1194" s="50"/>
      <c r="E1194" s="50"/>
      <c r="F1194" s="50"/>
      <c r="G1194" s="50"/>
      <c r="H1194" s="51"/>
      <c r="I1194" s="39"/>
      <c r="J1194" s="51"/>
      <c r="K1194" s="51"/>
      <c r="L1194" s="51"/>
      <c r="P1194" s="52"/>
      <c r="Q1194" s="47"/>
    </row>
    <row r="1195" spans="1:17" ht="15" customHeight="1" x14ac:dyDescent="0.3">
      <c r="A1195" s="49"/>
      <c r="B1195" s="49"/>
      <c r="C1195" s="49"/>
      <c r="D1195" s="50"/>
      <c r="E1195" s="50"/>
      <c r="F1195" s="50"/>
      <c r="G1195" s="50"/>
      <c r="H1195" s="51"/>
      <c r="I1195" s="39"/>
      <c r="J1195" s="51"/>
      <c r="K1195" s="51"/>
      <c r="L1195" s="51"/>
      <c r="P1195" s="52"/>
      <c r="Q1195" s="47"/>
    </row>
    <row r="1196" spans="1:17" ht="15" customHeight="1" x14ac:dyDescent="0.3">
      <c r="A1196" s="49"/>
      <c r="B1196" s="49"/>
      <c r="C1196" s="49"/>
      <c r="D1196" s="50"/>
      <c r="E1196" s="50"/>
      <c r="F1196" s="50"/>
      <c r="G1196" s="50"/>
      <c r="H1196" s="51"/>
      <c r="I1196" s="39"/>
      <c r="J1196" s="51"/>
      <c r="K1196" s="51"/>
      <c r="L1196" s="51"/>
      <c r="P1196" s="52"/>
      <c r="Q1196" s="47"/>
    </row>
    <row r="1197" spans="1:17" ht="15" customHeight="1" x14ac:dyDescent="0.3">
      <c r="A1197" s="49"/>
      <c r="B1197" s="49"/>
      <c r="C1197" s="49"/>
      <c r="D1197" s="50"/>
      <c r="E1197" s="50"/>
      <c r="F1197" s="50"/>
      <c r="G1197" s="50"/>
      <c r="H1197" s="51"/>
      <c r="I1197" s="39"/>
      <c r="J1197" s="51"/>
      <c r="K1197" s="51"/>
      <c r="L1197" s="51"/>
      <c r="P1197" s="52"/>
      <c r="Q1197" s="47"/>
    </row>
    <row r="1198" spans="1:17" ht="15" customHeight="1" x14ac:dyDescent="0.3">
      <c r="A1198" s="49"/>
      <c r="B1198" s="49"/>
      <c r="C1198" s="49"/>
      <c r="D1198" s="50"/>
      <c r="E1198" s="50"/>
      <c r="F1198" s="50"/>
      <c r="G1198" s="50"/>
      <c r="H1198" s="51"/>
      <c r="I1198" s="39"/>
      <c r="J1198" s="51"/>
      <c r="K1198" s="51"/>
      <c r="L1198" s="51"/>
      <c r="P1198" s="52"/>
      <c r="Q1198" s="47"/>
    </row>
    <row r="1199" spans="1:17" ht="15" customHeight="1" x14ac:dyDescent="0.3">
      <c r="A1199" s="49"/>
      <c r="B1199" s="49"/>
      <c r="C1199" s="49"/>
      <c r="D1199" s="50"/>
      <c r="E1199" s="50"/>
      <c r="F1199" s="50"/>
      <c r="G1199" s="50"/>
      <c r="H1199" s="51"/>
      <c r="I1199" s="39"/>
      <c r="J1199" s="51"/>
      <c r="K1199" s="51"/>
      <c r="L1199" s="51"/>
      <c r="P1199" s="52"/>
      <c r="Q1199" s="47"/>
    </row>
    <row r="1200" spans="1:17" ht="15" customHeight="1" x14ac:dyDescent="0.3">
      <c r="A1200" s="49"/>
      <c r="B1200" s="49"/>
      <c r="C1200" s="49"/>
      <c r="D1200" s="50"/>
      <c r="E1200" s="50"/>
      <c r="F1200" s="50"/>
      <c r="G1200" s="50"/>
      <c r="H1200" s="51"/>
      <c r="I1200" s="39"/>
      <c r="J1200" s="51"/>
      <c r="K1200" s="51"/>
      <c r="L1200" s="51"/>
      <c r="P1200" s="52"/>
      <c r="Q1200" s="47"/>
    </row>
    <row r="1201" spans="1:17" ht="15" customHeight="1" x14ac:dyDescent="0.3">
      <c r="A1201" s="49"/>
      <c r="B1201" s="49"/>
      <c r="C1201" s="49"/>
      <c r="D1201" s="50"/>
      <c r="E1201" s="50"/>
      <c r="F1201" s="50"/>
      <c r="G1201" s="50"/>
      <c r="H1201" s="51"/>
      <c r="I1201" s="39"/>
      <c r="J1201" s="51"/>
      <c r="K1201" s="51"/>
      <c r="L1201" s="51"/>
      <c r="P1201" s="52"/>
      <c r="Q1201" s="47"/>
    </row>
    <row r="1202" spans="1:17" ht="15" customHeight="1" x14ac:dyDescent="0.3">
      <c r="A1202" s="49"/>
      <c r="B1202" s="49"/>
      <c r="C1202" s="49"/>
      <c r="D1202" s="50"/>
      <c r="E1202" s="50"/>
      <c r="F1202" s="50"/>
      <c r="G1202" s="50"/>
      <c r="H1202" s="51"/>
      <c r="I1202" s="39"/>
      <c r="J1202" s="51"/>
      <c r="K1202" s="51"/>
      <c r="L1202" s="51"/>
      <c r="P1202" s="52"/>
      <c r="Q1202" s="47"/>
    </row>
    <row r="1203" spans="1:17" ht="15" customHeight="1" x14ac:dyDescent="0.3">
      <c r="A1203" s="49"/>
      <c r="B1203" s="49"/>
      <c r="C1203" s="49"/>
      <c r="D1203" s="50"/>
      <c r="E1203" s="50"/>
      <c r="F1203" s="50"/>
      <c r="G1203" s="50"/>
      <c r="H1203" s="51"/>
      <c r="I1203" s="39"/>
      <c r="J1203" s="51"/>
      <c r="K1203" s="51"/>
      <c r="L1203" s="51"/>
      <c r="P1203" s="52"/>
      <c r="Q1203" s="47"/>
    </row>
    <row r="1204" spans="1:17" ht="15" customHeight="1" x14ac:dyDescent="0.3">
      <c r="A1204" s="49"/>
      <c r="B1204" s="49"/>
      <c r="C1204" s="49"/>
      <c r="D1204" s="50"/>
      <c r="E1204" s="50"/>
      <c r="F1204" s="50"/>
      <c r="G1204" s="50"/>
      <c r="H1204" s="51"/>
      <c r="I1204" s="39"/>
      <c r="J1204" s="51"/>
      <c r="K1204" s="51"/>
      <c r="L1204" s="51"/>
      <c r="P1204" s="52"/>
      <c r="Q1204" s="47"/>
    </row>
    <row r="1205" spans="1:17" ht="15" customHeight="1" x14ac:dyDescent="0.3">
      <c r="A1205" s="49"/>
      <c r="B1205" s="49"/>
      <c r="C1205" s="49"/>
      <c r="D1205" s="50"/>
      <c r="E1205" s="50"/>
      <c r="F1205" s="50"/>
      <c r="G1205" s="50"/>
      <c r="H1205" s="51"/>
      <c r="I1205" s="39"/>
      <c r="J1205" s="51"/>
      <c r="K1205" s="51"/>
      <c r="L1205" s="51"/>
      <c r="P1205" s="52"/>
      <c r="Q1205" s="47"/>
    </row>
    <row r="1206" spans="1:17" ht="15" customHeight="1" x14ac:dyDescent="0.3">
      <c r="A1206" s="49"/>
      <c r="B1206" s="49"/>
      <c r="C1206" s="49"/>
      <c r="D1206" s="50"/>
      <c r="E1206" s="50"/>
      <c r="F1206" s="50"/>
      <c r="G1206" s="50"/>
      <c r="H1206" s="51"/>
      <c r="I1206" s="39"/>
      <c r="J1206" s="51"/>
      <c r="K1206" s="51"/>
      <c r="L1206" s="51"/>
      <c r="P1206" s="52"/>
      <c r="Q1206" s="47"/>
    </row>
    <row r="1207" spans="1:17" ht="15" customHeight="1" x14ac:dyDescent="0.3">
      <c r="A1207" s="49"/>
      <c r="B1207" s="49"/>
      <c r="C1207" s="49"/>
      <c r="D1207" s="50"/>
      <c r="E1207" s="50"/>
      <c r="F1207" s="50"/>
      <c r="G1207" s="50"/>
      <c r="H1207" s="51"/>
      <c r="I1207" s="39"/>
      <c r="J1207" s="51"/>
      <c r="K1207" s="51"/>
      <c r="L1207" s="51"/>
      <c r="P1207" s="52"/>
      <c r="Q1207" s="47"/>
    </row>
    <row r="1208" spans="1:17" ht="15" customHeight="1" x14ac:dyDescent="0.3">
      <c r="A1208" s="49"/>
      <c r="B1208" s="49"/>
      <c r="C1208" s="49"/>
      <c r="D1208" s="50"/>
      <c r="E1208" s="50"/>
      <c r="F1208" s="50"/>
      <c r="G1208" s="50"/>
      <c r="H1208" s="51"/>
      <c r="I1208" s="39"/>
      <c r="J1208" s="51"/>
      <c r="K1208" s="51"/>
      <c r="L1208" s="51"/>
      <c r="P1208" s="52"/>
      <c r="Q1208" s="47"/>
    </row>
    <row r="1209" spans="1:17" ht="15" customHeight="1" x14ac:dyDescent="0.3">
      <c r="A1209" s="49"/>
      <c r="B1209" s="49"/>
      <c r="C1209" s="49"/>
      <c r="D1209" s="50"/>
      <c r="E1209" s="50"/>
      <c r="F1209" s="50"/>
      <c r="G1209" s="50"/>
      <c r="H1209" s="51"/>
      <c r="I1209" s="39"/>
      <c r="J1209" s="51"/>
      <c r="K1209" s="51"/>
      <c r="L1209" s="51"/>
      <c r="P1209" s="52"/>
      <c r="Q1209" s="47"/>
    </row>
    <row r="1210" spans="1:17" ht="15" customHeight="1" x14ac:dyDescent="0.3">
      <c r="A1210" s="49"/>
      <c r="B1210" s="49"/>
      <c r="C1210" s="49"/>
      <c r="D1210" s="50"/>
      <c r="E1210" s="50"/>
      <c r="F1210" s="50"/>
      <c r="G1210" s="50"/>
      <c r="H1210" s="51"/>
      <c r="I1210" s="39"/>
      <c r="J1210" s="51"/>
      <c r="K1210" s="51"/>
      <c r="L1210" s="51"/>
      <c r="P1210" s="52"/>
      <c r="Q1210" s="47"/>
    </row>
    <row r="1211" spans="1:17" ht="15" customHeight="1" x14ac:dyDescent="0.3">
      <c r="A1211" s="49"/>
      <c r="B1211" s="49"/>
      <c r="C1211" s="49"/>
      <c r="D1211" s="50"/>
      <c r="E1211" s="50"/>
      <c r="F1211" s="50"/>
      <c r="G1211" s="50"/>
      <c r="H1211" s="51"/>
      <c r="I1211" s="39"/>
      <c r="J1211" s="51"/>
      <c r="K1211" s="51"/>
      <c r="L1211" s="51"/>
      <c r="P1211" s="52"/>
      <c r="Q1211" s="47"/>
    </row>
    <row r="1212" spans="1:17" ht="15" customHeight="1" x14ac:dyDescent="0.3">
      <c r="A1212" s="49"/>
      <c r="B1212" s="49"/>
      <c r="C1212" s="49"/>
      <c r="D1212" s="50"/>
      <c r="E1212" s="50"/>
      <c r="F1212" s="50"/>
      <c r="G1212" s="50"/>
      <c r="H1212" s="51"/>
      <c r="I1212" s="39"/>
      <c r="J1212" s="51"/>
      <c r="K1212" s="51"/>
      <c r="L1212" s="51"/>
      <c r="P1212" s="52"/>
      <c r="Q1212" s="47"/>
    </row>
    <row r="1213" spans="1:17" ht="15" customHeight="1" x14ac:dyDescent="0.3">
      <c r="A1213" s="49"/>
      <c r="B1213" s="49"/>
      <c r="C1213" s="49"/>
      <c r="D1213" s="50"/>
      <c r="E1213" s="50"/>
      <c r="F1213" s="50"/>
      <c r="G1213" s="50"/>
      <c r="H1213" s="51"/>
      <c r="I1213" s="39"/>
      <c r="J1213" s="51"/>
      <c r="K1213" s="51"/>
      <c r="L1213" s="51"/>
      <c r="P1213" s="52"/>
      <c r="Q1213" s="47"/>
    </row>
    <row r="1214" spans="1:17" ht="15" customHeight="1" x14ac:dyDescent="0.3">
      <c r="A1214" s="49"/>
      <c r="B1214" s="49"/>
      <c r="C1214" s="49"/>
      <c r="D1214" s="50"/>
      <c r="E1214" s="50"/>
      <c r="F1214" s="50"/>
      <c r="G1214" s="50"/>
      <c r="H1214" s="51"/>
      <c r="I1214" s="39"/>
      <c r="J1214" s="51"/>
      <c r="K1214" s="51"/>
      <c r="L1214" s="51"/>
      <c r="P1214" s="52"/>
      <c r="Q1214" s="47"/>
    </row>
    <row r="1215" spans="1:17" ht="15" customHeight="1" x14ac:dyDescent="0.3">
      <c r="A1215" s="49"/>
      <c r="B1215" s="49"/>
      <c r="C1215" s="49"/>
      <c r="D1215" s="50"/>
      <c r="E1215" s="50"/>
      <c r="F1215" s="50"/>
      <c r="G1215" s="50"/>
      <c r="H1215" s="51"/>
      <c r="I1215" s="39"/>
      <c r="J1215" s="51"/>
      <c r="K1215" s="51"/>
      <c r="L1215" s="51"/>
      <c r="P1215" s="52"/>
      <c r="Q1215" s="47"/>
    </row>
    <row r="1216" spans="1:17" ht="15" customHeight="1" x14ac:dyDescent="0.3">
      <c r="A1216" s="49"/>
      <c r="B1216" s="49"/>
      <c r="C1216" s="49"/>
      <c r="D1216" s="50"/>
      <c r="E1216" s="50"/>
      <c r="F1216" s="50"/>
      <c r="G1216" s="50"/>
      <c r="H1216" s="51"/>
      <c r="I1216" s="39"/>
      <c r="J1216" s="51"/>
      <c r="K1216" s="51"/>
      <c r="L1216" s="51"/>
      <c r="P1216" s="52"/>
      <c r="Q1216" s="47"/>
    </row>
    <row r="1217" spans="1:17" ht="15" customHeight="1" x14ac:dyDescent="0.3">
      <c r="A1217" s="49"/>
      <c r="B1217" s="49"/>
      <c r="C1217" s="49"/>
      <c r="D1217" s="50"/>
      <c r="E1217" s="50"/>
      <c r="F1217" s="50"/>
      <c r="G1217" s="50"/>
      <c r="H1217" s="51"/>
      <c r="I1217" s="39"/>
      <c r="J1217" s="51"/>
      <c r="K1217" s="51"/>
      <c r="L1217" s="51"/>
      <c r="P1217" s="52"/>
      <c r="Q1217" s="47"/>
    </row>
    <row r="1218" spans="1:17" ht="15" customHeight="1" x14ac:dyDescent="0.3">
      <c r="A1218" s="49"/>
      <c r="B1218" s="49"/>
      <c r="C1218" s="49"/>
      <c r="D1218" s="50"/>
      <c r="E1218" s="50"/>
      <c r="F1218" s="50"/>
      <c r="G1218" s="50"/>
      <c r="H1218" s="51"/>
      <c r="I1218" s="39"/>
      <c r="J1218" s="51"/>
      <c r="K1218" s="51"/>
      <c r="L1218" s="51"/>
      <c r="P1218" s="52"/>
      <c r="Q1218" s="47"/>
    </row>
    <row r="1219" spans="1:17" ht="15" customHeight="1" x14ac:dyDescent="0.3">
      <c r="A1219" s="49"/>
      <c r="B1219" s="49"/>
      <c r="C1219" s="49"/>
      <c r="D1219" s="50"/>
      <c r="E1219" s="50"/>
      <c r="F1219" s="50"/>
      <c r="G1219" s="50"/>
      <c r="H1219" s="51"/>
      <c r="I1219" s="39"/>
      <c r="J1219" s="51"/>
      <c r="K1219" s="51"/>
      <c r="L1219" s="51"/>
      <c r="P1219" s="52"/>
      <c r="Q1219" s="47"/>
    </row>
    <row r="1220" spans="1:17" ht="15" customHeight="1" x14ac:dyDescent="0.3">
      <c r="A1220" s="49"/>
      <c r="B1220" s="49"/>
      <c r="C1220" s="49"/>
      <c r="D1220" s="50"/>
      <c r="E1220" s="50"/>
      <c r="F1220" s="50"/>
      <c r="G1220" s="50"/>
      <c r="H1220" s="51"/>
      <c r="I1220" s="39"/>
      <c r="J1220" s="51"/>
      <c r="K1220" s="51"/>
      <c r="L1220" s="51"/>
      <c r="P1220" s="52"/>
      <c r="Q1220" s="47"/>
    </row>
    <row r="1221" spans="1:17" ht="15" customHeight="1" x14ac:dyDescent="0.3">
      <c r="A1221" s="49"/>
      <c r="B1221" s="49"/>
      <c r="C1221" s="49"/>
      <c r="D1221" s="50"/>
      <c r="E1221" s="50"/>
      <c r="F1221" s="50"/>
      <c r="G1221" s="50"/>
      <c r="H1221" s="51"/>
      <c r="I1221" s="39"/>
      <c r="J1221" s="51"/>
      <c r="K1221" s="51"/>
      <c r="L1221" s="51"/>
      <c r="P1221" s="52"/>
      <c r="Q1221" s="47"/>
    </row>
    <row r="1222" spans="1:17" ht="15" customHeight="1" x14ac:dyDescent="0.3">
      <c r="A1222" s="49"/>
      <c r="B1222" s="49"/>
      <c r="C1222" s="49"/>
      <c r="D1222" s="50"/>
      <c r="E1222" s="50"/>
      <c r="F1222" s="50"/>
      <c r="G1222" s="50"/>
      <c r="H1222" s="51"/>
      <c r="I1222" s="39"/>
      <c r="J1222" s="51"/>
      <c r="K1222" s="51"/>
      <c r="L1222" s="51"/>
      <c r="P1222" s="52"/>
      <c r="Q1222" s="47"/>
    </row>
    <row r="1223" spans="1:17" ht="15" customHeight="1" x14ac:dyDescent="0.3">
      <c r="A1223" s="49"/>
      <c r="B1223" s="49"/>
      <c r="C1223" s="49"/>
      <c r="D1223" s="50"/>
      <c r="E1223" s="50"/>
      <c r="F1223" s="50"/>
      <c r="G1223" s="50"/>
      <c r="H1223" s="51"/>
      <c r="I1223" s="39"/>
      <c r="J1223" s="51"/>
      <c r="K1223" s="51"/>
      <c r="L1223" s="51"/>
      <c r="P1223" s="52"/>
      <c r="Q1223" s="47"/>
    </row>
    <row r="1224" spans="1:17" ht="15" customHeight="1" x14ac:dyDescent="0.3">
      <c r="A1224" s="49"/>
      <c r="B1224" s="49"/>
      <c r="C1224" s="49"/>
      <c r="D1224" s="50"/>
      <c r="E1224" s="50"/>
      <c r="F1224" s="50"/>
      <c r="G1224" s="50"/>
      <c r="H1224" s="51"/>
      <c r="I1224" s="39"/>
      <c r="J1224" s="51"/>
      <c r="K1224" s="51"/>
      <c r="L1224" s="51"/>
      <c r="P1224" s="52"/>
      <c r="Q1224" s="47"/>
    </row>
    <row r="1225" spans="1:17" ht="15" customHeight="1" x14ac:dyDescent="0.3">
      <c r="A1225" s="49"/>
      <c r="B1225" s="49"/>
      <c r="C1225" s="49"/>
      <c r="D1225" s="50"/>
      <c r="E1225" s="50"/>
      <c r="F1225" s="50"/>
      <c r="G1225" s="50"/>
      <c r="H1225" s="51"/>
      <c r="I1225" s="39"/>
      <c r="J1225" s="51"/>
      <c r="K1225" s="51"/>
      <c r="L1225" s="51"/>
      <c r="P1225" s="52"/>
      <c r="Q1225" s="47"/>
    </row>
    <row r="1226" spans="1:17" ht="15" customHeight="1" x14ac:dyDescent="0.3">
      <c r="A1226" s="49"/>
      <c r="B1226" s="49"/>
      <c r="C1226" s="49"/>
      <c r="D1226" s="50"/>
      <c r="E1226" s="50"/>
      <c r="F1226" s="50"/>
      <c r="G1226" s="50"/>
      <c r="H1226" s="51"/>
      <c r="I1226" s="39"/>
      <c r="J1226" s="51"/>
      <c r="K1226" s="51"/>
      <c r="L1226" s="51"/>
      <c r="P1226" s="52"/>
      <c r="Q1226" s="47"/>
    </row>
    <row r="1227" spans="1:17" ht="15" customHeight="1" x14ac:dyDescent="0.3">
      <c r="A1227" s="49"/>
      <c r="B1227" s="49"/>
      <c r="C1227" s="49"/>
      <c r="D1227" s="50"/>
      <c r="E1227" s="50"/>
      <c r="F1227" s="50"/>
      <c r="G1227" s="50"/>
      <c r="H1227" s="51"/>
      <c r="I1227" s="39"/>
      <c r="J1227" s="51"/>
      <c r="K1227" s="51"/>
      <c r="L1227" s="51"/>
      <c r="P1227" s="52"/>
      <c r="Q1227" s="47"/>
    </row>
    <row r="1228" spans="1:17" ht="15" customHeight="1" x14ac:dyDescent="0.3">
      <c r="A1228" s="49"/>
      <c r="B1228" s="49"/>
      <c r="C1228" s="49"/>
      <c r="D1228" s="50"/>
      <c r="E1228" s="50"/>
      <c r="F1228" s="50"/>
      <c r="G1228" s="50"/>
      <c r="H1228" s="51"/>
      <c r="I1228" s="39"/>
      <c r="J1228" s="51"/>
      <c r="K1228" s="51"/>
      <c r="L1228" s="51"/>
      <c r="P1228" s="52"/>
      <c r="Q1228" s="47"/>
    </row>
    <row r="1229" spans="1:17" ht="15" customHeight="1" x14ac:dyDescent="0.3">
      <c r="A1229" s="49"/>
      <c r="B1229" s="49"/>
      <c r="C1229" s="49"/>
      <c r="D1229" s="50"/>
      <c r="E1229" s="50"/>
      <c r="F1229" s="50"/>
      <c r="G1229" s="50"/>
      <c r="H1229" s="51"/>
      <c r="I1229" s="39"/>
      <c r="J1229" s="51"/>
      <c r="K1229" s="51"/>
      <c r="L1229" s="51"/>
      <c r="P1229" s="52"/>
      <c r="Q1229" s="47"/>
    </row>
    <row r="1230" spans="1:17" ht="15" customHeight="1" x14ac:dyDescent="0.3">
      <c r="A1230" s="49"/>
      <c r="B1230" s="49"/>
      <c r="C1230" s="49"/>
      <c r="D1230" s="50"/>
      <c r="E1230" s="50"/>
      <c r="F1230" s="50"/>
      <c r="G1230" s="50"/>
      <c r="H1230" s="51"/>
      <c r="I1230" s="39"/>
      <c r="J1230" s="51"/>
      <c r="K1230" s="51"/>
      <c r="L1230" s="51"/>
      <c r="P1230" s="52"/>
      <c r="Q1230" s="47"/>
    </row>
    <row r="1231" spans="1:17" ht="15" customHeight="1" x14ac:dyDescent="0.3">
      <c r="A1231" s="49"/>
      <c r="B1231" s="49"/>
      <c r="C1231" s="49"/>
      <c r="D1231" s="50"/>
      <c r="E1231" s="50"/>
      <c r="F1231" s="50"/>
      <c r="G1231" s="50"/>
      <c r="H1231" s="51"/>
      <c r="I1231" s="39"/>
      <c r="J1231" s="51"/>
      <c r="K1231" s="51"/>
      <c r="L1231" s="51"/>
      <c r="P1231" s="52"/>
      <c r="Q1231" s="47"/>
    </row>
    <row r="1232" spans="1:17" ht="15" customHeight="1" x14ac:dyDescent="0.3">
      <c r="A1232" s="49"/>
      <c r="B1232" s="49"/>
      <c r="C1232" s="49"/>
      <c r="D1232" s="50"/>
      <c r="E1232" s="50"/>
      <c r="F1232" s="50"/>
      <c r="G1232" s="50"/>
      <c r="H1232" s="51"/>
      <c r="I1232" s="39"/>
      <c r="J1232" s="51"/>
      <c r="K1232" s="51"/>
      <c r="L1232" s="51"/>
      <c r="P1232" s="52"/>
      <c r="Q1232" s="47"/>
    </row>
    <row r="1233" spans="1:17" ht="15" customHeight="1" x14ac:dyDescent="0.3">
      <c r="A1233" s="49"/>
      <c r="B1233" s="49"/>
      <c r="C1233" s="49"/>
      <c r="D1233" s="50"/>
      <c r="E1233" s="50"/>
      <c r="F1233" s="50"/>
      <c r="G1233" s="50"/>
      <c r="H1233" s="51"/>
      <c r="I1233" s="39"/>
      <c r="J1233" s="51"/>
      <c r="K1233" s="51"/>
      <c r="L1233" s="51"/>
      <c r="P1233" s="52"/>
      <c r="Q1233" s="47"/>
    </row>
    <row r="1234" spans="1:17" ht="15" customHeight="1" x14ac:dyDescent="0.3">
      <c r="A1234" s="49"/>
      <c r="B1234" s="49"/>
      <c r="C1234" s="49"/>
      <c r="D1234" s="50"/>
      <c r="E1234" s="50"/>
      <c r="F1234" s="50"/>
      <c r="G1234" s="50"/>
      <c r="H1234" s="51"/>
      <c r="I1234" s="39"/>
      <c r="J1234" s="51"/>
      <c r="K1234" s="51"/>
      <c r="L1234" s="51"/>
      <c r="P1234" s="52"/>
      <c r="Q1234" s="47"/>
    </row>
    <row r="1235" spans="1:17" ht="15" customHeight="1" x14ac:dyDescent="0.3">
      <c r="A1235" s="49"/>
      <c r="B1235" s="49"/>
      <c r="C1235" s="49"/>
      <c r="D1235" s="50"/>
      <c r="E1235" s="50"/>
      <c r="F1235" s="50"/>
      <c r="G1235" s="50"/>
      <c r="H1235" s="51"/>
      <c r="I1235" s="39"/>
      <c r="J1235" s="51"/>
      <c r="K1235" s="51"/>
      <c r="L1235" s="51"/>
      <c r="P1235" s="52"/>
      <c r="Q1235" s="47"/>
    </row>
    <row r="1236" spans="1:17" ht="15" customHeight="1" x14ac:dyDescent="0.3">
      <c r="A1236" s="49"/>
      <c r="B1236" s="49"/>
      <c r="C1236" s="49"/>
      <c r="D1236" s="50"/>
      <c r="E1236" s="50"/>
      <c r="F1236" s="50"/>
      <c r="G1236" s="50"/>
      <c r="H1236" s="51"/>
      <c r="I1236" s="39"/>
      <c r="J1236" s="51"/>
      <c r="K1236" s="51"/>
      <c r="L1236" s="51"/>
      <c r="P1236" s="52"/>
      <c r="Q1236" s="47"/>
    </row>
    <row r="1237" spans="1:17" ht="15" customHeight="1" x14ac:dyDescent="0.3">
      <c r="A1237" s="49"/>
      <c r="B1237" s="49"/>
      <c r="C1237" s="49"/>
      <c r="D1237" s="50"/>
      <c r="E1237" s="50"/>
      <c r="F1237" s="50"/>
      <c r="G1237" s="50"/>
      <c r="H1237" s="51"/>
      <c r="I1237" s="39"/>
      <c r="J1237" s="51"/>
      <c r="K1237" s="51"/>
      <c r="L1237" s="51"/>
      <c r="P1237" s="52"/>
      <c r="Q1237" s="47"/>
    </row>
    <row r="1238" spans="1:17" ht="15" customHeight="1" x14ac:dyDescent="0.3">
      <c r="A1238" s="49"/>
      <c r="B1238" s="49"/>
      <c r="C1238" s="49"/>
      <c r="D1238" s="50"/>
      <c r="E1238" s="50"/>
      <c r="F1238" s="50"/>
      <c r="G1238" s="50"/>
      <c r="H1238" s="51"/>
      <c r="I1238" s="39"/>
      <c r="J1238" s="51"/>
      <c r="K1238" s="51"/>
      <c r="L1238" s="51"/>
      <c r="P1238" s="52"/>
      <c r="Q1238" s="47"/>
    </row>
    <row r="1239" spans="1:17" ht="15" customHeight="1" x14ac:dyDescent="0.3">
      <c r="A1239" s="49"/>
      <c r="B1239" s="49"/>
      <c r="C1239" s="49"/>
      <c r="D1239" s="50"/>
      <c r="E1239" s="50"/>
      <c r="F1239" s="50"/>
      <c r="G1239" s="50"/>
      <c r="H1239" s="51"/>
      <c r="I1239" s="39"/>
      <c r="J1239" s="51"/>
      <c r="K1239" s="51"/>
      <c r="L1239" s="51"/>
      <c r="P1239" s="52"/>
      <c r="Q1239" s="47"/>
    </row>
    <row r="1240" spans="1:17" ht="15" customHeight="1" x14ac:dyDescent="0.3">
      <c r="A1240" s="49"/>
      <c r="B1240" s="49"/>
      <c r="C1240" s="49"/>
      <c r="D1240" s="50"/>
      <c r="E1240" s="50"/>
      <c r="F1240" s="50"/>
      <c r="G1240" s="50"/>
      <c r="H1240" s="51"/>
      <c r="I1240" s="39"/>
      <c r="J1240" s="51"/>
      <c r="K1240" s="51"/>
      <c r="L1240" s="51"/>
      <c r="P1240" s="52"/>
      <c r="Q1240" s="47"/>
    </row>
    <row r="1241" spans="1:17" ht="15" customHeight="1" x14ac:dyDescent="0.3">
      <c r="A1241" s="49"/>
      <c r="B1241" s="49"/>
      <c r="C1241" s="49"/>
      <c r="D1241" s="50"/>
      <c r="E1241" s="50"/>
      <c r="F1241" s="50"/>
      <c r="G1241" s="50"/>
      <c r="H1241" s="51"/>
      <c r="I1241" s="39"/>
      <c r="J1241" s="51"/>
      <c r="K1241" s="51"/>
      <c r="L1241" s="51"/>
      <c r="P1241" s="52"/>
      <c r="Q1241" s="47"/>
    </row>
    <row r="1242" spans="1:17" ht="15" customHeight="1" x14ac:dyDescent="0.3">
      <c r="A1242" s="49"/>
      <c r="B1242" s="49"/>
      <c r="C1242" s="49"/>
      <c r="D1242" s="50"/>
      <c r="E1242" s="50"/>
      <c r="F1242" s="50"/>
      <c r="G1242" s="50"/>
      <c r="H1242" s="51"/>
      <c r="I1242" s="39"/>
      <c r="J1242" s="51"/>
      <c r="K1242" s="51"/>
      <c r="L1242" s="51"/>
      <c r="P1242" s="52"/>
      <c r="Q1242" s="47"/>
    </row>
    <row r="1243" spans="1:17" ht="15" customHeight="1" x14ac:dyDescent="0.3">
      <c r="A1243" s="49"/>
      <c r="B1243" s="49"/>
      <c r="C1243" s="49"/>
      <c r="D1243" s="50"/>
      <c r="E1243" s="50"/>
      <c r="F1243" s="50"/>
      <c r="G1243" s="50"/>
      <c r="H1243" s="51"/>
      <c r="I1243" s="39"/>
      <c r="J1243" s="51"/>
      <c r="K1243" s="51"/>
      <c r="L1243" s="51"/>
      <c r="P1243" s="52"/>
      <c r="Q1243" s="47"/>
    </row>
    <row r="1244" spans="1:17" ht="15" customHeight="1" x14ac:dyDescent="0.3">
      <c r="A1244" s="49"/>
      <c r="B1244" s="49"/>
      <c r="C1244" s="49"/>
      <c r="D1244" s="50"/>
      <c r="E1244" s="50"/>
      <c r="F1244" s="50"/>
      <c r="G1244" s="50"/>
      <c r="H1244" s="51"/>
      <c r="I1244" s="39"/>
      <c r="J1244" s="51"/>
      <c r="K1244" s="51"/>
      <c r="L1244" s="51"/>
      <c r="P1244" s="52"/>
      <c r="Q1244" s="47"/>
    </row>
    <row r="1245" spans="1:17" ht="15" customHeight="1" x14ac:dyDescent="0.3">
      <c r="A1245" s="49"/>
      <c r="B1245" s="49"/>
      <c r="C1245" s="49"/>
      <c r="D1245" s="50"/>
      <c r="E1245" s="50"/>
      <c r="F1245" s="50"/>
      <c r="G1245" s="50"/>
      <c r="H1245" s="51"/>
      <c r="I1245" s="39"/>
      <c r="J1245" s="51"/>
      <c r="K1245" s="51"/>
      <c r="L1245" s="51"/>
      <c r="P1245" s="52"/>
      <c r="Q1245" s="47"/>
    </row>
    <row r="1246" spans="1:17" ht="15" customHeight="1" x14ac:dyDescent="0.3">
      <c r="A1246" s="49"/>
      <c r="B1246" s="49"/>
      <c r="C1246" s="49"/>
      <c r="D1246" s="50"/>
      <c r="E1246" s="50"/>
      <c r="F1246" s="50"/>
      <c r="G1246" s="50"/>
      <c r="H1246" s="51"/>
      <c r="I1246" s="39"/>
      <c r="J1246" s="51"/>
      <c r="K1246" s="51"/>
      <c r="L1246" s="51"/>
      <c r="P1246" s="52"/>
      <c r="Q1246" s="47"/>
    </row>
    <row r="1247" spans="1:17" ht="15" customHeight="1" x14ac:dyDescent="0.3">
      <c r="A1247" s="49"/>
      <c r="B1247" s="49"/>
      <c r="C1247" s="49"/>
      <c r="D1247" s="50"/>
      <c r="E1247" s="50"/>
      <c r="F1247" s="50"/>
      <c r="G1247" s="50"/>
      <c r="H1247" s="51"/>
      <c r="I1247" s="39"/>
      <c r="J1247" s="51"/>
      <c r="K1247" s="51"/>
      <c r="L1247" s="51"/>
      <c r="P1247" s="52"/>
      <c r="Q1247" s="47"/>
    </row>
    <row r="1248" spans="1:17" ht="15" customHeight="1" x14ac:dyDescent="0.3">
      <c r="A1248" s="49"/>
      <c r="B1248" s="49"/>
      <c r="C1248" s="49"/>
      <c r="D1248" s="50"/>
      <c r="E1248" s="50"/>
      <c r="F1248" s="50"/>
      <c r="G1248" s="50"/>
      <c r="H1248" s="51"/>
      <c r="I1248" s="39"/>
      <c r="J1248" s="51"/>
      <c r="K1248" s="51"/>
      <c r="L1248" s="51"/>
      <c r="P1248" s="52"/>
      <c r="Q1248" s="47"/>
    </row>
    <row r="1249" spans="1:17" ht="15" customHeight="1" x14ac:dyDescent="0.3">
      <c r="A1249" s="49"/>
      <c r="B1249" s="49"/>
      <c r="C1249" s="49"/>
      <c r="D1249" s="50"/>
      <c r="E1249" s="50"/>
      <c r="F1249" s="50"/>
      <c r="G1249" s="50"/>
      <c r="H1249" s="51"/>
      <c r="I1249" s="39"/>
      <c r="J1249" s="51"/>
      <c r="K1249" s="51"/>
      <c r="L1249" s="51"/>
      <c r="P1249" s="52"/>
      <c r="Q1249" s="47"/>
    </row>
    <row r="1250" spans="1:17" ht="15" customHeight="1" x14ac:dyDescent="0.3">
      <c r="A1250" s="49"/>
      <c r="B1250" s="49"/>
      <c r="C1250" s="49"/>
      <c r="D1250" s="50"/>
      <c r="E1250" s="50"/>
      <c r="F1250" s="50"/>
      <c r="G1250" s="50"/>
      <c r="H1250" s="51"/>
      <c r="I1250" s="39"/>
      <c r="J1250" s="51"/>
      <c r="K1250" s="51"/>
      <c r="L1250" s="51"/>
      <c r="P1250" s="52"/>
      <c r="Q1250" s="47"/>
    </row>
    <row r="1251" spans="1:17" ht="15" customHeight="1" x14ac:dyDescent="0.3">
      <c r="A1251" s="49"/>
      <c r="B1251" s="49"/>
      <c r="C1251" s="49"/>
      <c r="D1251" s="50"/>
      <c r="E1251" s="50"/>
      <c r="F1251" s="50"/>
      <c r="G1251" s="50"/>
      <c r="H1251" s="51"/>
      <c r="I1251" s="39"/>
      <c r="J1251" s="51"/>
      <c r="K1251" s="51"/>
      <c r="L1251" s="51"/>
      <c r="P1251" s="52"/>
      <c r="Q1251" s="47"/>
    </row>
    <row r="1252" spans="1:17" ht="15" customHeight="1" x14ac:dyDescent="0.3">
      <c r="A1252" s="49"/>
      <c r="B1252" s="49"/>
      <c r="C1252" s="49"/>
      <c r="D1252" s="50"/>
      <c r="E1252" s="50"/>
      <c r="F1252" s="50"/>
      <c r="G1252" s="50"/>
      <c r="H1252" s="51"/>
      <c r="I1252" s="39"/>
      <c r="J1252" s="51"/>
      <c r="K1252" s="51"/>
      <c r="L1252" s="51"/>
      <c r="P1252" s="52"/>
      <c r="Q1252" s="47"/>
    </row>
    <row r="1253" spans="1:17" ht="15" customHeight="1" x14ac:dyDescent="0.3">
      <c r="A1253" s="49"/>
      <c r="B1253" s="49"/>
      <c r="C1253" s="49"/>
      <c r="D1253" s="50"/>
      <c r="E1253" s="50"/>
      <c r="F1253" s="50"/>
      <c r="G1253" s="50"/>
      <c r="H1253" s="51"/>
      <c r="I1253" s="39"/>
      <c r="J1253" s="51"/>
      <c r="K1253" s="51"/>
      <c r="L1253" s="51"/>
      <c r="P1253" s="52"/>
      <c r="Q1253" s="47"/>
    </row>
    <row r="1254" spans="1:17" ht="15" customHeight="1" x14ac:dyDescent="0.3">
      <c r="A1254" s="49"/>
      <c r="B1254" s="49"/>
      <c r="C1254" s="49"/>
      <c r="D1254" s="50"/>
      <c r="E1254" s="50"/>
      <c r="F1254" s="50"/>
      <c r="G1254" s="50"/>
      <c r="H1254" s="51"/>
      <c r="I1254" s="39"/>
      <c r="J1254" s="51"/>
      <c r="K1254" s="51"/>
      <c r="L1254" s="51"/>
      <c r="P1254" s="52"/>
      <c r="Q1254" s="47"/>
    </row>
    <row r="1255" spans="1:17" ht="15" customHeight="1" x14ac:dyDescent="0.3">
      <c r="A1255" s="49"/>
      <c r="B1255" s="49"/>
      <c r="C1255" s="49"/>
      <c r="D1255" s="50"/>
      <c r="E1255" s="50"/>
      <c r="G1255" s="50"/>
      <c r="H1255" s="51"/>
      <c r="I1255" s="39"/>
      <c r="J1255" s="51"/>
      <c r="K1255" s="51"/>
      <c r="L1255" s="51"/>
      <c r="P1255" s="52"/>
      <c r="Q1255" s="47"/>
    </row>
    <row r="1256" spans="1:17" ht="15" customHeight="1" x14ac:dyDescent="0.3">
      <c r="A1256" s="49"/>
      <c r="B1256" s="49"/>
      <c r="C1256" s="49"/>
      <c r="D1256" s="50"/>
      <c r="E1256" s="50"/>
      <c r="G1256" s="50"/>
      <c r="H1256" s="51"/>
      <c r="I1256" s="39"/>
      <c r="J1256" s="51"/>
      <c r="K1256" s="51"/>
      <c r="L1256" s="51"/>
      <c r="P1256" s="52"/>
      <c r="Q1256" s="47"/>
    </row>
    <row r="1257" spans="1:17" ht="15" customHeight="1" x14ac:dyDescent="0.3">
      <c r="A1257" s="49"/>
      <c r="B1257" s="49"/>
      <c r="C1257" s="49"/>
      <c r="D1257" s="50"/>
      <c r="E1257" s="50"/>
      <c r="G1257" s="50"/>
      <c r="H1257" s="51"/>
      <c r="I1257" s="39"/>
      <c r="J1257" s="51"/>
      <c r="K1257" s="51"/>
      <c r="L1257" s="51"/>
      <c r="P1257" s="52"/>
      <c r="Q1257" s="47"/>
    </row>
    <row r="1258" spans="1:17" ht="15" customHeight="1" x14ac:dyDescent="0.3">
      <c r="A1258" s="49"/>
      <c r="B1258" s="49"/>
      <c r="C1258" s="49"/>
      <c r="D1258" s="50"/>
      <c r="E1258" s="50"/>
      <c r="G1258" s="50"/>
      <c r="H1258" s="51"/>
      <c r="I1258" s="39"/>
      <c r="J1258" s="51"/>
      <c r="K1258" s="51"/>
      <c r="L1258" s="51"/>
      <c r="P1258" s="52"/>
      <c r="Q1258" s="47"/>
    </row>
    <row r="1259" spans="1:17" ht="15" customHeight="1" x14ac:dyDescent="0.3">
      <c r="A1259" s="49"/>
      <c r="B1259" s="49"/>
      <c r="C1259" s="49"/>
      <c r="D1259" s="50"/>
      <c r="E1259" s="50"/>
      <c r="G1259" s="50"/>
      <c r="H1259" s="51"/>
      <c r="I1259" s="39"/>
      <c r="J1259" s="51"/>
      <c r="K1259" s="51"/>
      <c r="L1259" s="51"/>
      <c r="P1259" s="52"/>
      <c r="Q1259" s="47"/>
    </row>
    <row r="1260" spans="1:17" ht="15" customHeight="1" x14ac:dyDescent="0.3">
      <c r="A1260" s="49"/>
      <c r="B1260" s="49"/>
      <c r="C1260" s="49"/>
      <c r="D1260" s="50"/>
      <c r="E1260" s="50"/>
      <c r="G1260" s="50"/>
      <c r="H1260" s="51"/>
      <c r="I1260" s="39"/>
      <c r="J1260" s="51"/>
      <c r="K1260" s="51"/>
      <c r="L1260" s="51"/>
      <c r="P1260" s="52"/>
      <c r="Q1260" s="47"/>
    </row>
    <row r="1261" spans="1:17" ht="15" customHeight="1" x14ac:dyDescent="0.3">
      <c r="A1261" s="49"/>
      <c r="B1261" s="49"/>
      <c r="C1261" s="49"/>
      <c r="D1261" s="50"/>
      <c r="E1261" s="50"/>
      <c r="G1261" s="50"/>
      <c r="H1261" s="51"/>
      <c r="I1261" s="39"/>
      <c r="J1261" s="51"/>
      <c r="K1261" s="51"/>
      <c r="L1261" s="51"/>
      <c r="P1261" s="52"/>
      <c r="Q1261" s="47"/>
    </row>
    <row r="1262" spans="1:17" ht="15" customHeight="1" x14ac:dyDescent="0.3">
      <c r="A1262" s="49"/>
      <c r="B1262" s="49"/>
      <c r="C1262" s="49"/>
      <c r="D1262" s="50"/>
      <c r="E1262" s="50"/>
      <c r="G1262" s="50"/>
      <c r="H1262" s="51"/>
      <c r="I1262" s="39"/>
      <c r="J1262" s="51"/>
      <c r="K1262" s="51"/>
      <c r="L1262" s="51"/>
      <c r="P1262" s="52"/>
      <c r="Q1262" s="47"/>
    </row>
    <row r="1263" spans="1:17" ht="15" customHeight="1" x14ac:dyDescent="0.3">
      <c r="A1263" s="49"/>
      <c r="B1263" s="49"/>
      <c r="C1263" s="49"/>
      <c r="D1263" s="50"/>
      <c r="E1263" s="50"/>
      <c r="G1263" s="50"/>
      <c r="H1263" s="51"/>
      <c r="I1263" s="39"/>
      <c r="J1263" s="51"/>
      <c r="K1263" s="51"/>
      <c r="L1263" s="51"/>
      <c r="P1263" s="52"/>
      <c r="Q1263" s="47"/>
    </row>
    <row r="1264" spans="1:17" ht="15" customHeight="1" x14ac:dyDescent="0.3">
      <c r="A1264" s="49"/>
      <c r="B1264" s="49"/>
      <c r="C1264" s="49"/>
      <c r="D1264" s="50"/>
      <c r="E1264" s="50"/>
      <c r="G1264" s="50"/>
      <c r="H1264" s="51"/>
      <c r="I1264" s="39"/>
      <c r="J1264" s="51"/>
      <c r="K1264" s="51"/>
      <c r="L1264" s="51"/>
      <c r="P1264" s="52"/>
      <c r="Q1264" s="47"/>
    </row>
    <row r="1265" spans="1:17" ht="15" customHeight="1" x14ac:dyDescent="0.3">
      <c r="A1265" s="49"/>
      <c r="B1265" s="49"/>
      <c r="C1265" s="49"/>
      <c r="D1265" s="50"/>
      <c r="E1265" s="50"/>
      <c r="G1265" s="50"/>
      <c r="H1265" s="51"/>
      <c r="I1265" s="39"/>
      <c r="J1265" s="51"/>
      <c r="K1265" s="51"/>
      <c r="L1265" s="51"/>
      <c r="P1265" s="52"/>
      <c r="Q1265" s="47"/>
    </row>
    <row r="1266" spans="1:17" ht="15" customHeight="1" x14ac:dyDescent="0.3">
      <c r="A1266" s="49"/>
      <c r="B1266" s="49"/>
      <c r="C1266" s="49"/>
      <c r="D1266" s="50"/>
      <c r="E1266" s="50"/>
      <c r="G1266" s="50"/>
      <c r="H1266" s="51"/>
      <c r="I1266" s="39"/>
      <c r="J1266" s="51"/>
      <c r="K1266" s="51"/>
      <c r="L1266" s="51"/>
      <c r="P1266" s="52"/>
      <c r="Q1266" s="47"/>
    </row>
    <row r="1267" spans="1:17" ht="15" customHeight="1" x14ac:dyDescent="0.3">
      <c r="A1267" s="49"/>
      <c r="B1267" s="49"/>
      <c r="C1267" s="49"/>
      <c r="D1267" s="50"/>
      <c r="E1267" s="50"/>
      <c r="G1267" s="50"/>
      <c r="H1267" s="51"/>
      <c r="I1267" s="39"/>
      <c r="J1267" s="51"/>
      <c r="K1267" s="51"/>
      <c r="L1267" s="51"/>
      <c r="P1267" s="52"/>
      <c r="Q1267" s="47"/>
    </row>
    <row r="1268" spans="1:17" ht="15" customHeight="1" x14ac:dyDescent="0.3">
      <c r="A1268" s="49"/>
      <c r="B1268" s="49"/>
      <c r="C1268" s="49"/>
      <c r="D1268" s="50"/>
      <c r="E1268" s="50"/>
      <c r="G1268" s="50"/>
      <c r="H1268" s="51"/>
      <c r="I1268" s="39"/>
      <c r="J1268" s="51"/>
      <c r="K1268" s="51"/>
      <c r="L1268" s="51"/>
      <c r="P1268" s="52"/>
      <c r="Q1268" s="47"/>
    </row>
    <row r="1269" spans="1:17" ht="15" customHeight="1" x14ac:dyDescent="0.3">
      <c r="A1269" s="49"/>
      <c r="B1269" s="49"/>
      <c r="C1269" s="49"/>
      <c r="D1269" s="50"/>
      <c r="E1269" s="50"/>
      <c r="G1269" s="50"/>
      <c r="H1269" s="51"/>
      <c r="I1269" s="39"/>
      <c r="J1269" s="51"/>
      <c r="K1269" s="51"/>
      <c r="L1269" s="51"/>
      <c r="P1269" s="52"/>
      <c r="Q1269" s="47"/>
    </row>
    <row r="1270" spans="1:17" ht="15" customHeight="1" x14ac:dyDescent="0.3">
      <c r="A1270" s="49"/>
      <c r="B1270" s="49"/>
      <c r="C1270" s="49"/>
      <c r="D1270" s="50"/>
      <c r="E1270" s="50"/>
      <c r="G1270" s="50"/>
      <c r="H1270" s="51"/>
      <c r="I1270" s="39"/>
      <c r="J1270" s="51"/>
      <c r="K1270" s="51"/>
      <c r="L1270" s="51"/>
      <c r="P1270" s="52"/>
      <c r="Q1270" s="47"/>
    </row>
    <row r="1271" spans="1:17" ht="15" customHeight="1" x14ac:dyDescent="0.3">
      <c r="A1271" s="49"/>
      <c r="B1271" s="49"/>
      <c r="C1271" s="49"/>
      <c r="D1271" s="50"/>
      <c r="E1271" s="50"/>
      <c r="G1271" s="50"/>
      <c r="H1271" s="51"/>
      <c r="I1271" s="39"/>
      <c r="J1271" s="51"/>
      <c r="K1271" s="51"/>
      <c r="L1271" s="51"/>
      <c r="P1271" s="52"/>
      <c r="Q1271" s="47"/>
    </row>
    <row r="1272" spans="1:17" ht="15" customHeight="1" x14ac:dyDescent="0.3">
      <c r="A1272" s="49"/>
      <c r="B1272" s="49"/>
      <c r="C1272" s="49"/>
      <c r="D1272" s="50"/>
      <c r="E1272" s="50"/>
      <c r="G1272" s="50"/>
      <c r="H1272" s="51"/>
      <c r="I1272" s="39"/>
      <c r="J1272" s="51"/>
      <c r="K1272" s="51"/>
      <c r="L1272" s="51"/>
      <c r="P1272" s="52"/>
      <c r="Q1272" s="47"/>
    </row>
    <row r="1273" spans="1:17" ht="15" customHeight="1" x14ac:dyDescent="0.3">
      <c r="A1273" s="49"/>
      <c r="B1273" s="49"/>
      <c r="C1273" s="49"/>
      <c r="D1273" s="50"/>
      <c r="E1273" s="50"/>
      <c r="G1273" s="50"/>
      <c r="H1273" s="51"/>
      <c r="I1273" s="39"/>
      <c r="J1273" s="51"/>
      <c r="K1273" s="51"/>
      <c r="L1273" s="51"/>
      <c r="P1273" s="52"/>
      <c r="Q1273" s="47"/>
    </row>
    <row r="1274" spans="1:17" ht="15" customHeight="1" x14ac:dyDescent="0.3">
      <c r="A1274" s="49"/>
      <c r="B1274" s="49"/>
      <c r="C1274" s="49"/>
      <c r="D1274" s="50"/>
      <c r="E1274" s="50"/>
      <c r="G1274" s="50"/>
      <c r="H1274" s="51"/>
      <c r="I1274" s="39"/>
      <c r="J1274" s="51"/>
      <c r="K1274" s="51"/>
      <c r="L1274" s="51"/>
      <c r="P1274" s="52"/>
      <c r="Q1274" s="47"/>
    </row>
    <row r="1275" spans="1:17" ht="15" customHeight="1" x14ac:dyDescent="0.3">
      <c r="A1275" s="49"/>
      <c r="B1275" s="49"/>
      <c r="C1275" s="49"/>
      <c r="D1275" s="50"/>
      <c r="E1275" s="50"/>
      <c r="G1275" s="50"/>
      <c r="H1275" s="51"/>
      <c r="I1275" s="39"/>
      <c r="J1275" s="51"/>
      <c r="K1275" s="51"/>
      <c r="L1275" s="51"/>
      <c r="P1275" s="52"/>
      <c r="Q1275" s="47"/>
    </row>
    <row r="1276" spans="1:17" ht="15" customHeight="1" x14ac:dyDescent="0.3">
      <c r="A1276" s="49"/>
      <c r="B1276" s="49"/>
      <c r="C1276" s="49"/>
      <c r="D1276" s="50"/>
      <c r="E1276" s="50"/>
      <c r="G1276" s="50"/>
      <c r="H1276" s="51"/>
      <c r="I1276" s="39"/>
      <c r="J1276" s="51"/>
      <c r="K1276" s="51"/>
      <c r="L1276" s="51"/>
      <c r="P1276" s="52"/>
      <c r="Q1276" s="47"/>
    </row>
    <row r="1277" spans="1:17" ht="15" customHeight="1" x14ac:dyDescent="0.3">
      <c r="A1277" s="49"/>
      <c r="B1277" s="49"/>
      <c r="C1277" s="49"/>
      <c r="D1277" s="50"/>
      <c r="E1277" s="50"/>
      <c r="G1277" s="50"/>
      <c r="H1277" s="51"/>
      <c r="I1277" s="39"/>
      <c r="J1277" s="51"/>
      <c r="K1277" s="51"/>
      <c r="L1277" s="51"/>
      <c r="P1277" s="52"/>
      <c r="Q1277" s="47"/>
    </row>
    <row r="1278" spans="1:17" ht="15" customHeight="1" x14ac:dyDescent="0.3">
      <c r="A1278" s="49"/>
      <c r="B1278" s="49"/>
      <c r="C1278" s="49"/>
      <c r="D1278" s="50"/>
      <c r="E1278" s="50"/>
      <c r="G1278" s="50"/>
      <c r="H1278" s="51"/>
      <c r="I1278" s="39"/>
      <c r="J1278" s="51"/>
      <c r="K1278" s="51"/>
      <c r="L1278" s="51"/>
      <c r="P1278" s="52"/>
      <c r="Q1278" s="47"/>
    </row>
    <row r="1279" spans="1:17" ht="15" customHeight="1" x14ac:dyDescent="0.3">
      <c r="A1279" s="49"/>
      <c r="B1279" s="49"/>
      <c r="C1279" s="49"/>
      <c r="D1279" s="50"/>
      <c r="E1279" s="50"/>
      <c r="G1279" s="50"/>
      <c r="H1279" s="51"/>
      <c r="I1279" s="39"/>
      <c r="J1279" s="51"/>
      <c r="K1279" s="51"/>
      <c r="L1279" s="51"/>
      <c r="P1279" s="52"/>
      <c r="Q1279" s="47"/>
    </row>
    <row r="1280" spans="1:17" ht="15" customHeight="1" x14ac:dyDescent="0.3">
      <c r="A1280" s="49"/>
      <c r="B1280" s="49"/>
      <c r="C1280" s="49"/>
      <c r="D1280" s="50"/>
      <c r="E1280" s="50"/>
      <c r="G1280" s="50"/>
      <c r="H1280" s="51"/>
      <c r="I1280" s="39"/>
      <c r="J1280" s="51"/>
      <c r="K1280" s="51"/>
      <c r="L1280" s="51"/>
      <c r="P1280" s="52"/>
      <c r="Q1280" s="47"/>
    </row>
    <row r="1281" spans="1:17" ht="15" customHeight="1" x14ac:dyDescent="0.3">
      <c r="A1281" s="49"/>
      <c r="B1281" s="49"/>
      <c r="C1281" s="49"/>
      <c r="D1281" s="50"/>
      <c r="E1281" s="50"/>
      <c r="G1281" s="50"/>
      <c r="H1281" s="51"/>
      <c r="I1281" s="39"/>
      <c r="J1281" s="51"/>
      <c r="K1281" s="51"/>
      <c r="L1281" s="51"/>
      <c r="P1281" s="52"/>
      <c r="Q1281" s="47"/>
    </row>
    <row r="1282" spans="1:17" ht="15" customHeight="1" x14ac:dyDescent="0.3">
      <c r="A1282" s="49"/>
      <c r="B1282" s="49"/>
      <c r="C1282" s="49"/>
      <c r="D1282" s="50"/>
      <c r="E1282" s="50"/>
      <c r="G1282" s="50"/>
      <c r="H1282" s="51"/>
      <c r="I1282" s="39"/>
      <c r="J1282" s="51"/>
      <c r="K1282" s="51"/>
      <c r="L1282" s="51"/>
      <c r="P1282" s="52"/>
      <c r="Q1282" s="47"/>
    </row>
    <row r="1283" spans="1:17" ht="15" customHeight="1" x14ac:dyDescent="0.3">
      <c r="A1283" s="49"/>
      <c r="B1283" s="49"/>
      <c r="C1283" s="49"/>
      <c r="D1283" s="50"/>
      <c r="E1283" s="50"/>
      <c r="G1283" s="50"/>
      <c r="H1283" s="51"/>
      <c r="I1283" s="39"/>
      <c r="J1283" s="51"/>
      <c r="K1283" s="51"/>
      <c r="L1283" s="51"/>
      <c r="P1283" s="52"/>
      <c r="Q1283" s="47"/>
    </row>
    <row r="1284" spans="1:17" ht="15" customHeight="1" x14ac:dyDescent="0.3">
      <c r="A1284" s="49"/>
      <c r="B1284" s="49"/>
      <c r="C1284" s="49"/>
      <c r="D1284" s="50"/>
      <c r="E1284" s="50"/>
      <c r="G1284" s="50"/>
      <c r="H1284" s="51"/>
      <c r="I1284" s="39"/>
      <c r="J1284" s="51"/>
      <c r="K1284" s="51"/>
      <c r="L1284" s="51"/>
      <c r="P1284" s="52"/>
      <c r="Q1284" s="47"/>
    </row>
    <row r="1285" spans="1:17" ht="15" customHeight="1" x14ac:dyDescent="0.3">
      <c r="A1285" s="49"/>
      <c r="B1285" s="49"/>
      <c r="C1285" s="49"/>
      <c r="D1285" s="50"/>
      <c r="E1285" s="50"/>
      <c r="G1285" s="50"/>
      <c r="H1285" s="51"/>
      <c r="I1285" s="39"/>
      <c r="J1285" s="51"/>
      <c r="K1285" s="51"/>
      <c r="L1285" s="51"/>
      <c r="P1285" s="52"/>
      <c r="Q1285" s="47"/>
    </row>
    <row r="1286" spans="1:17" ht="15" customHeight="1" x14ac:dyDescent="0.3">
      <c r="A1286" s="49"/>
      <c r="B1286" s="49"/>
      <c r="C1286" s="49"/>
      <c r="D1286" s="50"/>
      <c r="E1286" s="50"/>
      <c r="G1286" s="50"/>
      <c r="H1286" s="51"/>
      <c r="I1286" s="39"/>
      <c r="J1286" s="51"/>
      <c r="K1286" s="51"/>
      <c r="L1286" s="51"/>
      <c r="P1286" s="52"/>
      <c r="Q1286" s="47"/>
    </row>
    <row r="1287" spans="1:17" ht="15" customHeight="1" x14ac:dyDescent="0.3">
      <c r="A1287" s="49"/>
      <c r="B1287" s="49"/>
      <c r="C1287" s="49"/>
      <c r="D1287" s="50"/>
      <c r="E1287" s="50"/>
      <c r="G1287" s="50"/>
      <c r="H1287" s="51"/>
      <c r="I1287" s="39"/>
      <c r="J1287" s="51"/>
      <c r="K1287" s="51"/>
      <c r="L1287" s="51"/>
      <c r="P1287" s="52"/>
      <c r="Q1287" s="47"/>
    </row>
    <row r="1288" spans="1:17" ht="15" customHeight="1" x14ac:dyDescent="0.3">
      <c r="A1288" s="49"/>
      <c r="B1288" s="49"/>
      <c r="C1288" s="49"/>
      <c r="D1288" s="50"/>
      <c r="E1288" s="50"/>
      <c r="G1288" s="50"/>
      <c r="H1288" s="51"/>
      <c r="I1288" s="39"/>
      <c r="J1288" s="51"/>
      <c r="K1288" s="51"/>
      <c r="L1288" s="51"/>
      <c r="P1288" s="52"/>
      <c r="Q1288" s="47"/>
    </row>
    <row r="1289" spans="1:17" ht="15" customHeight="1" x14ac:dyDescent="0.3">
      <c r="A1289" s="49"/>
      <c r="B1289" s="49"/>
      <c r="C1289" s="49"/>
      <c r="D1289" s="50"/>
      <c r="E1289" s="50"/>
      <c r="G1289" s="50"/>
      <c r="H1289" s="51"/>
      <c r="I1289" s="39"/>
      <c r="J1289" s="51"/>
      <c r="K1289" s="51"/>
      <c r="L1289" s="51"/>
      <c r="P1289" s="52"/>
      <c r="Q1289" s="47"/>
    </row>
    <row r="1290" spans="1:17" ht="15" customHeight="1" x14ac:dyDescent="0.3">
      <c r="A1290" s="49"/>
      <c r="B1290" s="49"/>
      <c r="C1290" s="49"/>
      <c r="D1290" s="50"/>
      <c r="E1290" s="50"/>
      <c r="G1290" s="50"/>
      <c r="H1290" s="51"/>
      <c r="I1290" s="39"/>
      <c r="J1290" s="51"/>
      <c r="K1290" s="51"/>
      <c r="L1290" s="51"/>
      <c r="P1290" s="52"/>
      <c r="Q1290" s="47"/>
    </row>
    <row r="1291" spans="1:17" ht="15" customHeight="1" x14ac:dyDescent="0.3">
      <c r="A1291" s="49"/>
      <c r="B1291" s="49"/>
      <c r="C1291" s="49"/>
      <c r="D1291" s="50"/>
      <c r="E1291" s="50"/>
      <c r="G1291" s="50"/>
      <c r="H1291" s="51"/>
      <c r="I1291" s="39"/>
      <c r="J1291" s="51"/>
      <c r="K1291" s="51"/>
      <c r="L1291" s="51"/>
      <c r="P1291" s="52"/>
      <c r="Q1291" s="47"/>
    </row>
    <row r="1292" spans="1:17" ht="15" customHeight="1" x14ac:dyDescent="0.3">
      <c r="A1292" s="49"/>
      <c r="B1292" s="49"/>
      <c r="C1292" s="49"/>
      <c r="D1292" s="50"/>
      <c r="E1292" s="50"/>
      <c r="G1292" s="50"/>
      <c r="H1292" s="51"/>
      <c r="I1292" s="39"/>
      <c r="J1292" s="51"/>
      <c r="K1292" s="51"/>
      <c r="L1292" s="51"/>
      <c r="P1292" s="52"/>
      <c r="Q1292" s="47"/>
    </row>
    <row r="1293" spans="1:17" ht="15" customHeight="1" x14ac:dyDescent="0.3">
      <c r="A1293" s="49"/>
      <c r="B1293" s="49"/>
      <c r="C1293" s="49"/>
      <c r="D1293" s="50"/>
      <c r="E1293" s="50"/>
      <c r="G1293" s="50"/>
      <c r="H1293" s="51"/>
      <c r="I1293" s="39"/>
      <c r="J1293" s="51"/>
      <c r="K1293" s="51"/>
      <c r="L1293" s="51"/>
      <c r="P1293" s="52"/>
      <c r="Q1293" s="47"/>
    </row>
    <row r="1294" spans="1:17" ht="15" customHeight="1" x14ac:dyDescent="0.3">
      <c r="A1294" s="49"/>
      <c r="B1294" s="49"/>
      <c r="C1294" s="49"/>
      <c r="D1294" s="50"/>
      <c r="E1294" s="50"/>
      <c r="G1294" s="50"/>
      <c r="H1294" s="51"/>
      <c r="I1294" s="39"/>
      <c r="J1294" s="51"/>
      <c r="K1294" s="51"/>
      <c r="L1294" s="51"/>
      <c r="P1294" s="52"/>
      <c r="Q1294" s="47"/>
    </row>
    <row r="1295" spans="1:17" ht="15" customHeight="1" x14ac:dyDescent="0.3">
      <c r="A1295" s="49"/>
      <c r="B1295" s="49"/>
      <c r="C1295" s="49"/>
      <c r="D1295" s="50"/>
      <c r="E1295" s="50"/>
      <c r="G1295" s="50"/>
      <c r="H1295" s="51"/>
      <c r="I1295" s="39"/>
      <c r="J1295" s="51"/>
      <c r="K1295" s="51"/>
      <c r="L1295" s="51"/>
      <c r="P1295" s="52"/>
      <c r="Q1295" s="47"/>
    </row>
    <row r="1296" spans="1:17" ht="15" customHeight="1" x14ac:dyDescent="0.3">
      <c r="A1296" s="49"/>
      <c r="B1296" s="49"/>
      <c r="C1296" s="49"/>
      <c r="D1296" s="50"/>
      <c r="E1296" s="50"/>
      <c r="G1296" s="50"/>
      <c r="H1296" s="51"/>
      <c r="I1296" s="39"/>
      <c r="J1296" s="51"/>
      <c r="K1296" s="51"/>
      <c r="L1296" s="51"/>
      <c r="P1296" s="52"/>
      <c r="Q1296" s="47"/>
    </row>
    <row r="1297" spans="1:17" ht="15" customHeight="1" x14ac:dyDescent="0.3">
      <c r="A1297" s="49"/>
      <c r="B1297" s="49"/>
      <c r="C1297" s="49"/>
      <c r="D1297" s="50"/>
      <c r="E1297" s="50"/>
      <c r="G1297" s="50"/>
      <c r="H1297" s="51"/>
      <c r="I1297" s="39"/>
      <c r="J1297" s="51"/>
      <c r="K1297" s="51"/>
      <c r="L1297" s="51"/>
      <c r="P1297" s="52"/>
      <c r="Q1297" s="47"/>
    </row>
    <row r="1298" spans="1:17" ht="15" customHeight="1" x14ac:dyDescent="0.3">
      <c r="A1298" s="49"/>
      <c r="B1298" s="49"/>
      <c r="C1298" s="49"/>
      <c r="D1298" s="50"/>
      <c r="E1298" s="50"/>
      <c r="G1298" s="50"/>
      <c r="H1298" s="51"/>
      <c r="I1298" s="39"/>
      <c r="J1298" s="51"/>
      <c r="K1298" s="51"/>
      <c r="L1298" s="51"/>
      <c r="P1298" s="52"/>
      <c r="Q1298" s="47"/>
    </row>
    <row r="1299" spans="1:17" ht="15" customHeight="1" x14ac:dyDescent="0.3">
      <c r="A1299" s="49"/>
      <c r="B1299" s="49"/>
      <c r="C1299" s="49"/>
      <c r="D1299" s="50"/>
      <c r="E1299" s="50"/>
      <c r="G1299" s="50"/>
      <c r="H1299" s="51"/>
      <c r="I1299" s="39"/>
      <c r="J1299" s="51"/>
      <c r="K1299" s="51"/>
      <c r="L1299" s="51"/>
      <c r="P1299" s="52"/>
      <c r="Q1299" s="47"/>
    </row>
    <row r="1300" spans="1:17" ht="15" customHeight="1" x14ac:dyDescent="0.3">
      <c r="A1300" s="49"/>
      <c r="B1300" s="49"/>
      <c r="C1300" s="49"/>
      <c r="D1300" s="50"/>
      <c r="E1300" s="50"/>
      <c r="G1300" s="50"/>
      <c r="H1300" s="51"/>
      <c r="I1300" s="39"/>
      <c r="J1300" s="51"/>
      <c r="K1300" s="51"/>
      <c r="L1300" s="51"/>
      <c r="P1300" s="52"/>
      <c r="Q1300" s="47"/>
    </row>
    <row r="1301" spans="1:17" ht="15" customHeight="1" x14ac:dyDescent="0.3">
      <c r="A1301" s="49"/>
      <c r="B1301" s="49"/>
      <c r="C1301" s="49"/>
      <c r="D1301" s="50"/>
      <c r="E1301" s="50"/>
      <c r="G1301" s="50"/>
      <c r="H1301" s="51"/>
      <c r="I1301" s="39"/>
      <c r="J1301" s="51"/>
      <c r="K1301" s="51"/>
      <c r="L1301" s="51"/>
      <c r="P1301" s="52"/>
      <c r="Q1301" s="47"/>
    </row>
    <row r="1302" spans="1:17" ht="15" customHeight="1" x14ac:dyDescent="0.3">
      <c r="A1302" s="49"/>
      <c r="B1302" s="49"/>
      <c r="C1302" s="49"/>
      <c r="D1302" s="50"/>
      <c r="E1302" s="50"/>
      <c r="G1302" s="50"/>
      <c r="H1302" s="51"/>
      <c r="I1302" s="39"/>
      <c r="J1302" s="51"/>
      <c r="K1302" s="51"/>
      <c r="L1302" s="51"/>
      <c r="P1302" s="52"/>
      <c r="Q1302" s="47"/>
    </row>
    <row r="1303" spans="1:17" ht="15" customHeight="1" x14ac:dyDescent="0.3">
      <c r="A1303" s="49"/>
      <c r="B1303" s="49"/>
      <c r="C1303" s="49"/>
      <c r="D1303" s="50"/>
      <c r="E1303" s="50"/>
      <c r="G1303" s="50"/>
      <c r="H1303" s="51"/>
      <c r="I1303" s="39"/>
      <c r="J1303" s="51"/>
      <c r="K1303" s="51"/>
      <c r="L1303" s="51"/>
      <c r="P1303" s="52"/>
      <c r="Q1303" s="47"/>
    </row>
    <row r="1304" spans="1:17" ht="15" customHeight="1" x14ac:dyDescent="0.3">
      <c r="A1304" s="49"/>
      <c r="B1304" s="49"/>
      <c r="C1304" s="49"/>
      <c r="D1304" s="50"/>
      <c r="E1304" s="50"/>
      <c r="G1304" s="50"/>
      <c r="H1304" s="51"/>
      <c r="I1304" s="39"/>
      <c r="J1304" s="51"/>
      <c r="K1304" s="51"/>
      <c r="L1304" s="51"/>
      <c r="P1304" s="52"/>
      <c r="Q1304" s="47"/>
    </row>
    <row r="1305" spans="1:17" ht="15" customHeight="1" x14ac:dyDescent="0.3">
      <c r="A1305" s="49"/>
      <c r="B1305" s="49"/>
      <c r="C1305" s="49"/>
      <c r="D1305" s="50"/>
      <c r="E1305" s="50"/>
      <c r="G1305" s="50"/>
      <c r="H1305" s="51"/>
      <c r="I1305" s="39"/>
      <c r="J1305" s="51"/>
      <c r="K1305" s="51"/>
      <c r="L1305" s="51"/>
      <c r="P1305" s="52"/>
      <c r="Q1305" s="47"/>
    </row>
    <row r="1306" spans="1:17" ht="15" customHeight="1" x14ac:dyDescent="0.3">
      <c r="A1306" s="49"/>
      <c r="B1306" s="49"/>
      <c r="C1306" s="49"/>
      <c r="D1306" s="50"/>
      <c r="E1306" s="50"/>
      <c r="G1306" s="50"/>
      <c r="H1306" s="51"/>
      <c r="I1306" s="39"/>
      <c r="J1306" s="51"/>
      <c r="K1306" s="51"/>
      <c r="L1306" s="51"/>
      <c r="P1306" s="52"/>
      <c r="Q1306" s="47"/>
    </row>
    <row r="1307" spans="1:17" ht="15" customHeight="1" x14ac:dyDescent="0.3">
      <c r="A1307" s="49"/>
      <c r="B1307" s="49"/>
      <c r="C1307" s="49"/>
      <c r="D1307" s="50"/>
      <c r="E1307" s="50"/>
      <c r="G1307" s="50"/>
      <c r="H1307" s="51"/>
      <c r="I1307" s="39"/>
      <c r="J1307" s="51"/>
      <c r="K1307" s="51"/>
      <c r="L1307" s="51"/>
      <c r="P1307" s="52"/>
      <c r="Q1307" s="47"/>
    </row>
    <row r="1308" spans="1:17" ht="15" customHeight="1" x14ac:dyDescent="0.3">
      <c r="A1308" s="49"/>
      <c r="B1308" s="49"/>
      <c r="C1308" s="49"/>
      <c r="D1308" s="50"/>
      <c r="E1308" s="50"/>
      <c r="G1308" s="50"/>
      <c r="H1308" s="51"/>
      <c r="I1308" s="39"/>
      <c r="J1308" s="51"/>
      <c r="K1308" s="51"/>
      <c r="L1308" s="51"/>
      <c r="P1308" s="52"/>
      <c r="Q1308" s="47"/>
    </row>
    <row r="1309" spans="1:17" ht="15" customHeight="1" x14ac:dyDescent="0.3">
      <c r="A1309" s="49"/>
      <c r="B1309" s="49"/>
      <c r="C1309" s="49"/>
      <c r="D1309" s="50"/>
      <c r="E1309" s="50"/>
      <c r="G1309" s="50"/>
      <c r="H1309" s="51"/>
      <c r="I1309" s="39"/>
      <c r="J1309" s="51"/>
      <c r="K1309" s="51"/>
      <c r="L1309" s="51"/>
      <c r="P1309" s="52"/>
      <c r="Q1309" s="47"/>
    </row>
    <row r="1310" spans="1:17" ht="15" customHeight="1" x14ac:dyDescent="0.3">
      <c r="A1310" s="49"/>
      <c r="B1310" s="49"/>
      <c r="C1310" s="49"/>
      <c r="D1310" s="50"/>
      <c r="E1310" s="50"/>
      <c r="G1310" s="50"/>
      <c r="H1310" s="51"/>
      <c r="I1310" s="39"/>
      <c r="J1310" s="51"/>
      <c r="K1310" s="51"/>
      <c r="L1310" s="51"/>
      <c r="P1310" s="52"/>
      <c r="Q1310" s="47"/>
    </row>
    <row r="1311" spans="1:17" ht="15" customHeight="1" x14ac:dyDescent="0.3">
      <c r="A1311" s="49"/>
      <c r="B1311" s="49"/>
      <c r="C1311" s="49"/>
      <c r="D1311" s="50"/>
      <c r="E1311" s="50"/>
      <c r="G1311" s="50"/>
      <c r="H1311" s="51"/>
      <c r="I1311" s="39"/>
      <c r="J1311" s="51"/>
      <c r="K1311" s="51"/>
      <c r="L1311" s="51"/>
      <c r="P1311" s="52"/>
      <c r="Q1311" s="47"/>
    </row>
    <row r="1312" spans="1:17" ht="15" customHeight="1" x14ac:dyDescent="0.3">
      <c r="A1312" s="49"/>
      <c r="B1312" s="49"/>
      <c r="C1312" s="49"/>
      <c r="D1312" s="50"/>
      <c r="E1312" s="50"/>
      <c r="G1312" s="50"/>
      <c r="H1312" s="51"/>
      <c r="I1312" s="39"/>
      <c r="J1312" s="51"/>
      <c r="K1312" s="51"/>
      <c r="L1312" s="51"/>
      <c r="P1312" s="52"/>
      <c r="Q1312" s="47"/>
    </row>
    <row r="1313" spans="1:17" ht="15" customHeight="1" x14ac:dyDescent="0.3">
      <c r="A1313" s="49"/>
      <c r="B1313" s="49"/>
      <c r="C1313" s="49"/>
      <c r="D1313" s="50"/>
      <c r="E1313" s="50"/>
      <c r="G1313" s="50"/>
      <c r="H1313" s="51"/>
      <c r="I1313" s="39"/>
      <c r="J1313" s="51"/>
      <c r="K1313" s="51"/>
      <c r="L1313" s="51"/>
      <c r="P1313" s="52"/>
      <c r="Q1313" s="47"/>
    </row>
    <row r="1314" spans="1:17" ht="15" customHeight="1" x14ac:dyDescent="0.3">
      <c r="A1314" s="49"/>
      <c r="B1314" s="49"/>
      <c r="C1314" s="49"/>
      <c r="D1314" s="50"/>
      <c r="E1314" s="50"/>
      <c r="G1314" s="50"/>
      <c r="H1314" s="51"/>
      <c r="I1314" s="39"/>
      <c r="J1314" s="51"/>
      <c r="K1314" s="51"/>
      <c r="L1314" s="51"/>
      <c r="P1314" s="52"/>
      <c r="Q1314" s="47"/>
    </row>
    <row r="1315" spans="1:17" ht="15" customHeight="1" x14ac:dyDescent="0.3">
      <c r="A1315" s="49"/>
      <c r="B1315" s="49"/>
      <c r="C1315" s="49"/>
      <c r="D1315" s="50"/>
      <c r="E1315" s="50"/>
      <c r="G1315" s="50"/>
      <c r="H1315" s="51"/>
      <c r="I1315" s="39"/>
      <c r="J1315" s="51"/>
      <c r="K1315" s="51"/>
      <c r="L1315" s="51"/>
      <c r="P1315" s="52"/>
      <c r="Q1315" s="47"/>
    </row>
    <row r="1316" spans="1:17" ht="15" customHeight="1" x14ac:dyDescent="0.3">
      <c r="A1316" s="49"/>
      <c r="B1316" s="49"/>
      <c r="C1316" s="49"/>
      <c r="D1316" s="50"/>
      <c r="E1316" s="50"/>
      <c r="G1316" s="50"/>
      <c r="H1316" s="51"/>
      <c r="I1316" s="39"/>
      <c r="J1316" s="51"/>
      <c r="K1316" s="51"/>
      <c r="L1316" s="51"/>
      <c r="P1316" s="52"/>
      <c r="Q1316" s="47"/>
    </row>
    <row r="1317" spans="1:17" ht="15" customHeight="1" x14ac:dyDescent="0.3">
      <c r="A1317" s="49"/>
      <c r="B1317" s="49"/>
      <c r="C1317" s="49"/>
      <c r="D1317" s="50"/>
      <c r="E1317" s="50"/>
      <c r="G1317" s="50"/>
      <c r="H1317" s="51"/>
      <c r="I1317" s="39"/>
      <c r="J1317" s="51"/>
      <c r="K1317" s="51"/>
      <c r="L1317" s="51"/>
      <c r="P1317" s="52"/>
      <c r="Q1317" s="47"/>
    </row>
    <row r="1318" spans="1:17" ht="15" customHeight="1" x14ac:dyDescent="0.3">
      <c r="A1318" s="49"/>
      <c r="B1318" s="49"/>
      <c r="C1318" s="49"/>
      <c r="D1318" s="50"/>
      <c r="E1318" s="50"/>
      <c r="G1318" s="50"/>
      <c r="H1318" s="51"/>
      <c r="I1318" s="39"/>
      <c r="J1318" s="51"/>
      <c r="K1318" s="51"/>
      <c r="L1318" s="51"/>
      <c r="P1318" s="52"/>
      <c r="Q1318" s="47"/>
    </row>
    <row r="1319" spans="1:17" ht="15" customHeight="1" x14ac:dyDescent="0.3">
      <c r="A1319" s="49"/>
      <c r="B1319" s="49"/>
      <c r="C1319" s="49"/>
      <c r="D1319" s="50"/>
      <c r="E1319" s="50"/>
      <c r="G1319" s="50"/>
      <c r="H1319" s="51"/>
      <c r="I1319" s="39"/>
      <c r="J1319" s="51"/>
      <c r="K1319" s="51"/>
      <c r="L1319" s="51"/>
      <c r="P1319" s="52"/>
      <c r="Q1319" s="47"/>
    </row>
    <row r="1320" spans="1:17" ht="15" customHeight="1" x14ac:dyDescent="0.3">
      <c r="A1320" s="49"/>
      <c r="B1320" s="49"/>
      <c r="C1320" s="49"/>
      <c r="D1320" s="50"/>
      <c r="E1320" s="50"/>
      <c r="G1320" s="50"/>
      <c r="H1320" s="51"/>
      <c r="I1320" s="39"/>
      <c r="J1320" s="51"/>
      <c r="K1320" s="51"/>
      <c r="L1320" s="51"/>
      <c r="P1320" s="52"/>
      <c r="Q1320" s="47"/>
    </row>
    <row r="1321" spans="1:17" ht="15" customHeight="1" x14ac:dyDescent="0.3">
      <c r="A1321" s="49"/>
      <c r="B1321" s="49"/>
      <c r="C1321" s="49"/>
      <c r="D1321" s="50"/>
      <c r="E1321" s="50"/>
      <c r="G1321" s="50"/>
      <c r="H1321" s="51"/>
      <c r="I1321" s="39"/>
      <c r="J1321" s="51"/>
      <c r="K1321" s="51"/>
      <c r="L1321" s="51"/>
      <c r="P1321" s="52"/>
      <c r="Q1321" s="47"/>
    </row>
    <row r="1322" spans="1:17" ht="15" customHeight="1" x14ac:dyDescent="0.3">
      <c r="A1322" s="49"/>
      <c r="B1322" s="49"/>
      <c r="C1322" s="49"/>
      <c r="D1322" s="50"/>
      <c r="E1322" s="50"/>
      <c r="F1322" s="50"/>
      <c r="G1322" s="50"/>
      <c r="H1322" s="51"/>
      <c r="I1322" s="39"/>
      <c r="J1322" s="51"/>
      <c r="K1322" s="51"/>
      <c r="L1322" s="51"/>
      <c r="P1322" s="52"/>
      <c r="Q1322" s="47"/>
    </row>
    <row r="1323" spans="1:17" ht="15" customHeight="1" x14ac:dyDescent="0.3">
      <c r="A1323" s="49"/>
      <c r="B1323" s="49"/>
      <c r="C1323" s="49"/>
      <c r="D1323" s="50"/>
      <c r="E1323" s="50"/>
      <c r="F1323" s="50"/>
      <c r="G1323" s="50"/>
      <c r="H1323" s="51"/>
      <c r="I1323" s="39"/>
      <c r="J1323" s="51"/>
      <c r="K1323" s="51"/>
      <c r="L1323" s="51"/>
      <c r="P1323" s="52"/>
      <c r="Q1323" s="47"/>
    </row>
    <row r="1324" spans="1:17" ht="15" customHeight="1" x14ac:dyDescent="0.3">
      <c r="A1324" s="49"/>
      <c r="B1324" s="49"/>
      <c r="C1324" s="49"/>
      <c r="D1324" s="50"/>
      <c r="E1324" s="50"/>
      <c r="F1324" s="50"/>
      <c r="G1324" s="50"/>
      <c r="H1324" s="51"/>
      <c r="I1324" s="39"/>
      <c r="J1324" s="51"/>
      <c r="K1324" s="51"/>
      <c r="L1324" s="51"/>
      <c r="P1324" s="52"/>
      <c r="Q1324" s="47"/>
    </row>
    <row r="1325" spans="1:17" ht="15" customHeight="1" x14ac:dyDescent="0.3">
      <c r="A1325" s="49"/>
      <c r="B1325" s="49"/>
      <c r="C1325" s="49"/>
      <c r="D1325" s="50"/>
      <c r="E1325" s="50"/>
      <c r="F1325" s="50"/>
      <c r="G1325" s="50"/>
      <c r="H1325" s="51"/>
      <c r="I1325" s="39"/>
      <c r="J1325" s="51"/>
      <c r="K1325" s="51"/>
      <c r="L1325" s="51"/>
      <c r="P1325" s="52"/>
      <c r="Q1325" s="47"/>
    </row>
    <row r="1326" spans="1:17" ht="15" customHeight="1" x14ac:dyDescent="0.3">
      <c r="A1326" s="49"/>
      <c r="B1326" s="49"/>
      <c r="C1326" s="49"/>
      <c r="D1326" s="50"/>
      <c r="E1326" s="50"/>
      <c r="F1326" s="50"/>
      <c r="G1326" s="50"/>
      <c r="H1326" s="51"/>
      <c r="I1326" s="39"/>
      <c r="J1326" s="51"/>
      <c r="K1326" s="51"/>
      <c r="L1326" s="51"/>
      <c r="P1326" s="52"/>
      <c r="Q1326" s="47"/>
    </row>
    <row r="1327" spans="1:17" ht="15" customHeight="1" x14ac:dyDescent="0.3">
      <c r="A1327" s="49"/>
      <c r="B1327" s="49"/>
      <c r="C1327" s="49"/>
      <c r="D1327" s="50"/>
      <c r="E1327" s="50"/>
      <c r="F1327" s="50"/>
      <c r="G1327" s="50"/>
      <c r="H1327" s="51"/>
      <c r="I1327" s="39"/>
      <c r="J1327" s="51"/>
      <c r="K1327" s="51"/>
      <c r="L1327" s="51"/>
      <c r="P1327" s="52"/>
      <c r="Q1327" s="47"/>
    </row>
    <row r="1328" spans="1:17" ht="15" customHeight="1" x14ac:dyDescent="0.3">
      <c r="A1328" s="49"/>
      <c r="B1328" s="49"/>
      <c r="C1328" s="49"/>
      <c r="D1328" s="50"/>
      <c r="E1328" s="50"/>
      <c r="F1328" s="50"/>
      <c r="G1328" s="50"/>
      <c r="H1328" s="51"/>
      <c r="I1328" s="39"/>
      <c r="J1328" s="51"/>
      <c r="K1328" s="51"/>
      <c r="L1328" s="51"/>
      <c r="P1328" s="52"/>
      <c r="Q1328" s="47"/>
    </row>
    <row r="1329" spans="1:17" ht="15" customHeight="1" x14ac:dyDescent="0.3">
      <c r="A1329" s="49"/>
      <c r="B1329" s="49"/>
      <c r="C1329" s="49"/>
      <c r="D1329" s="50"/>
      <c r="E1329" s="50"/>
      <c r="F1329" s="50"/>
      <c r="G1329" s="50"/>
      <c r="H1329" s="51"/>
      <c r="I1329" s="39"/>
      <c r="J1329" s="51"/>
      <c r="K1329" s="51"/>
      <c r="L1329" s="51"/>
      <c r="P1329" s="52"/>
      <c r="Q1329" s="47"/>
    </row>
    <row r="1330" spans="1:17" ht="15" customHeight="1" x14ac:dyDescent="0.3">
      <c r="A1330" s="49"/>
      <c r="B1330" s="49"/>
      <c r="C1330" s="49"/>
      <c r="D1330" s="50"/>
      <c r="E1330" s="50"/>
      <c r="F1330" s="50"/>
      <c r="G1330" s="50"/>
      <c r="H1330" s="51"/>
      <c r="I1330" s="39"/>
      <c r="J1330" s="51"/>
      <c r="K1330" s="51"/>
      <c r="L1330" s="51"/>
      <c r="P1330" s="52"/>
      <c r="Q1330" s="47"/>
    </row>
    <row r="1331" spans="1:17" ht="15" customHeight="1" x14ac:dyDescent="0.3">
      <c r="A1331" s="49"/>
      <c r="B1331" s="49"/>
      <c r="C1331" s="49"/>
      <c r="D1331" s="50"/>
      <c r="E1331" s="50"/>
      <c r="F1331" s="50"/>
      <c r="G1331" s="50"/>
      <c r="H1331" s="51"/>
      <c r="I1331" s="39"/>
      <c r="J1331" s="51"/>
      <c r="K1331" s="51"/>
      <c r="L1331" s="51"/>
      <c r="P1331" s="52"/>
      <c r="Q1331" s="47"/>
    </row>
    <row r="1332" spans="1:17" ht="15" customHeight="1" x14ac:dyDescent="0.3">
      <c r="A1332" s="49"/>
      <c r="B1332" s="49"/>
      <c r="C1332" s="49"/>
      <c r="D1332" s="50"/>
      <c r="E1332" s="50"/>
      <c r="F1332" s="50"/>
      <c r="G1332" s="50"/>
      <c r="H1332" s="51"/>
      <c r="I1332" s="39"/>
      <c r="J1332" s="51"/>
      <c r="K1332" s="51"/>
      <c r="L1332" s="51"/>
      <c r="P1332" s="52"/>
      <c r="Q1332" s="47"/>
    </row>
    <row r="1333" spans="1:17" ht="15" customHeight="1" x14ac:dyDescent="0.3">
      <c r="A1333" s="49"/>
      <c r="B1333" s="49"/>
      <c r="C1333" s="49"/>
      <c r="D1333" s="50"/>
      <c r="E1333" s="50"/>
      <c r="F1333" s="50"/>
      <c r="G1333" s="50"/>
      <c r="H1333" s="51"/>
      <c r="I1333" s="39"/>
      <c r="J1333" s="51"/>
      <c r="K1333" s="51"/>
      <c r="L1333" s="51"/>
      <c r="P1333" s="52"/>
      <c r="Q1333" s="47"/>
    </row>
    <row r="1334" spans="1:17" ht="15" customHeight="1" x14ac:dyDescent="0.3">
      <c r="A1334" s="49"/>
      <c r="B1334" s="49"/>
      <c r="C1334" s="49"/>
      <c r="D1334" s="50"/>
      <c r="E1334" s="50"/>
      <c r="F1334" s="50"/>
      <c r="G1334" s="50"/>
      <c r="H1334" s="51"/>
      <c r="I1334" s="39"/>
      <c r="J1334" s="51"/>
      <c r="K1334" s="51"/>
      <c r="L1334" s="51"/>
      <c r="P1334" s="52"/>
      <c r="Q1334" s="47"/>
    </row>
    <row r="1335" spans="1:17" ht="15" customHeight="1" x14ac:dyDescent="0.3">
      <c r="A1335" s="49"/>
      <c r="B1335" s="49"/>
      <c r="C1335" s="49"/>
      <c r="D1335" s="50"/>
      <c r="E1335" s="50"/>
      <c r="F1335" s="50"/>
      <c r="G1335" s="50"/>
      <c r="H1335" s="51"/>
      <c r="I1335" s="39"/>
      <c r="J1335" s="51"/>
      <c r="K1335" s="51"/>
      <c r="L1335" s="51"/>
      <c r="P1335" s="52"/>
      <c r="Q1335" s="47"/>
    </row>
    <row r="1336" spans="1:17" ht="15" customHeight="1" x14ac:dyDescent="0.3">
      <c r="A1336" s="49"/>
      <c r="B1336" s="49"/>
      <c r="C1336" s="49"/>
      <c r="D1336" s="50"/>
      <c r="E1336" s="50"/>
      <c r="F1336" s="50"/>
      <c r="G1336" s="50"/>
      <c r="H1336" s="51"/>
      <c r="I1336" s="39"/>
      <c r="J1336" s="51"/>
      <c r="K1336" s="51"/>
      <c r="L1336" s="51"/>
      <c r="P1336" s="52"/>
      <c r="Q1336" s="47"/>
    </row>
    <row r="1337" spans="1:17" ht="15" customHeight="1" x14ac:dyDescent="0.3">
      <c r="A1337" s="49"/>
      <c r="B1337" s="49"/>
      <c r="C1337" s="49"/>
      <c r="D1337" s="50"/>
      <c r="E1337" s="50"/>
      <c r="F1337" s="50"/>
      <c r="G1337" s="50"/>
      <c r="H1337" s="51"/>
      <c r="I1337" s="39"/>
      <c r="J1337" s="51"/>
      <c r="K1337" s="51"/>
      <c r="L1337" s="51"/>
      <c r="P1337" s="52"/>
      <c r="Q1337" s="47"/>
    </row>
    <row r="1338" spans="1:17" ht="15" customHeight="1" x14ac:dyDescent="0.3">
      <c r="A1338" s="49"/>
      <c r="B1338" s="49"/>
      <c r="C1338" s="49"/>
      <c r="D1338" s="50"/>
      <c r="E1338" s="50"/>
      <c r="F1338" s="50"/>
      <c r="G1338" s="50"/>
      <c r="H1338" s="51"/>
      <c r="I1338" s="39"/>
      <c r="J1338" s="51"/>
      <c r="K1338" s="51"/>
      <c r="L1338" s="51"/>
      <c r="P1338" s="52"/>
      <c r="Q1338" s="47"/>
    </row>
    <row r="1339" spans="1:17" ht="15" customHeight="1" x14ac:dyDescent="0.3">
      <c r="A1339" s="49"/>
      <c r="B1339" s="49"/>
      <c r="C1339" s="49"/>
      <c r="D1339" s="50"/>
      <c r="E1339" s="50"/>
      <c r="F1339" s="50"/>
      <c r="G1339" s="50"/>
      <c r="H1339" s="51"/>
      <c r="I1339" s="39"/>
      <c r="J1339" s="51"/>
      <c r="K1339" s="51"/>
      <c r="L1339" s="51"/>
      <c r="P1339" s="52"/>
      <c r="Q1339" s="47"/>
    </row>
    <row r="1340" spans="1:17" ht="15" customHeight="1" x14ac:dyDescent="0.3">
      <c r="A1340" s="49"/>
      <c r="B1340" s="49"/>
      <c r="C1340" s="49"/>
      <c r="D1340" s="50"/>
      <c r="E1340" s="50"/>
      <c r="F1340" s="50"/>
      <c r="G1340" s="50"/>
      <c r="H1340" s="51"/>
      <c r="I1340" s="39"/>
      <c r="J1340" s="51"/>
      <c r="K1340" s="51"/>
      <c r="L1340" s="51"/>
      <c r="P1340" s="52"/>
      <c r="Q1340" s="47"/>
    </row>
    <row r="1341" spans="1:17" ht="15" customHeight="1" x14ac:dyDescent="0.3">
      <c r="A1341" s="49"/>
      <c r="B1341" s="49"/>
      <c r="C1341" s="49"/>
      <c r="D1341" s="50"/>
      <c r="E1341" s="50"/>
      <c r="F1341" s="50"/>
      <c r="G1341" s="50"/>
      <c r="H1341" s="51"/>
      <c r="I1341" s="39"/>
      <c r="J1341" s="51"/>
      <c r="K1341" s="51"/>
      <c r="L1341" s="51"/>
      <c r="P1341" s="52"/>
      <c r="Q1341" s="47"/>
    </row>
    <row r="1342" spans="1:17" ht="15" customHeight="1" x14ac:dyDescent="0.3">
      <c r="A1342" s="49"/>
      <c r="B1342" s="49"/>
      <c r="C1342" s="49"/>
      <c r="D1342" s="50"/>
      <c r="E1342" s="50"/>
      <c r="F1342" s="50"/>
      <c r="G1342" s="50"/>
      <c r="H1342" s="51"/>
      <c r="I1342" s="39"/>
      <c r="J1342" s="51"/>
      <c r="K1342" s="51"/>
      <c r="L1342" s="51"/>
      <c r="P1342" s="52"/>
      <c r="Q1342" s="47"/>
    </row>
    <row r="1343" spans="1:17" ht="15" customHeight="1" x14ac:dyDescent="0.3">
      <c r="A1343" s="49"/>
      <c r="B1343" s="49"/>
      <c r="C1343" s="49"/>
      <c r="D1343" s="50"/>
      <c r="E1343" s="50"/>
      <c r="F1343" s="50"/>
      <c r="G1343" s="50"/>
      <c r="H1343" s="51"/>
      <c r="I1343" s="39"/>
      <c r="J1343" s="51"/>
      <c r="K1343" s="51"/>
      <c r="L1343" s="51"/>
      <c r="P1343" s="52"/>
      <c r="Q1343" s="47"/>
    </row>
    <row r="1344" spans="1:17" ht="15" customHeight="1" x14ac:dyDescent="0.3">
      <c r="A1344" s="49"/>
      <c r="B1344" s="49"/>
      <c r="C1344" s="49"/>
      <c r="D1344" s="50"/>
      <c r="E1344" s="50"/>
      <c r="F1344" s="50"/>
      <c r="G1344" s="50"/>
      <c r="H1344" s="51"/>
      <c r="I1344" s="39"/>
      <c r="J1344" s="51"/>
      <c r="K1344" s="51"/>
      <c r="L1344" s="51"/>
      <c r="P1344" s="52"/>
      <c r="Q1344" s="47"/>
    </row>
    <row r="1345" spans="1:17" ht="15" customHeight="1" x14ac:dyDescent="0.3">
      <c r="A1345" s="49"/>
      <c r="B1345" s="49"/>
      <c r="C1345" s="49"/>
      <c r="D1345" s="50"/>
      <c r="E1345" s="50"/>
      <c r="F1345" s="50"/>
      <c r="G1345" s="50"/>
      <c r="H1345" s="51"/>
      <c r="I1345" s="39"/>
      <c r="J1345" s="51"/>
      <c r="K1345" s="51"/>
      <c r="L1345" s="51"/>
      <c r="P1345" s="52"/>
      <c r="Q1345" s="47"/>
    </row>
    <row r="1346" spans="1:17" ht="15" customHeight="1" x14ac:dyDescent="0.3">
      <c r="A1346" s="49"/>
      <c r="B1346" s="49"/>
      <c r="C1346" s="49"/>
      <c r="D1346" s="50"/>
      <c r="E1346" s="50"/>
      <c r="F1346" s="50"/>
      <c r="G1346" s="50"/>
      <c r="H1346" s="51"/>
      <c r="I1346" s="39"/>
      <c r="J1346" s="51"/>
      <c r="K1346" s="51"/>
      <c r="L1346" s="51"/>
      <c r="P1346" s="52"/>
      <c r="Q1346" s="47"/>
    </row>
    <row r="1347" spans="1:17" ht="15" customHeight="1" x14ac:dyDescent="0.3">
      <c r="A1347" s="49"/>
      <c r="B1347" s="49"/>
      <c r="C1347" s="49"/>
      <c r="D1347" s="50"/>
      <c r="E1347" s="50"/>
      <c r="F1347" s="50"/>
      <c r="G1347" s="50"/>
      <c r="H1347" s="51"/>
      <c r="I1347" s="39"/>
      <c r="J1347" s="51"/>
      <c r="K1347" s="51"/>
      <c r="L1347" s="51"/>
      <c r="P1347" s="52"/>
      <c r="Q1347" s="47"/>
    </row>
    <row r="1348" spans="1:17" ht="15" customHeight="1" x14ac:dyDescent="0.3">
      <c r="A1348" s="49"/>
      <c r="B1348" s="49"/>
      <c r="C1348" s="49"/>
      <c r="D1348" s="50"/>
      <c r="E1348" s="50"/>
      <c r="F1348" s="50"/>
      <c r="G1348" s="50"/>
      <c r="H1348" s="51"/>
      <c r="I1348" s="39"/>
      <c r="J1348" s="51"/>
      <c r="K1348" s="51"/>
      <c r="L1348" s="51"/>
      <c r="P1348" s="52"/>
      <c r="Q1348" s="47"/>
    </row>
    <row r="1349" spans="1:17" ht="15" customHeight="1" x14ac:dyDescent="0.3">
      <c r="A1349" s="49"/>
      <c r="B1349" s="49"/>
      <c r="C1349" s="49"/>
      <c r="D1349" s="50"/>
      <c r="E1349" s="50"/>
      <c r="F1349" s="50"/>
      <c r="G1349" s="50"/>
      <c r="H1349" s="51"/>
      <c r="I1349" s="39"/>
      <c r="J1349" s="51"/>
      <c r="K1349" s="51"/>
      <c r="L1349" s="51"/>
      <c r="P1349" s="52"/>
      <c r="Q1349" s="47"/>
    </row>
    <row r="1350" spans="1:17" ht="15" customHeight="1" x14ac:dyDescent="0.3">
      <c r="A1350" s="49"/>
      <c r="B1350" s="49"/>
      <c r="C1350" s="49"/>
      <c r="D1350" s="50"/>
      <c r="E1350" s="50"/>
      <c r="F1350" s="50"/>
      <c r="G1350" s="50"/>
      <c r="H1350" s="51"/>
      <c r="I1350" s="39"/>
      <c r="J1350" s="51"/>
      <c r="K1350" s="51"/>
      <c r="L1350" s="51"/>
      <c r="P1350" s="52"/>
      <c r="Q1350" s="47"/>
    </row>
    <row r="1351" spans="1:17" ht="15" customHeight="1" x14ac:dyDescent="0.3">
      <c r="A1351" s="49"/>
      <c r="B1351" s="49"/>
      <c r="C1351" s="49"/>
      <c r="D1351" s="50"/>
      <c r="E1351" s="50"/>
      <c r="F1351" s="50"/>
      <c r="G1351" s="50"/>
      <c r="H1351" s="51"/>
      <c r="I1351" s="39"/>
      <c r="J1351" s="51"/>
      <c r="K1351" s="51"/>
      <c r="L1351" s="51"/>
      <c r="P1351" s="52"/>
      <c r="Q1351" s="47"/>
    </row>
    <row r="1352" spans="1:17" ht="15" customHeight="1" x14ac:dyDescent="0.3">
      <c r="A1352" s="49"/>
      <c r="B1352" s="49"/>
      <c r="C1352" s="49"/>
      <c r="D1352" s="50"/>
      <c r="E1352" s="50"/>
      <c r="F1352" s="50"/>
      <c r="G1352" s="50"/>
      <c r="H1352" s="51"/>
      <c r="I1352" s="39"/>
      <c r="J1352" s="51"/>
      <c r="K1352" s="51"/>
      <c r="L1352" s="51"/>
      <c r="P1352" s="52"/>
      <c r="Q1352" s="47"/>
    </row>
    <row r="1353" spans="1:17" ht="15" customHeight="1" x14ac:dyDescent="0.3">
      <c r="A1353" s="49"/>
      <c r="B1353" s="49"/>
      <c r="C1353" s="49"/>
      <c r="D1353" s="50"/>
      <c r="E1353" s="50"/>
      <c r="F1353" s="50"/>
      <c r="G1353" s="50"/>
      <c r="H1353" s="51"/>
      <c r="I1353" s="39"/>
      <c r="J1353" s="51"/>
      <c r="K1353" s="51"/>
      <c r="L1353" s="51"/>
      <c r="P1353" s="52"/>
      <c r="Q1353" s="47"/>
    </row>
    <row r="1354" spans="1:17" ht="15" customHeight="1" x14ac:dyDescent="0.3">
      <c r="A1354" s="49"/>
      <c r="B1354" s="49"/>
      <c r="C1354" s="49"/>
      <c r="D1354" s="50"/>
      <c r="E1354" s="50"/>
      <c r="F1354" s="50"/>
      <c r="G1354" s="50"/>
      <c r="H1354" s="51"/>
      <c r="I1354" s="39"/>
      <c r="J1354" s="51"/>
      <c r="K1354" s="51"/>
      <c r="L1354" s="51"/>
      <c r="P1354" s="52"/>
      <c r="Q1354" s="47"/>
    </row>
    <row r="1355" spans="1:17" ht="15" customHeight="1" x14ac:dyDescent="0.3">
      <c r="A1355" s="49"/>
      <c r="B1355" s="49"/>
      <c r="C1355" s="49"/>
      <c r="D1355" s="50"/>
      <c r="E1355" s="50"/>
      <c r="F1355" s="50"/>
      <c r="G1355" s="50"/>
      <c r="H1355" s="51"/>
      <c r="I1355" s="39"/>
      <c r="J1355" s="51"/>
      <c r="K1355" s="51"/>
      <c r="L1355" s="51"/>
      <c r="P1355" s="52"/>
      <c r="Q1355" s="47"/>
    </row>
    <row r="1356" spans="1:17" ht="15" customHeight="1" x14ac:dyDescent="0.3">
      <c r="A1356" s="49"/>
      <c r="B1356" s="49"/>
      <c r="C1356" s="49"/>
      <c r="D1356" s="50"/>
      <c r="E1356" s="50"/>
      <c r="F1356" s="50"/>
      <c r="G1356" s="50"/>
      <c r="H1356" s="51"/>
      <c r="I1356" s="39"/>
      <c r="J1356" s="51"/>
      <c r="K1356" s="51"/>
      <c r="L1356" s="51"/>
      <c r="P1356" s="52"/>
      <c r="Q1356" s="47"/>
    </row>
    <row r="1357" spans="1:17" ht="15" customHeight="1" x14ac:dyDescent="0.3">
      <c r="A1357" s="49"/>
      <c r="B1357" s="49"/>
      <c r="C1357" s="49"/>
      <c r="D1357" s="50"/>
      <c r="E1357" s="50"/>
      <c r="F1357" s="50"/>
      <c r="G1357" s="50"/>
      <c r="H1357" s="51"/>
      <c r="I1357" s="39"/>
      <c r="J1357" s="51"/>
      <c r="K1357" s="51"/>
      <c r="L1357" s="51"/>
      <c r="P1357" s="52"/>
      <c r="Q1357" s="47"/>
    </row>
    <row r="1358" spans="1:17" ht="15" customHeight="1" x14ac:dyDescent="0.3">
      <c r="A1358" s="49"/>
      <c r="B1358" s="49"/>
      <c r="C1358" s="49"/>
      <c r="D1358" s="50"/>
      <c r="E1358" s="50"/>
      <c r="F1358" s="50"/>
      <c r="G1358" s="50"/>
      <c r="H1358" s="51"/>
      <c r="I1358" s="39"/>
      <c r="J1358" s="51"/>
      <c r="K1358" s="51"/>
      <c r="L1358" s="51"/>
      <c r="P1358" s="52"/>
      <c r="Q1358" s="47"/>
    </row>
    <row r="1359" spans="1:17" ht="15" customHeight="1" x14ac:dyDescent="0.3">
      <c r="A1359" s="49"/>
      <c r="B1359" s="49"/>
      <c r="C1359" s="49"/>
      <c r="D1359" s="50"/>
      <c r="E1359" s="50"/>
      <c r="F1359" s="50"/>
      <c r="G1359" s="50"/>
      <c r="H1359" s="51"/>
      <c r="I1359" s="39"/>
      <c r="J1359" s="51"/>
      <c r="K1359" s="51"/>
      <c r="L1359" s="51"/>
      <c r="P1359" s="52"/>
      <c r="Q1359" s="47"/>
    </row>
    <row r="1360" spans="1:17" ht="15" customHeight="1" x14ac:dyDescent="0.3">
      <c r="A1360" s="49"/>
      <c r="B1360" s="49"/>
      <c r="C1360" s="49"/>
      <c r="D1360" s="50"/>
      <c r="E1360" s="50"/>
      <c r="F1360" s="50"/>
      <c r="G1360" s="50"/>
      <c r="H1360" s="51"/>
      <c r="I1360" s="39"/>
      <c r="J1360" s="51"/>
      <c r="K1360" s="51"/>
      <c r="L1360" s="51"/>
      <c r="P1360" s="52"/>
      <c r="Q1360" s="47"/>
    </row>
    <row r="1361" spans="1:17" ht="15" customHeight="1" x14ac:dyDescent="0.3">
      <c r="A1361" s="49"/>
      <c r="B1361" s="49"/>
      <c r="C1361" s="49"/>
      <c r="D1361" s="50"/>
      <c r="E1361" s="50"/>
      <c r="F1361" s="50"/>
      <c r="G1361" s="50"/>
      <c r="H1361" s="51"/>
      <c r="I1361" s="39"/>
      <c r="J1361" s="51"/>
      <c r="K1361" s="51"/>
      <c r="L1361" s="51"/>
      <c r="P1361" s="52"/>
      <c r="Q1361" s="47"/>
    </row>
    <row r="1362" spans="1:17" ht="15" customHeight="1" x14ac:dyDescent="0.3">
      <c r="A1362" s="49"/>
      <c r="B1362" s="49"/>
      <c r="C1362" s="49"/>
      <c r="D1362" s="50"/>
      <c r="E1362" s="50"/>
      <c r="F1362" s="50"/>
      <c r="G1362" s="50"/>
      <c r="H1362" s="51"/>
      <c r="I1362" s="39"/>
      <c r="J1362" s="51"/>
      <c r="K1362" s="51"/>
      <c r="L1362" s="51"/>
      <c r="P1362" s="52"/>
      <c r="Q1362" s="47"/>
    </row>
    <row r="1363" spans="1:17" ht="15" customHeight="1" x14ac:dyDescent="0.3">
      <c r="A1363" s="49"/>
      <c r="B1363" s="49"/>
      <c r="C1363" s="49"/>
      <c r="D1363" s="50"/>
      <c r="E1363" s="50"/>
      <c r="F1363" s="50"/>
      <c r="G1363" s="50"/>
      <c r="H1363" s="51"/>
      <c r="I1363" s="39"/>
      <c r="J1363" s="51"/>
      <c r="K1363" s="51"/>
      <c r="L1363" s="51"/>
      <c r="P1363" s="52"/>
      <c r="Q1363" s="47"/>
    </row>
    <row r="1364" spans="1:17" ht="15" customHeight="1" x14ac:dyDescent="0.3">
      <c r="A1364" s="49"/>
      <c r="B1364" s="49"/>
      <c r="C1364" s="49"/>
      <c r="D1364" s="50"/>
      <c r="E1364" s="50"/>
      <c r="F1364" s="50"/>
      <c r="G1364" s="50"/>
      <c r="H1364" s="51"/>
      <c r="I1364" s="39"/>
      <c r="J1364" s="51"/>
      <c r="K1364" s="51"/>
      <c r="L1364" s="51"/>
      <c r="P1364" s="52"/>
      <c r="Q1364" s="47"/>
    </row>
    <row r="1365" spans="1:17" ht="15" customHeight="1" x14ac:dyDescent="0.3">
      <c r="A1365" s="49"/>
      <c r="B1365" s="49"/>
      <c r="C1365" s="49"/>
      <c r="D1365" s="50"/>
      <c r="E1365" s="50"/>
      <c r="F1365" s="50"/>
      <c r="G1365" s="50"/>
      <c r="H1365" s="51"/>
      <c r="I1365" s="39"/>
      <c r="J1365" s="51"/>
      <c r="K1365" s="51"/>
      <c r="L1365" s="51"/>
      <c r="P1365" s="52"/>
      <c r="Q1365" s="47"/>
    </row>
    <row r="1366" spans="1:17" ht="15" customHeight="1" x14ac:dyDescent="0.3">
      <c r="A1366" s="49"/>
      <c r="B1366" s="49"/>
      <c r="C1366" s="49"/>
      <c r="D1366" s="50"/>
      <c r="E1366" s="50"/>
      <c r="F1366" s="50"/>
      <c r="G1366" s="50"/>
      <c r="H1366" s="51"/>
      <c r="I1366" s="39"/>
      <c r="J1366" s="51"/>
      <c r="K1366" s="51"/>
      <c r="L1366" s="51"/>
      <c r="P1366" s="52"/>
      <c r="Q1366" s="47"/>
    </row>
    <row r="1367" spans="1:17" ht="15" customHeight="1" x14ac:dyDescent="0.3">
      <c r="A1367" s="49"/>
      <c r="B1367" s="49"/>
      <c r="C1367" s="49"/>
      <c r="D1367" s="50"/>
      <c r="E1367" s="50"/>
      <c r="F1367" s="50"/>
      <c r="G1367" s="50"/>
      <c r="H1367" s="51"/>
      <c r="I1367" s="39"/>
      <c r="J1367" s="51"/>
      <c r="K1367" s="51"/>
      <c r="L1367" s="51"/>
      <c r="P1367" s="52"/>
      <c r="Q1367" s="47"/>
    </row>
    <row r="1368" spans="1:17" ht="15" customHeight="1" x14ac:dyDescent="0.3">
      <c r="A1368" s="49"/>
      <c r="B1368" s="49"/>
      <c r="C1368" s="49"/>
      <c r="D1368" s="50"/>
      <c r="E1368" s="50"/>
      <c r="F1368" s="50"/>
      <c r="G1368" s="50"/>
      <c r="H1368" s="51"/>
      <c r="I1368" s="39"/>
      <c r="J1368" s="51"/>
      <c r="K1368" s="51"/>
      <c r="L1368" s="51"/>
      <c r="P1368" s="52"/>
      <c r="Q1368" s="47"/>
    </row>
    <row r="1369" spans="1:17" ht="15" customHeight="1" x14ac:dyDescent="0.3">
      <c r="A1369" s="49"/>
      <c r="B1369" s="49"/>
      <c r="C1369" s="49"/>
      <c r="D1369" s="50"/>
      <c r="E1369" s="50"/>
      <c r="F1369" s="50"/>
      <c r="G1369" s="50"/>
      <c r="H1369" s="51"/>
      <c r="I1369" s="39"/>
      <c r="J1369" s="51"/>
      <c r="K1369" s="51"/>
      <c r="L1369" s="51"/>
      <c r="P1369" s="52"/>
      <c r="Q1369" s="47"/>
    </row>
    <row r="1370" spans="1:17" ht="15" customHeight="1" x14ac:dyDescent="0.3">
      <c r="A1370" s="49"/>
      <c r="B1370" s="49"/>
      <c r="C1370" s="49"/>
      <c r="D1370" s="50"/>
      <c r="E1370" s="50"/>
      <c r="F1370" s="50"/>
      <c r="G1370" s="50"/>
      <c r="H1370" s="51"/>
      <c r="I1370" s="39"/>
      <c r="J1370" s="51"/>
      <c r="K1370" s="51"/>
      <c r="L1370" s="51"/>
      <c r="P1370" s="52"/>
      <c r="Q1370" s="47"/>
    </row>
    <row r="1371" spans="1:17" ht="15" customHeight="1" x14ac:dyDescent="0.3">
      <c r="A1371" s="49"/>
      <c r="B1371" s="49"/>
      <c r="C1371" s="49"/>
      <c r="D1371" s="50"/>
      <c r="E1371" s="50"/>
      <c r="F1371" s="50"/>
      <c r="G1371" s="50"/>
      <c r="H1371" s="51"/>
      <c r="I1371" s="39"/>
      <c r="J1371" s="51"/>
      <c r="K1371" s="51"/>
      <c r="L1371" s="51"/>
      <c r="P1371" s="52"/>
      <c r="Q1371" s="47"/>
    </row>
    <row r="1372" spans="1:17" ht="15" customHeight="1" x14ac:dyDescent="0.3">
      <c r="A1372" s="49"/>
      <c r="B1372" s="49"/>
      <c r="C1372" s="49"/>
      <c r="D1372" s="50"/>
      <c r="E1372" s="50"/>
      <c r="F1372" s="50"/>
      <c r="G1372" s="50"/>
      <c r="H1372" s="51"/>
      <c r="I1372" s="39"/>
      <c r="J1372" s="51"/>
      <c r="K1372" s="51"/>
      <c r="L1372" s="51"/>
      <c r="P1372" s="52"/>
      <c r="Q1372" s="47"/>
    </row>
    <row r="1373" spans="1:17" ht="15" customHeight="1" x14ac:dyDescent="0.3">
      <c r="A1373" s="49"/>
      <c r="B1373" s="49"/>
      <c r="C1373" s="49"/>
      <c r="D1373" s="50"/>
      <c r="E1373" s="50"/>
      <c r="F1373" s="50"/>
      <c r="G1373" s="50"/>
      <c r="H1373" s="51"/>
      <c r="I1373" s="39"/>
      <c r="J1373" s="51"/>
      <c r="K1373" s="51"/>
      <c r="L1373" s="51"/>
      <c r="P1373" s="52"/>
      <c r="Q1373" s="47"/>
    </row>
    <row r="1374" spans="1:17" ht="15" customHeight="1" x14ac:dyDescent="0.3">
      <c r="A1374" s="49"/>
      <c r="B1374" s="49"/>
      <c r="C1374" s="49"/>
      <c r="D1374" s="50"/>
      <c r="E1374" s="50"/>
      <c r="F1374" s="50"/>
      <c r="G1374" s="50"/>
      <c r="H1374" s="51"/>
      <c r="I1374" s="39"/>
      <c r="J1374" s="51"/>
      <c r="K1374" s="51"/>
      <c r="L1374" s="51"/>
      <c r="P1374" s="52"/>
      <c r="Q1374" s="47"/>
    </row>
    <row r="1375" spans="1:17" ht="15" customHeight="1" x14ac:dyDescent="0.3">
      <c r="A1375" s="49"/>
      <c r="B1375" s="49"/>
      <c r="C1375" s="49"/>
      <c r="D1375" s="50"/>
      <c r="E1375" s="50"/>
      <c r="F1375" s="50"/>
      <c r="G1375" s="50"/>
      <c r="H1375" s="51"/>
      <c r="I1375" s="39"/>
      <c r="J1375" s="51"/>
      <c r="K1375" s="51"/>
      <c r="L1375" s="51"/>
      <c r="P1375" s="52"/>
      <c r="Q1375" s="47"/>
    </row>
    <row r="1376" spans="1:17" ht="15" customHeight="1" x14ac:dyDescent="0.3">
      <c r="A1376" s="49"/>
      <c r="B1376" s="49"/>
      <c r="C1376" s="49"/>
      <c r="D1376" s="50"/>
      <c r="E1376" s="50"/>
      <c r="F1376" s="50"/>
      <c r="G1376" s="50"/>
      <c r="H1376" s="51"/>
      <c r="I1376" s="39"/>
      <c r="J1376" s="51"/>
      <c r="K1376" s="51"/>
      <c r="L1376" s="51"/>
      <c r="P1376" s="52"/>
      <c r="Q1376" s="47"/>
    </row>
    <row r="1377" spans="1:17" ht="15" customHeight="1" x14ac:dyDescent="0.3">
      <c r="A1377" s="49"/>
      <c r="B1377" s="49"/>
      <c r="C1377" s="49"/>
      <c r="D1377" s="50"/>
      <c r="E1377" s="50"/>
      <c r="F1377" s="50"/>
      <c r="G1377" s="50"/>
      <c r="H1377" s="51"/>
      <c r="I1377" s="39"/>
      <c r="J1377" s="51"/>
      <c r="K1377" s="51"/>
      <c r="L1377" s="51"/>
      <c r="P1377" s="52"/>
      <c r="Q1377" s="47"/>
    </row>
    <row r="1378" spans="1:17" ht="15" customHeight="1" x14ac:dyDescent="0.3">
      <c r="A1378" s="49"/>
      <c r="B1378" s="49"/>
      <c r="C1378" s="49"/>
      <c r="D1378" s="50"/>
      <c r="E1378" s="50"/>
      <c r="F1378" s="50"/>
      <c r="G1378" s="50"/>
      <c r="H1378" s="51"/>
      <c r="I1378" s="39"/>
      <c r="J1378" s="51"/>
      <c r="K1378" s="51"/>
      <c r="L1378" s="51"/>
      <c r="P1378" s="52"/>
      <c r="Q1378" s="47"/>
    </row>
    <row r="1379" spans="1:17" ht="15" customHeight="1" x14ac:dyDescent="0.3">
      <c r="A1379" s="49"/>
      <c r="B1379" s="49"/>
      <c r="C1379" s="49"/>
      <c r="D1379" s="50"/>
      <c r="E1379" s="50"/>
      <c r="F1379" s="50"/>
      <c r="G1379" s="50"/>
      <c r="H1379" s="51"/>
      <c r="I1379" s="39"/>
      <c r="J1379" s="51"/>
      <c r="K1379" s="51"/>
      <c r="L1379" s="51"/>
      <c r="P1379" s="52"/>
      <c r="Q1379" s="47"/>
    </row>
    <row r="1380" spans="1:17" ht="15" customHeight="1" x14ac:dyDescent="0.3">
      <c r="A1380" s="49"/>
      <c r="B1380" s="49"/>
      <c r="C1380" s="49"/>
      <c r="D1380" s="50"/>
      <c r="E1380" s="50"/>
      <c r="F1380" s="50"/>
      <c r="G1380" s="50"/>
      <c r="H1380" s="51"/>
      <c r="I1380" s="39"/>
      <c r="J1380" s="51"/>
      <c r="K1380" s="51"/>
      <c r="L1380" s="51"/>
      <c r="P1380" s="52"/>
      <c r="Q1380" s="47"/>
    </row>
    <row r="1381" spans="1:17" ht="15" customHeight="1" x14ac:dyDescent="0.3">
      <c r="A1381" s="49"/>
      <c r="B1381" s="49"/>
      <c r="C1381" s="49"/>
      <c r="D1381" s="50"/>
      <c r="E1381" s="50"/>
      <c r="F1381" s="50"/>
      <c r="G1381" s="50"/>
      <c r="H1381" s="51"/>
      <c r="I1381" s="39"/>
      <c r="J1381" s="51"/>
      <c r="K1381" s="51"/>
      <c r="L1381" s="51"/>
      <c r="P1381" s="52"/>
      <c r="Q1381" s="47"/>
    </row>
    <row r="1382" spans="1:17" ht="15" customHeight="1" x14ac:dyDescent="0.3">
      <c r="A1382" s="49"/>
      <c r="B1382" s="49"/>
      <c r="C1382" s="49"/>
      <c r="D1382" s="50"/>
      <c r="E1382" s="50"/>
      <c r="F1382" s="50"/>
      <c r="G1382" s="50"/>
      <c r="H1382" s="51"/>
      <c r="I1382" s="39"/>
      <c r="J1382" s="51"/>
      <c r="K1382" s="51"/>
      <c r="L1382" s="51"/>
      <c r="P1382" s="52"/>
      <c r="Q1382" s="47"/>
    </row>
    <row r="1383" spans="1:17" ht="15" customHeight="1" x14ac:dyDescent="0.3">
      <c r="A1383" s="49"/>
      <c r="B1383" s="49"/>
      <c r="C1383" s="49"/>
      <c r="D1383" s="50"/>
      <c r="E1383" s="50"/>
      <c r="F1383" s="50"/>
      <c r="G1383" s="50"/>
      <c r="H1383" s="51"/>
      <c r="I1383" s="39"/>
      <c r="J1383" s="51"/>
      <c r="K1383" s="51"/>
      <c r="L1383" s="51"/>
      <c r="P1383" s="52"/>
      <c r="Q1383" s="47"/>
    </row>
    <row r="1384" spans="1:17" ht="15" customHeight="1" x14ac:dyDescent="0.3">
      <c r="A1384" s="49"/>
      <c r="B1384" s="49"/>
      <c r="C1384" s="49"/>
      <c r="D1384" s="50"/>
      <c r="E1384" s="50"/>
      <c r="F1384" s="50"/>
      <c r="G1384" s="50"/>
      <c r="H1384" s="51"/>
      <c r="I1384" s="39"/>
      <c r="J1384" s="51"/>
      <c r="K1384" s="51"/>
      <c r="L1384" s="51"/>
      <c r="P1384" s="52"/>
      <c r="Q1384" s="47"/>
    </row>
    <row r="1385" spans="1:17" ht="15" customHeight="1" x14ac:dyDescent="0.3">
      <c r="A1385" s="49"/>
      <c r="B1385" s="49"/>
      <c r="C1385" s="49"/>
      <c r="D1385" s="50"/>
      <c r="E1385" s="50"/>
      <c r="F1385" s="50"/>
      <c r="G1385" s="50"/>
      <c r="H1385" s="51"/>
      <c r="I1385" s="39"/>
      <c r="J1385" s="51"/>
      <c r="K1385" s="51"/>
      <c r="L1385" s="51"/>
      <c r="P1385" s="52"/>
      <c r="Q1385" s="47"/>
    </row>
    <row r="1386" spans="1:17" ht="15" customHeight="1" x14ac:dyDescent="0.3">
      <c r="A1386" s="49"/>
      <c r="B1386" s="49"/>
      <c r="C1386" s="49"/>
      <c r="D1386" s="50"/>
      <c r="E1386" s="50"/>
      <c r="F1386" s="50"/>
      <c r="G1386" s="50"/>
      <c r="H1386" s="51"/>
      <c r="I1386" s="39"/>
      <c r="J1386" s="51"/>
      <c r="K1386" s="51"/>
      <c r="L1386" s="51"/>
      <c r="P1386" s="52"/>
      <c r="Q1386" s="47"/>
    </row>
    <row r="1387" spans="1:17" ht="15" customHeight="1" x14ac:dyDescent="0.3">
      <c r="A1387" s="49"/>
      <c r="B1387" s="49"/>
      <c r="C1387" s="49"/>
      <c r="D1387" s="50"/>
      <c r="E1387" s="50"/>
      <c r="F1387" s="50"/>
      <c r="G1387" s="50"/>
      <c r="H1387" s="51"/>
      <c r="I1387" s="39"/>
      <c r="J1387" s="51"/>
      <c r="K1387" s="51"/>
      <c r="L1387" s="51"/>
      <c r="P1387" s="52"/>
      <c r="Q1387" s="47"/>
    </row>
    <row r="1388" spans="1:17" ht="15" customHeight="1" x14ac:dyDescent="0.3">
      <c r="A1388" s="49"/>
      <c r="B1388" s="49"/>
      <c r="C1388" s="49"/>
      <c r="D1388" s="50"/>
      <c r="E1388" s="50"/>
      <c r="F1388" s="50"/>
      <c r="G1388" s="50"/>
      <c r="H1388" s="51"/>
      <c r="I1388" s="39"/>
      <c r="J1388" s="51"/>
      <c r="K1388" s="51"/>
      <c r="L1388" s="51"/>
      <c r="P1388" s="52"/>
      <c r="Q1388" s="47"/>
    </row>
    <row r="1389" spans="1:17" ht="15" customHeight="1" x14ac:dyDescent="0.3">
      <c r="A1389" s="49"/>
      <c r="B1389" s="49"/>
      <c r="C1389" s="49"/>
      <c r="D1389" s="50"/>
      <c r="E1389" s="50"/>
      <c r="F1389" s="50"/>
      <c r="G1389" s="50"/>
      <c r="H1389" s="51"/>
      <c r="I1389" s="39"/>
      <c r="J1389" s="51"/>
      <c r="K1389" s="51"/>
      <c r="L1389" s="51"/>
      <c r="P1389" s="52"/>
      <c r="Q1389" s="47"/>
    </row>
    <row r="1390" spans="1:17" ht="15" customHeight="1" x14ac:dyDescent="0.3">
      <c r="A1390" s="49"/>
      <c r="B1390" s="49"/>
      <c r="C1390" s="49"/>
      <c r="D1390" s="50"/>
      <c r="E1390" s="50"/>
      <c r="F1390" s="50"/>
      <c r="G1390" s="50"/>
      <c r="H1390" s="51"/>
      <c r="I1390" s="39"/>
      <c r="J1390" s="51"/>
      <c r="K1390" s="51"/>
      <c r="L1390" s="51"/>
      <c r="P1390" s="52"/>
      <c r="Q1390" s="47"/>
    </row>
    <row r="1391" spans="1:17" ht="15" customHeight="1" x14ac:dyDescent="0.3">
      <c r="A1391" s="49"/>
      <c r="B1391" s="49"/>
      <c r="C1391" s="49"/>
      <c r="D1391" s="50"/>
      <c r="E1391" s="50"/>
      <c r="F1391" s="50"/>
      <c r="G1391" s="50"/>
      <c r="H1391" s="51"/>
      <c r="I1391" s="39"/>
      <c r="J1391" s="51"/>
      <c r="K1391" s="51"/>
      <c r="L1391" s="51"/>
      <c r="P1391" s="52"/>
      <c r="Q1391" s="47"/>
    </row>
    <row r="1392" spans="1:17" ht="15" customHeight="1" x14ac:dyDescent="0.3">
      <c r="A1392" s="49"/>
      <c r="B1392" s="49"/>
      <c r="C1392" s="49"/>
      <c r="D1392" s="50"/>
      <c r="E1392" s="50"/>
      <c r="F1392" s="50"/>
      <c r="G1392" s="50"/>
      <c r="H1392" s="51"/>
      <c r="I1392" s="39"/>
      <c r="J1392" s="51"/>
      <c r="K1392" s="51"/>
      <c r="L1392" s="51"/>
      <c r="P1392" s="52"/>
      <c r="Q1392" s="47"/>
    </row>
    <row r="1393" spans="1:17" ht="15" customHeight="1" x14ac:dyDescent="0.3">
      <c r="A1393" s="49"/>
      <c r="B1393" s="49"/>
      <c r="C1393" s="49"/>
      <c r="D1393" s="50"/>
      <c r="E1393" s="50"/>
      <c r="F1393" s="50"/>
      <c r="G1393" s="50"/>
      <c r="H1393" s="51"/>
      <c r="I1393" s="39"/>
      <c r="J1393" s="51"/>
      <c r="K1393" s="51"/>
      <c r="L1393" s="51"/>
      <c r="P1393" s="52"/>
      <c r="Q1393" s="47"/>
    </row>
    <row r="1394" spans="1:17" ht="15" customHeight="1" x14ac:dyDescent="0.3">
      <c r="A1394" s="49"/>
      <c r="B1394" s="49"/>
      <c r="C1394" s="49"/>
      <c r="D1394" s="50"/>
      <c r="E1394" s="50"/>
      <c r="F1394" s="50"/>
      <c r="G1394" s="50"/>
      <c r="H1394" s="51"/>
      <c r="I1394" s="39"/>
      <c r="J1394" s="51"/>
      <c r="K1394" s="51"/>
      <c r="L1394" s="51"/>
      <c r="P1394" s="52"/>
      <c r="Q1394" s="47"/>
    </row>
    <row r="1395" spans="1:17" ht="15" customHeight="1" x14ac:dyDescent="0.3">
      <c r="A1395" s="49"/>
      <c r="B1395" s="49"/>
      <c r="C1395" s="49"/>
      <c r="D1395" s="50"/>
      <c r="E1395" s="50"/>
      <c r="F1395" s="50"/>
      <c r="G1395" s="50"/>
      <c r="H1395" s="51"/>
      <c r="I1395" s="39"/>
      <c r="J1395" s="51"/>
      <c r="K1395" s="51"/>
      <c r="L1395" s="51"/>
      <c r="P1395" s="52"/>
      <c r="Q1395" s="47"/>
    </row>
    <row r="1396" spans="1:17" ht="15" customHeight="1" x14ac:dyDescent="0.3">
      <c r="A1396" s="49"/>
      <c r="B1396" s="49"/>
      <c r="C1396" s="49"/>
      <c r="D1396" s="50"/>
      <c r="E1396" s="50"/>
      <c r="F1396" s="50"/>
      <c r="G1396" s="50"/>
      <c r="H1396" s="51"/>
      <c r="I1396" s="39"/>
      <c r="J1396" s="51"/>
      <c r="K1396" s="51"/>
      <c r="L1396" s="51"/>
      <c r="P1396" s="52"/>
      <c r="Q1396" s="47"/>
    </row>
    <row r="1397" spans="1:17" ht="15" customHeight="1" x14ac:dyDescent="0.3">
      <c r="A1397" s="49"/>
      <c r="B1397" s="49"/>
      <c r="C1397" s="49"/>
      <c r="D1397" s="50"/>
      <c r="E1397" s="50"/>
      <c r="F1397" s="50"/>
      <c r="G1397" s="50"/>
      <c r="H1397" s="51"/>
      <c r="I1397" s="39"/>
      <c r="J1397" s="51"/>
      <c r="K1397" s="51"/>
      <c r="L1397" s="51"/>
      <c r="P1397" s="52"/>
      <c r="Q1397" s="47"/>
    </row>
    <row r="1398" spans="1:17" ht="15" customHeight="1" x14ac:dyDescent="0.3">
      <c r="A1398" s="49"/>
      <c r="B1398" s="49"/>
      <c r="C1398" s="49"/>
      <c r="D1398" s="50"/>
      <c r="E1398" s="50"/>
      <c r="F1398" s="50"/>
      <c r="G1398" s="50"/>
      <c r="H1398" s="51"/>
      <c r="I1398" s="39"/>
      <c r="J1398" s="51"/>
      <c r="K1398" s="51"/>
      <c r="L1398" s="51"/>
      <c r="P1398" s="52"/>
      <c r="Q1398" s="47"/>
    </row>
    <row r="1399" spans="1:17" ht="15" customHeight="1" x14ac:dyDescent="0.3">
      <c r="A1399" s="49"/>
      <c r="B1399" s="49"/>
      <c r="C1399" s="49"/>
      <c r="D1399" s="50"/>
      <c r="E1399" s="50"/>
      <c r="F1399" s="50"/>
      <c r="G1399" s="50"/>
      <c r="H1399" s="51"/>
      <c r="I1399" s="39"/>
      <c r="J1399" s="51"/>
      <c r="K1399" s="51"/>
      <c r="L1399" s="51"/>
      <c r="P1399" s="52"/>
      <c r="Q1399" s="47"/>
    </row>
    <row r="1400" spans="1:17" ht="15" customHeight="1" x14ac:dyDescent="0.3">
      <c r="A1400" s="49"/>
      <c r="B1400" s="49"/>
      <c r="C1400" s="49"/>
      <c r="D1400" s="50"/>
      <c r="E1400" s="50"/>
      <c r="F1400" s="50"/>
      <c r="G1400" s="50"/>
      <c r="H1400" s="51"/>
      <c r="I1400" s="39"/>
      <c r="J1400" s="51"/>
      <c r="K1400" s="51"/>
      <c r="L1400" s="51"/>
      <c r="P1400" s="52"/>
      <c r="Q1400" s="47"/>
    </row>
    <row r="1401" spans="1:17" ht="15" customHeight="1" x14ac:dyDescent="0.3">
      <c r="A1401" s="49"/>
      <c r="B1401" s="49"/>
      <c r="C1401" s="49"/>
      <c r="D1401" s="50"/>
      <c r="E1401" s="50"/>
      <c r="F1401" s="50"/>
      <c r="G1401" s="50"/>
      <c r="H1401" s="51"/>
      <c r="I1401" s="39"/>
      <c r="J1401" s="51"/>
      <c r="K1401" s="51"/>
      <c r="L1401" s="51"/>
      <c r="P1401" s="52"/>
      <c r="Q1401" s="47"/>
    </row>
    <row r="1402" spans="1:17" ht="15" customHeight="1" x14ac:dyDescent="0.3">
      <c r="A1402" s="49"/>
      <c r="B1402" s="49"/>
      <c r="C1402" s="49"/>
      <c r="D1402" s="50"/>
      <c r="E1402" s="50"/>
      <c r="F1402" s="50"/>
      <c r="G1402" s="50"/>
      <c r="H1402" s="51"/>
      <c r="I1402" s="39"/>
      <c r="J1402" s="51"/>
      <c r="K1402" s="51"/>
      <c r="L1402" s="51"/>
      <c r="P1402" s="52"/>
      <c r="Q1402" s="47"/>
    </row>
    <row r="1403" spans="1:17" ht="15" customHeight="1" x14ac:dyDescent="0.3">
      <c r="A1403" s="49"/>
      <c r="B1403" s="49"/>
      <c r="C1403" s="49"/>
      <c r="D1403" s="50"/>
      <c r="E1403" s="50"/>
      <c r="F1403" s="50"/>
      <c r="G1403" s="50"/>
      <c r="H1403" s="51"/>
      <c r="I1403" s="39"/>
      <c r="J1403" s="51"/>
      <c r="K1403" s="51"/>
      <c r="L1403" s="51"/>
      <c r="P1403" s="52"/>
      <c r="Q1403" s="47"/>
    </row>
    <row r="1404" spans="1:17" ht="15" customHeight="1" x14ac:dyDescent="0.3">
      <c r="A1404" s="49"/>
      <c r="B1404" s="49"/>
      <c r="C1404" s="49"/>
      <c r="D1404" s="50"/>
      <c r="E1404" s="50"/>
      <c r="F1404" s="50"/>
      <c r="G1404" s="50"/>
      <c r="H1404" s="51"/>
      <c r="I1404" s="39"/>
      <c r="J1404" s="51"/>
      <c r="K1404" s="51"/>
      <c r="L1404" s="51"/>
      <c r="P1404" s="52"/>
      <c r="Q1404" s="47"/>
    </row>
    <row r="1405" spans="1:17" ht="15" customHeight="1" x14ac:dyDescent="0.3">
      <c r="A1405" s="49"/>
      <c r="B1405" s="49"/>
      <c r="C1405" s="49"/>
      <c r="D1405" s="50"/>
      <c r="E1405" s="50"/>
      <c r="F1405" s="50"/>
      <c r="G1405" s="50"/>
      <c r="H1405" s="51"/>
      <c r="I1405" s="39"/>
      <c r="J1405" s="51"/>
      <c r="K1405" s="51"/>
      <c r="L1405" s="51"/>
      <c r="P1405" s="52"/>
      <c r="Q1405" s="47"/>
    </row>
    <row r="1406" spans="1:17" ht="15" customHeight="1" x14ac:dyDescent="0.3">
      <c r="A1406" s="49"/>
      <c r="B1406" s="49"/>
      <c r="C1406" s="49"/>
      <c r="D1406" s="50"/>
      <c r="E1406" s="50"/>
      <c r="F1406" s="50"/>
      <c r="G1406" s="50"/>
      <c r="H1406" s="51"/>
      <c r="I1406" s="39"/>
      <c r="J1406" s="51"/>
      <c r="K1406" s="51"/>
      <c r="L1406" s="51"/>
      <c r="P1406" s="52"/>
      <c r="Q1406" s="47"/>
    </row>
    <row r="1407" spans="1:17" ht="15" customHeight="1" x14ac:dyDescent="0.3">
      <c r="A1407" s="49"/>
      <c r="B1407" s="49"/>
      <c r="C1407" s="49"/>
      <c r="D1407" s="50"/>
      <c r="E1407" s="50"/>
      <c r="F1407" s="50"/>
      <c r="G1407" s="50"/>
      <c r="H1407" s="51"/>
      <c r="I1407" s="39"/>
      <c r="J1407" s="51"/>
      <c r="K1407" s="51"/>
      <c r="L1407" s="51"/>
      <c r="P1407" s="52"/>
      <c r="Q1407" s="47"/>
    </row>
    <row r="1408" spans="1:17" ht="15" customHeight="1" x14ac:dyDescent="0.3">
      <c r="A1408" s="49"/>
      <c r="B1408" s="49"/>
      <c r="C1408" s="49"/>
      <c r="D1408" s="50"/>
      <c r="E1408" s="50"/>
      <c r="F1408" s="50"/>
      <c r="G1408" s="50"/>
      <c r="H1408" s="51"/>
      <c r="I1408" s="39"/>
      <c r="J1408" s="51"/>
      <c r="K1408" s="51"/>
      <c r="L1408" s="51"/>
      <c r="P1408" s="52"/>
      <c r="Q1408" s="47"/>
    </row>
    <row r="1409" spans="1:17" ht="15" customHeight="1" x14ac:dyDescent="0.3">
      <c r="A1409" s="49"/>
      <c r="B1409" s="49"/>
      <c r="C1409" s="49"/>
      <c r="D1409" s="50"/>
      <c r="E1409" s="50"/>
      <c r="F1409" s="50"/>
      <c r="G1409" s="50"/>
      <c r="H1409" s="51"/>
      <c r="I1409" s="39"/>
      <c r="J1409" s="51"/>
      <c r="K1409" s="51"/>
      <c r="L1409" s="51"/>
      <c r="P1409" s="52"/>
      <c r="Q1409" s="47"/>
    </row>
    <row r="1410" spans="1:17" ht="15" customHeight="1" x14ac:dyDescent="0.3">
      <c r="A1410" s="49"/>
      <c r="B1410" s="49"/>
      <c r="C1410" s="49"/>
      <c r="D1410" s="50"/>
      <c r="E1410" s="50"/>
      <c r="F1410" s="50"/>
      <c r="G1410" s="50"/>
      <c r="H1410" s="51"/>
      <c r="I1410" s="39"/>
      <c r="J1410" s="51"/>
      <c r="K1410" s="51"/>
      <c r="L1410" s="51"/>
      <c r="P1410" s="52"/>
      <c r="Q1410" s="47"/>
    </row>
    <row r="1411" spans="1:17" ht="15" customHeight="1" x14ac:dyDescent="0.3">
      <c r="A1411" s="49"/>
      <c r="B1411" s="49"/>
      <c r="C1411" s="49"/>
      <c r="D1411" s="50"/>
      <c r="E1411" s="50"/>
      <c r="F1411" s="50"/>
      <c r="G1411" s="50"/>
      <c r="H1411" s="51"/>
      <c r="I1411" s="39"/>
      <c r="J1411" s="51"/>
      <c r="K1411" s="51"/>
      <c r="L1411" s="51"/>
      <c r="P1411" s="52"/>
      <c r="Q1411" s="47"/>
    </row>
    <row r="1412" spans="1:17" ht="15" customHeight="1" x14ac:dyDescent="0.3">
      <c r="A1412" s="49"/>
      <c r="B1412" s="49"/>
      <c r="C1412" s="49"/>
      <c r="D1412" s="50"/>
      <c r="E1412" s="50"/>
      <c r="F1412" s="50"/>
      <c r="G1412" s="50"/>
      <c r="H1412" s="51"/>
      <c r="I1412" s="39"/>
      <c r="J1412" s="51"/>
      <c r="K1412" s="51"/>
      <c r="L1412" s="51"/>
      <c r="P1412" s="52"/>
      <c r="Q1412" s="47"/>
    </row>
    <row r="1413" spans="1:17" ht="15" customHeight="1" x14ac:dyDescent="0.3">
      <c r="A1413" s="49"/>
      <c r="B1413" s="49"/>
      <c r="C1413" s="49"/>
      <c r="D1413" s="50"/>
      <c r="E1413" s="50"/>
      <c r="F1413" s="50"/>
      <c r="G1413" s="50"/>
      <c r="H1413" s="51"/>
      <c r="I1413" s="39"/>
      <c r="J1413" s="51"/>
      <c r="K1413" s="51"/>
      <c r="L1413" s="51"/>
      <c r="P1413" s="52"/>
      <c r="Q1413" s="47"/>
    </row>
    <row r="1414" spans="1:17" ht="15" customHeight="1" x14ac:dyDescent="0.3">
      <c r="A1414" s="49"/>
      <c r="B1414" s="49"/>
      <c r="C1414" s="49"/>
      <c r="D1414" s="50"/>
      <c r="E1414" s="50"/>
      <c r="F1414" s="50"/>
      <c r="G1414" s="50"/>
      <c r="H1414" s="51"/>
      <c r="I1414" s="39"/>
      <c r="J1414" s="51"/>
      <c r="K1414" s="51"/>
      <c r="L1414" s="51"/>
      <c r="P1414" s="52"/>
      <c r="Q1414" s="47"/>
    </row>
    <row r="1415" spans="1:17" ht="15" customHeight="1" x14ac:dyDescent="0.3">
      <c r="A1415" s="49"/>
      <c r="B1415" s="49"/>
      <c r="C1415" s="49"/>
      <c r="D1415" s="50"/>
      <c r="E1415" s="50"/>
      <c r="F1415" s="50"/>
      <c r="G1415" s="50"/>
      <c r="H1415" s="51"/>
      <c r="I1415" s="39"/>
      <c r="J1415" s="51"/>
      <c r="K1415" s="51"/>
      <c r="L1415" s="51"/>
      <c r="P1415" s="52"/>
      <c r="Q1415" s="47"/>
    </row>
    <row r="1416" spans="1:17" ht="15" customHeight="1" x14ac:dyDescent="0.3">
      <c r="A1416" s="49"/>
      <c r="B1416" s="49"/>
      <c r="C1416" s="49"/>
      <c r="D1416" s="50"/>
      <c r="E1416" s="50"/>
      <c r="F1416" s="50"/>
      <c r="G1416" s="50"/>
      <c r="H1416" s="51"/>
      <c r="I1416" s="39"/>
      <c r="J1416" s="51"/>
      <c r="K1416" s="51"/>
      <c r="L1416" s="51"/>
      <c r="P1416" s="52"/>
      <c r="Q1416" s="47"/>
    </row>
    <row r="1417" spans="1:17" ht="15" customHeight="1" x14ac:dyDescent="0.3">
      <c r="A1417" s="49"/>
      <c r="B1417" s="49"/>
      <c r="C1417" s="49"/>
      <c r="D1417" s="50"/>
      <c r="E1417" s="50"/>
      <c r="F1417" s="50"/>
      <c r="G1417" s="50"/>
      <c r="H1417" s="51"/>
      <c r="I1417" s="39"/>
      <c r="J1417" s="51"/>
      <c r="K1417" s="51"/>
      <c r="L1417" s="51"/>
      <c r="P1417" s="52"/>
      <c r="Q1417" s="47"/>
    </row>
    <row r="1418" spans="1:17" ht="15" customHeight="1" x14ac:dyDescent="0.3">
      <c r="A1418" s="49"/>
      <c r="B1418" s="49"/>
      <c r="C1418" s="49"/>
      <c r="D1418" s="50"/>
      <c r="E1418" s="50"/>
      <c r="F1418" s="50"/>
      <c r="G1418" s="50"/>
      <c r="H1418" s="51"/>
      <c r="I1418" s="39"/>
      <c r="J1418" s="51"/>
      <c r="K1418" s="51"/>
      <c r="L1418" s="51"/>
      <c r="P1418" s="52"/>
      <c r="Q1418" s="47"/>
    </row>
    <row r="1419" spans="1:17" ht="15" customHeight="1" x14ac:dyDescent="0.3">
      <c r="A1419" s="49"/>
      <c r="B1419" s="49"/>
      <c r="C1419" s="49"/>
      <c r="D1419" s="50"/>
      <c r="E1419" s="50"/>
      <c r="F1419" s="50"/>
      <c r="G1419" s="50"/>
      <c r="H1419" s="51"/>
      <c r="I1419" s="39"/>
      <c r="J1419" s="51"/>
      <c r="K1419" s="51"/>
      <c r="L1419" s="51"/>
      <c r="P1419" s="52"/>
      <c r="Q1419" s="47"/>
    </row>
    <row r="1420" spans="1:17" ht="15" customHeight="1" x14ac:dyDescent="0.3">
      <c r="A1420" s="49"/>
      <c r="B1420" s="49"/>
      <c r="C1420" s="49"/>
      <c r="D1420" s="50"/>
      <c r="E1420" s="50"/>
      <c r="F1420" s="50"/>
      <c r="G1420" s="50"/>
      <c r="H1420" s="51"/>
      <c r="I1420" s="39"/>
      <c r="J1420" s="51"/>
      <c r="K1420" s="51"/>
      <c r="L1420" s="51"/>
      <c r="P1420" s="52"/>
      <c r="Q1420" s="47"/>
    </row>
    <row r="1421" spans="1:17" ht="15" customHeight="1" x14ac:dyDescent="0.3">
      <c r="A1421" s="49"/>
      <c r="B1421" s="49"/>
      <c r="C1421" s="49"/>
      <c r="D1421" s="50"/>
      <c r="E1421" s="50"/>
      <c r="F1421" s="50"/>
      <c r="G1421" s="50"/>
      <c r="H1421" s="51"/>
      <c r="I1421" s="39"/>
      <c r="J1421" s="51"/>
      <c r="K1421" s="51"/>
      <c r="L1421" s="51"/>
      <c r="P1421" s="52"/>
      <c r="Q1421" s="47"/>
    </row>
    <row r="1422" spans="1:17" ht="15" customHeight="1" x14ac:dyDescent="0.3">
      <c r="A1422" s="49"/>
      <c r="B1422" s="49"/>
      <c r="C1422" s="49"/>
      <c r="D1422" s="50"/>
      <c r="E1422" s="50"/>
      <c r="F1422" s="50"/>
      <c r="G1422" s="50"/>
      <c r="H1422" s="51"/>
      <c r="I1422" s="39"/>
      <c r="J1422" s="51"/>
      <c r="K1422" s="51"/>
      <c r="L1422" s="51"/>
      <c r="P1422" s="52"/>
      <c r="Q1422" s="47"/>
    </row>
    <row r="1423" spans="1:17" ht="15" customHeight="1" x14ac:dyDescent="0.3">
      <c r="A1423" s="49"/>
      <c r="B1423" s="49"/>
      <c r="C1423" s="49"/>
      <c r="D1423" s="50"/>
      <c r="E1423" s="50"/>
      <c r="F1423" s="50"/>
      <c r="G1423" s="50"/>
      <c r="H1423" s="51"/>
      <c r="I1423" s="39"/>
      <c r="J1423" s="51"/>
      <c r="K1423" s="51"/>
      <c r="L1423" s="51"/>
      <c r="P1423" s="52"/>
      <c r="Q1423" s="47"/>
    </row>
    <row r="1424" spans="1:17" ht="15" customHeight="1" x14ac:dyDescent="0.3">
      <c r="A1424" s="49"/>
      <c r="B1424" s="49"/>
      <c r="C1424" s="49"/>
      <c r="D1424" s="50"/>
      <c r="E1424" s="50"/>
      <c r="F1424" s="50"/>
      <c r="G1424" s="50"/>
      <c r="H1424" s="51"/>
      <c r="I1424" s="39"/>
      <c r="J1424" s="51"/>
      <c r="K1424" s="51"/>
      <c r="L1424" s="51"/>
      <c r="P1424" s="52"/>
      <c r="Q1424" s="47"/>
    </row>
    <row r="1425" spans="1:17" ht="15" customHeight="1" x14ac:dyDescent="0.3">
      <c r="A1425" s="49"/>
      <c r="B1425" s="49"/>
      <c r="C1425" s="49"/>
      <c r="D1425" s="50"/>
      <c r="E1425" s="50"/>
      <c r="F1425" s="50"/>
      <c r="G1425" s="50"/>
      <c r="H1425" s="51"/>
      <c r="I1425" s="39"/>
      <c r="J1425" s="51"/>
      <c r="K1425" s="51"/>
      <c r="L1425" s="51"/>
      <c r="P1425" s="52"/>
      <c r="Q1425" s="47"/>
    </row>
    <row r="1426" spans="1:17" ht="15" customHeight="1" x14ac:dyDescent="0.3">
      <c r="A1426" s="49"/>
      <c r="B1426" s="49"/>
      <c r="C1426" s="49"/>
      <c r="D1426" s="50"/>
      <c r="E1426" s="50"/>
      <c r="F1426" s="50"/>
      <c r="G1426" s="50"/>
      <c r="H1426" s="51"/>
      <c r="I1426" s="39"/>
      <c r="J1426" s="51"/>
      <c r="K1426" s="51"/>
      <c r="L1426" s="51"/>
      <c r="P1426" s="52"/>
      <c r="Q1426" s="47"/>
    </row>
    <row r="1427" spans="1:17" ht="15" customHeight="1" x14ac:dyDescent="0.3">
      <c r="A1427" s="49"/>
      <c r="B1427" s="49"/>
      <c r="C1427" s="49"/>
      <c r="D1427" s="50"/>
      <c r="E1427" s="50"/>
      <c r="F1427" s="50"/>
      <c r="G1427" s="50"/>
      <c r="H1427" s="51"/>
      <c r="I1427" s="39"/>
      <c r="J1427" s="51"/>
      <c r="K1427" s="51"/>
      <c r="L1427" s="51"/>
      <c r="P1427" s="52"/>
      <c r="Q1427" s="47"/>
    </row>
    <row r="1428" spans="1:17" ht="15" customHeight="1" x14ac:dyDescent="0.3">
      <c r="A1428" s="49"/>
      <c r="B1428" s="49"/>
      <c r="C1428" s="49"/>
      <c r="D1428" s="50"/>
      <c r="E1428" s="50"/>
      <c r="F1428" s="50"/>
      <c r="G1428" s="50"/>
      <c r="H1428" s="51"/>
      <c r="I1428" s="39"/>
      <c r="J1428" s="51"/>
      <c r="K1428" s="51"/>
      <c r="L1428" s="51"/>
      <c r="P1428" s="52"/>
      <c r="Q1428" s="47"/>
    </row>
    <row r="1429" spans="1:17" ht="15" customHeight="1" x14ac:dyDescent="0.3">
      <c r="A1429" s="49"/>
      <c r="B1429" s="49"/>
      <c r="C1429" s="49"/>
      <c r="D1429" s="50"/>
      <c r="E1429" s="50"/>
      <c r="F1429" s="50"/>
      <c r="G1429" s="50"/>
      <c r="H1429" s="51"/>
      <c r="I1429" s="39"/>
      <c r="J1429" s="51"/>
      <c r="K1429" s="51"/>
      <c r="L1429" s="51"/>
      <c r="P1429" s="52"/>
      <c r="Q1429" s="47"/>
    </row>
    <row r="1430" spans="1:17" ht="15" customHeight="1" x14ac:dyDescent="0.3">
      <c r="A1430" s="49"/>
      <c r="B1430" s="49"/>
      <c r="C1430" s="49"/>
      <c r="D1430" s="50"/>
      <c r="E1430" s="50"/>
      <c r="F1430" s="50"/>
      <c r="G1430" s="50"/>
      <c r="H1430" s="51"/>
      <c r="I1430" s="39"/>
      <c r="J1430" s="51"/>
      <c r="K1430" s="51"/>
      <c r="L1430" s="51"/>
      <c r="P1430" s="52"/>
      <c r="Q1430" s="47"/>
    </row>
    <row r="1431" spans="1:17" ht="15" customHeight="1" x14ac:dyDescent="0.3">
      <c r="A1431" s="49"/>
      <c r="B1431" s="49"/>
      <c r="C1431" s="49"/>
      <c r="D1431" s="50"/>
      <c r="E1431" s="50"/>
      <c r="F1431" s="50"/>
      <c r="G1431" s="50"/>
      <c r="H1431" s="51"/>
      <c r="I1431" s="39"/>
      <c r="J1431" s="51"/>
      <c r="K1431" s="51"/>
      <c r="L1431" s="51"/>
      <c r="P1431" s="52"/>
      <c r="Q1431" s="47"/>
    </row>
    <row r="1432" spans="1:17" ht="15" customHeight="1" x14ac:dyDescent="0.3">
      <c r="A1432" s="49"/>
      <c r="B1432" s="49"/>
      <c r="C1432" s="49"/>
      <c r="D1432" s="50"/>
      <c r="E1432" s="50"/>
      <c r="F1432" s="50"/>
      <c r="G1432" s="50"/>
      <c r="H1432" s="51"/>
      <c r="I1432" s="39"/>
      <c r="J1432" s="51"/>
      <c r="K1432" s="51"/>
      <c r="L1432" s="51"/>
      <c r="P1432" s="52"/>
      <c r="Q1432" s="47"/>
    </row>
    <row r="1433" spans="1:17" ht="15" customHeight="1" x14ac:dyDescent="0.3">
      <c r="A1433" s="49"/>
      <c r="B1433" s="49"/>
      <c r="C1433" s="49"/>
      <c r="D1433" s="50"/>
      <c r="E1433" s="50"/>
      <c r="F1433" s="50"/>
      <c r="G1433" s="50"/>
      <c r="H1433" s="51"/>
      <c r="I1433" s="39"/>
      <c r="J1433" s="51"/>
      <c r="K1433" s="51"/>
      <c r="L1433" s="51"/>
      <c r="P1433" s="52"/>
      <c r="Q1433" s="47"/>
    </row>
    <row r="1434" spans="1:17" ht="15" customHeight="1" x14ac:dyDescent="0.3">
      <c r="A1434" s="49"/>
      <c r="B1434" s="49"/>
      <c r="C1434" s="49"/>
      <c r="D1434" s="50"/>
      <c r="E1434" s="50"/>
      <c r="F1434" s="50"/>
      <c r="G1434" s="50"/>
      <c r="H1434" s="51"/>
      <c r="I1434" s="39"/>
      <c r="J1434" s="51"/>
      <c r="K1434" s="51"/>
      <c r="L1434" s="51"/>
      <c r="P1434" s="52"/>
      <c r="Q1434" s="47"/>
    </row>
    <row r="1435" spans="1:17" ht="15" customHeight="1" x14ac:dyDescent="0.3">
      <c r="A1435" s="49"/>
      <c r="B1435" s="49"/>
      <c r="C1435" s="49"/>
      <c r="D1435" s="50"/>
      <c r="E1435" s="50"/>
      <c r="F1435" s="50"/>
      <c r="G1435" s="50"/>
      <c r="H1435" s="51"/>
      <c r="I1435" s="39"/>
      <c r="J1435" s="51"/>
      <c r="K1435" s="51"/>
      <c r="L1435" s="51"/>
      <c r="P1435" s="52"/>
      <c r="Q1435" s="47"/>
    </row>
    <row r="1436" spans="1:17" ht="15" customHeight="1" x14ac:dyDescent="0.3">
      <c r="A1436" s="49"/>
      <c r="B1436" s="49"/>
      <c r="C1436" s="49"/>
      <c r="D1436" s="50"/>
      <c r="E1436" s="50"/>
      <c r="F1436" s="50"/>
      <c r="G1436" s="50"/>
      <c r="H1436" s="51"/>
      <c r="I1436" s="39"/>
      <c r="J1436" s="51"/>
      <c r="K1436" s="51"/>
      <c r="L1436" s="51"/>
      <c r="P1436" s="52"/>
      <c r="Q1436" s="47"/>
    </row>
    <row r="1437" spans="1:17" ht="15" customHeight="1" x14ac:dyDescent="0.3">
      <c r="A1437" s="49"/>
      <c r="B1437" s="49"/>
      <c r="C1437" s="49"/>
      <c r="D1437" s="50"/>
      <c r="E1437" s="50"/>
      <c r="F1437" s="50"/>
      <c r="G1437" s="50"/>
      <c r="H1437" s="51"/>
      <c r="I1437" s="39"/>
      <c r="J1437" s="51"/>
      <c r="K1437" s="51"/>
      <c r="L1437" s="51"/>
      <c r="P1437" s="52"/>
      <c r="Q1437" s="47"/>
    </row>
    <row r="1438" spans="1:17" ht="15" customHeight="1" x14ac:dyDescent="0.3">
      <c r="A1438" s="49"/>
      <c r="B1438" s="49"/>
      <c r="C1438" s="49"/>
      <c r="D1438" s="50"/>
      <c r="E1438" s="50"/>
      <c r="F1438" s="50"/>
      <c r="G1438" s="50"/>
      <c r="H1438" s="51"/>
      <c r="I1438" s="39"/>
      <c r="J1438" s="51"/>
      <c r="K1438" s="51"/>
      <c r="L1438" s="51"/>
      <c r="P1438" s="52"/>
      <c r="Q1438" s="47"/>
    </row>
    <row r="1439" spans="1:17" ht="15" customHeight="1" x14ac:dyDescent="0.3">
      <c r="A1439" s="49"/>
      <c r="B1439" s="49"/>
      <c r="C1439" s="49"/>
      <c r="D1439" s="50"/>
      <c r="E1439" s="50"/>
      <c r="F1439" s="50"/>
      <c r="G1439" s="50"/>
      <c r="H1439" s="51"/>
      <c r="I1439" s="39"/>
      <c r="J1439" s="51"/>
      <c r="K1439" s="51"/>
      <c r="L1439" s="51"/>
      <c r="P1439" s="52"/>
      <c r="Q1439" s="47"/>
    </row>
    <row r="1440" spans="1:17" ht="15" customHeight="1" x14ac:dyDescent="0.3">
      <c r="A1440" s="49"/>
      <c r="B1440" s="49"/>
      <c r="C1440" s="49"/>
      <c r="D1440" s="50"/>
      <c r="E1440" s="50"/>
      <c r="F1440" s="50"/>
      <c r="G1440" s="50"/>
      <c r="H1440" s="51"/>
      <c r="I1440" s="39"/>
      <c r="J1440" s="51"/>
      <c r="K1440" s="51"/>
      <c r="L1440" s="51"/>
      <c r="P1440" s="52"/>
      <c r="Q1440" s="47"/>
    </row>
    <row r="1441" spans="1:17" ht="15" customHeight="1" x14ac:dyDescent="0.3">
      <c r="A1441" s="49"/>
      <c r="B1441" s="49"/>
      <c r="C1441" s="49"/>
      <c r="D1441" s="50"/>
      <c r="E1441" s="50"/>
      <c r="F1441" s="50"/>
      <c r="G1441" s="50"/>
      <c r="H1441" s="51"/>
      <c r="I1441" s="39"/>
      <c r="J1441" s="51"/>
      <c r="K1441" s="51"/>
      <c r="L1441" s="51"/>
      <c r="P1441" s="52"/>
      <c r="Q1441" s="47"/>
    </row>
    <row r="1442" spans="1:17" ht="15" customHeight="1" x14ac:dyDescent="0.3">
      <c r="A1442" s="49"/>
      <c r="B1442" s="49"/>
      <c r="C1442" s="49"/>
      <c r="D1442" s="50"/>
      <c r="E1442" s="50"/>
      <c r="F1442" s="50"/>
      <c r="G1442" s="50"/>
      <c r="H1442" s="51"/>
      <c r="I1442" s="39"/>
      <c r="J1442" s="51"/>
      <c r="K1442" s="51"/>
      <c r="L1442" s="51"/>
      <c r="P1442" s="52"/>
      <c r="Q1442" s="47"/>
    </row>
    <row r="1443" spans="1:17" ht="15" customHeight="1" x14ac:dyDescent="0.3">
      <c r="A1443" s="49"/>
      <c r="B1443" s="49"/>
      <c r="C1443" s="49"/>
      <c r="D1443" s="50"/>
      <c r="E1443" s="50"/>
      <c r="F1443" s="50"/>
      <c r="G1443" s="50"/>
      <c r="H1443" s="51"/>
      <c r="I1443" s="39"/>
      <c r="J1443" s="51"/>
      <c r="K1443" s="51"/>
      <c r="L1443" s="51"/>
      <c r="P1443" s="52"/>
      <c r="Q1443" s="47"/>
    </row>
    <row r="1444" spans="1:17" ht="15" customHeight="1" x14ac:dyDescent="0.3">
      <c r="A1444" s="49"/>
      <c r="B1444" s="49"/>
      <c r="C1444" s="49"/>
      <c r="D1444" s="50"/>
      <c r="E1444" s="50"/>
      <c r="F1444" s="50"/>
      <c r="G1444" s="50"/>
      <c r="H1444" s="51"/>
      <c r="I1444" s="39"/>
      <c r="J1444" s="51"/>
      <c r="K1444" s="51"/>
      <c r="L1444" s="51"/>
      <c r="P1444" s="52"/>
      <c r="Q1444" s="47"/>
    </row>
    <row r="1445" spans="1:17" ht="15" customHeight="1" x14ac:dyDescent="0.3">
      <c r="A1445" s="49"/>
      <c r="B1445" s="49"/>
      <c r="C1445" s="49"/>
      <c r="D1445" s="50"/>
      <c r="E1445" s="50"/>
      <c r="F1445" s="50"/>
      <c r="G1445" s="50"/>
      <c r="H1445" s="51"/>
      <c r="I1445" s="39"/>
      <c r="J1445" s="51"/>
      <c r="K1445" s="51"/>
      <c r="L1445" s="51"/>
      <c r="P1445" s="52"/>
      <c r="Q1445" s="47"/>
    </row>
    <row r="1446" spans="1:17" ht="15" customHeight="1" x14ac:dyDescent="0.3">
      <c r="A1446" s="49"/>
      <c r="B1446" s="49"/>
      <c r="C1446" s="49"/>
      <c r="D1446" s="50"/>
      <c r="E1446" s="50"/>
      <c r="F1446" s="50"/>
      <c r="G1446" s="50"/>
      <c r="H1446" s="51"/>
      <c r="I1446" s="39"/>
      <c r="J1446" s="51"/>
      <c r="K1446" s="51"/>
      <c r="L1446" s="51"/>
      <c r="P1446" s="52"/>
      <c r="Q1446" s="47"/>
    </row>
    <row r="1447" spans="1:17" ht="15" customHeight="1" x14ac:dyDescent="0.3">
      <c r="A1447" s="49"/>
      <c r="B1447" s="49"/>
      <c r="C1447" s="49"/>
      <c r="D1447" s="50"/>
      <c r="E1447" s="50"/>
      <c r="F1447" s="50"/>
      <c r="G1447" s="50"/>
      <c r="H1447" s="51"/>
      <c r="I1447" s="39"/>
      <c r="J1447" s="51"/>
      <c r="K1447" s="51"/>
      <c r="L1447" s="51"/>
      <c r="P1447" s="52"/>
      <c r="Q1447" s="47"/>
    </row>
    <row r="1448" spans="1:17" ht="15" customHeight="1" x14ac:dyDescent="0.3">
      <c r="A1448" s="49"/>
      <c r="B1448" s="49"/>
      <c r="C1448" s="49"/>
      <c r="D1448" s="50"/>
      <c r="E1448" s="50"/>
      <c r="F1448" s="50"/>
      <c r="G1448" s="50"/>
      <c r="H1448" s="51"/>
      <c r="I1448" s="39"/>
      <c r="J1448" s="51"/>
      <c r="K1448" s="51"/>
      <c r="L1448" s="51"/>
      <c r="P1448" s="52"/>
      <c r="Q1448" s="47"/>
    </row>
    <row r="1449" spans="1:17" ht="15" customHeight="1" x14ac:dyDescent="0.3">
      <c r="A1449" s="49"/>
      <c r="B1449" s="49"/>
      <c r="C1449" s="49"/>
      <c r="D1449" s="50"/>
      <c r="E1449" s="50"/>
      <c r="F1449" s="50"/>
      <c r="G1449" s="50"/>
      <c r="H1449" s="51"/>
      <c r="I1449" s="39"/>
      <c r="J1449" s="51"/>
      <c r="K1449" s="51"/>
      <c r="L1449" s="51"/>
      <c r="P1449" s="52"/>
      <c r="Q1449" s="47"/>
    </row>
    <row r="1450" spans="1:17" ht="15" customHeight="1" x14ac:dyDescent="0.3">
      <c r="A1450" s="49"/>
      <c r="B1450" s="49"/>
      <c r="C1450" s="49"/>
      <c r="D1450" s="50"/>
      <c r="E1450" s="50"/>
      <c r="F1450" s="50"/>
      <c r="G1450" s="50"/>
      <c r="H1450" s="51"/>
      <c r="I1450" s="39"/>
      <c r="J1450" s="51"/>
      <c r="K1450" s="51"/>
      <c r="L1450" s="51"/>
      <c r="P1450" s="52"/>
      <c r="Q1450" s="47"/>
    </row>
    <row r="1451" spans="1:17" ht="15" customHeight="1" x14ac:dyDescent="0.3">
      <c r="A1451" s="49"/>
      <c r="B1451" s="49"/>
      <c r="C1451" s="49"/>
      <c r="D1451" s="50"/>
      <c r="E1451" s="50"/>
      <c r="F1451" s="50"/>
      <c r="G1451" s="50"/>
      <c r="H1451" s="51"/>
      <c r="I1451" s="39"/>
      <c r="J1451" s="51"/>
      <c r="K1451" s="51"/>
      <c r="L1451" s="51"/>
      <c r="P1451" s="52"/>
      <c r="Q1451" s="47"/>
    </row>
    <row r="1452" spans="1:17" ht="15" customHeight="1" x14ac:dyDescent="0.3">
      <c r="A1452" s="49"/>
      <c r="B1452" s="49"/>
      <c r="C1452" s="49"/>
      <c r="D1452" s="50"/>
      <c r="E1452" s="50"/>
      <c r="F1452" s="50"/>
      <c r="G1452" s="50"/>
      <c r="H1452" s="51"/>
      <c r="I1452" s="39"/>
      <c r="J1452" s="51"/>
      <c r="K1452" s="51"/>
      <c r="L1452" s="51"/>
      <c r="P1452" s="52"/>
      <c r="Q1452" s="47"/>
    </row>
    <row r="1453" spans="1:17" ht="15" customHeight="1" x14ac:dyDescent="0.3">
      <c r="A1453" s="49"/>
      <c r="B1453" s="49"/>
      <c r="C1453" s="49"/>
      <c r="D1453" s="50"/>
      <c r="E1453" s="50"/>
      <c r="F1453" s="50"/>
      <c r="G1453" s="50"/>
      <c r="H1453" s="51"/>
      <c r="I1453" s="39"/>
      <c r="J1453" s="51"/>
      <c r="K1453" s="51"/>
      <c r="L1453" s="51"/>
      <c r="P1453" s="52"/>
      <c r="Q1453" s="47"/>
    </row>
    <row r="1454" spans="1:17" ht="15" customHeight="1" x14ac:dyDescent="0.3">
      <c r="A1454" s="49"/>
      <c r="B1454" s="49"/>
      <c r="C1454" s="49"/>
      <c r="D1454" s="50"/>
      <c r="E1454" s="50"/>
      <c r="F1454" s="50"/>
      <c r="G1454" s="50"/>
      <c r="H1454" s="51"/>
      <c r="I1454" s="39"/>
      <c r="J1454" s="51"/>
      <c r="K1454" s="51"/>
      <c r="L1454" s="51"/>
      <c r="P1454" s="52"/>
      <c r="Q1454" s="47"/>
    </row>
    <row r="1455" spans="1:17" ht="15" customHeight="1" x14ac:dyDescent="0.3">
      <c r="A1455" s="49"/>
      <c r="B1455" s="49"/>
      <c r="C1455" s="49"/>
      <c r="D1455" s="50"/>
      <c r="E1455" s="50"/>
      <c r="F1455" s="50"/>
      <c r="G1455" s="50"/>
      <c r="H1455" s="51"/>
      <c r="I1455" s="39"/>
      <c r="J1455" s="51"/>
      <c r="K1455" s="51"/>
      <c r="L1455" s="51"/>
      <c r="P1455" s="52"/>
      <c r="Q1455" s="47"/>
    </row>
    <row r="1456" spans="1:17" ht="15" customHeight="1" x14ac:dyDescent="0.3">
      <c r="A1456" s="49"/>
      <c r="B1456" s="49"/>
      <c r="C1456" s="49"/>
      <c r="D1456" s="50"/>
      <c r="E1456" s="50"/>
      <c r="F1456" s="50"/>
      <c r="G1456" s="50"/>
      <c r="H1456" s="51"/>
      <c r="I1456" s="39"/>
      <c r="J1456" s="51"/>
      <c r="K1456" s="51"/>
      <c r="L1456" s="51"/>
      <c r="P1456" s="52"/>
      <c r="Q1456" s="47"/>
    </row>
    <row r="1457" spans="1:17" ht="15" customHeight="1" x14ac:dyDescent="0.3">
      <c r="A1457" s="49"/>
      <c r="B1457" s="49"/>
      <c r="C1457" s="49"/>
      <c r="D1457" s="50"/>
      <c r="E1457" s="50"/>
      <c r="F1457" s="50"/>
      <c r="G1457" s="50"/>
      <c r="H1457" s="51"/>
      <c r="I1457" s="39"/>
      <c r="J1457" s="51"/>
      <c r="K1457" s="51"/>
      <c r="L1457" s="51"/>
      <c r="P1457" s="52"/>
      <c r="Q1457" s="47"/>
    </row>
    <row r="1458" spans="1:17" ht="15" customHeight="1" x14ac:dyDescent="0.3">
      <c r="A1458" s="49"/>
      <c r="B1458" s="49"/>
      <c r="C1458" s="49"/>
      <c r="D1458" s="50"/>
      <c r="E1458" s="50"/>
      <c r="F1458" s="50"/>
      <c r="G1458" s="50"/>
      <c r="H1458" s="51"/>
      <c r="I1458" s="39"/>
      <c r="J1458" s="51"/>
      <c r="K1458" s="51"/>
      <c r="L1458" s="51"/>
      <c r="P1458" s="52"/>
      <c r="Q1458" s="47"/>
    </row>
    <row r="1459" spans="1:17" ht="15" customHeight="1" x14ac:dyDescent="0.3">
      <c r="A1459" s="49"/>
      <c r="B1459" s="49"/>
      <c r="C1459" s="49"/>
      <c r="D1459" s="50"/>
      <c r="E1459" s="50"/>
      <c r="F1459" s="50"/>
      <c r="G1459" s="50"/>
      <c r="H1459" s="51"/>
      <c r="I1459" s="39"/>
      <c r="J1459" s="51"/>
      <c r="K1459" s="51"/>
      <c r="L1459" s="51"/>
      <c r="P1459" s="52"/>
      <c r="Q1459" s="47"/>
    </row>
    <row r="1460" spans="1:17" ht="15" customHeight="1" x14ac:dyDescent="0.3">
      <c r="A1460" s="49"/>
      <c r="B1460" s="49"/>
      <c r="C1460" s="49"/>
      <c r="D1460" s="50"/>
      <c r="E1460" s="50"/>
      <c r="F1460" s="50"/>
      <c r="G1460" s="50"/>
      <c r="H1460" s="51"/>
      <c r="I1460" s="39"/>
      <c r="J1460" s="51"/>
      <c r="K1460" s="51"/>
      <c r="L1460" s="51"/>
      <c r="P1460" s="52"/>
      <c r="Q1460" s="47"/>
    </row>
    <row r="1461" spans="1:17" ht="15" customHeight="1" x14ac:dyDescent="0.3">
      <c r="A1461" s="49"/>
      <c r="B1461" s="49"/>
      <c r="C1461" s="49"/>
      <c r="D1461" s="50"/>
      <c r="E1461" s="50"/>
      <c r="F1461" s="50"/>
      <c r="G1461" s="50"/>
      <c r="H1461" s="51"/>
      <c r="I1461" s="39"/>
      <c r="J1461" s="51"/>
      <c r="K1461" s="51"/>
      <c r="L1461" s="51"/>
      <c r="P1461" s="52"/>
      <c r="Q1461" s="47"/>
    </row>
    <row r="1462" spans="1:17" ht="15" customHeight="1" x14ac:dyDescent="0.3">
      <c r="A1462" s="49"/>
      <c r="B1462" s="49"/>
      <c r="C1462" s="49"/>
      <c r="D1462" s="50"/>
      <c r="E1462" s="50"/>
      <c r="F1462" s="50"/>
      <c r="G1462" s="50"/>
      <c r="H1462" s="51"/>
      <c r="I1462" s="39"/>
      <c r="J1462" s="51"/>
      <c r="K1462" s="51"/>
      <c r="L1462" s="51"/>
      <c r="P1462" s="52"/>
      <c r="Q1462" s="47"/>
    </row>
    <row r="1463" spans="1:17" ht="15" customHeight="1" x14ac:dyDescent="0.3">
      <c r="A1463" s="49"/>
      <c r="B1463" s="49"/>
      <c r="C1463" s="49"/>
      <c r="D1463" s="50"/>
      <c r="E1463" s="50"/>
      <c r="F1463" s="50"/>
      <c r="G1463" s="50"/>
      <c r="H1463" s="51"/>
      <c r="I1463" s="39"/>
      <c r="J1463" s="51"/>
      <c r="K1463" s="51"/>
      <c r="L1463" s="51"/>
      <c r="P1463" s="52"/>
      <c r="Q1463" s="47"/>
    </row>
    <row r="1464" spans="1:17" ht="15" customHeight="1" x14ac:dyDescent="0.3">
      <c r="A1464" s="49"/>
      <c r="B1464" s="49"/>
      <c r="C1464" s="49"/>
      <c r="D1464" s="50"/>
      <c r="E1464" s="50"/>
      <c r="F1464" s="50"/>
      <c r="G1464" s="50"/>
      <c r="H1464" s="51"/>
      <c r="I1464" s="39"/>
      <c r="J1464" s="51"/>
      <c r="K1464" s="51"/>
      <c r="L1464" s="51"/>
      <c r="P1464" s="52"/>
      <c r="Q1464" s="47"/>
    </row>
    <row r="1465" spans="1:17" ht="15" customHeight="1" x14ac:dyDescent="0.3">
      <c r="A1465" s="49"/>
      <c r="B1465" s="49"/>
      <c r="C1465" s="49"/>
      <c r="D1465" s="50"/>
      <c r="E1465" s="50"/>
      <c r="F1465" s="50"/>
      <c r="G1465" s="50"/>
      <c r="H1465" s="51"/>
      <c r="I1465" s="39"/>
      <c r="J1465" s="51"/>
      <c r="K1465" s="51"/>
      <c r="L1465" s="51"/>
      <c r="P1465" s="52"/>
      <c r="Q1465" s="47"/>
    </row>
    <row r="1466" spans="1:17" ht="15" customHeight="1" x14ac:dyDescent="0.3">
      <c r="A1466" s="49"/>
      <c r="B1466" s="49"/>
      <c r="C1466" s="49"/>
      <c r="D1466" s="50"/>
      <c r="E1466" s="50"/>
      <c r="F1466" s="50"/>
      <c r="G1466" s="50"/>
      <c r="H1466" s="51"/>
      <c r="I1466" s="39"/>
      <c r="J1466" s="51"/>
      <c r="K1466" s="51"/>
      <c r="L1466" s="51"/>
      <c r="P1466" s="52"/>
      <c r="Q1466" s="47"/>
    </row>
    <row r="1467" spans="1:17" ht="15" customHeight="1" x14ac:dyDescent="0.3">
      <c r="A1467" s="49"/>
      <c r="B1467" s="49"/>
      <c r="C1467" s="49"/>
      <c r="D1467" s="50"/>
      <c r="E1467" s="50"/>
      <c r="F1467" s="50"/>
      <c r="G1467" s="50"/>
      <c r="H1467" s="51"/>
      <c r="I1467" s="39"/>
      <c r="J1467" s="51"/>
      <c r="K1467" s="51"/>
      <c r="L1467" s="51"/>
      <c r="P1467" s="52"/>
      <c r="Q1467" s="47"/>
    </row>
    <row r="1468" spans="1:17" ht="15" customHeight="1" x14ac:dyDescent="0.3">
      <c r="A1468" s="49"/>
      <c r="B1468" s="49"/>
      <c r="C1468" s="49"/>
      <c r="D1468" s="50"/>
      <c r="E1468" s="50"/>
      <c r="F1468" s="50"/>
      <c r="G1468" s="50"/>
      <c r="H1468" s="51"/>
      <c r="I1468" s="39"/>
      <c r="J1468" s="51"/>
      <c r="K1468" s="51"/>
      <c r="L1468" s="51"/>
      <c r="P1468" s="52"/>
      <c r="Q1468" s="47"/>
    </row>
    <row r="1469" spans="1:17" ht="15" customHeight="1" x14ac:dyDescent="0.3">
      <c r="A1469" s="49"/>
      <c r="B1469" s="49"/>
      <c r="C1469" s="49"/>
      <c r="D1469" s="50"/>
      <c r="E1469" s="50"/>
      <c r="F1469" s="50"/>
      <c r="G1469" s="50"/>
      <c r="H1469" s="51"/>
      <c r="I1469" s="39"/>
      <c r="J1469" s="51"/>
      <c r="K1469" s="51"/>
      <c r="L1469" s="51"/>
      <c r="P1469" s="52"/>
      <c r="Q1469" s="47"/>
    </row>
    <row r="1470" spans="1:17" ht="15" customHeight="1" x14ac:dyDescent="0.3">
      <c r="A1470" s="49"/>
      <c r="B1470" s="49"/>
      <c r="C1470" s="49"/>
      <c r="D1470" s="50"/>
      <c r="E1470" s="50"/>
      <c r="F1470" s="50"/>
      <c r="G1470" s="50"/>
      <c r="H1470" s="51"/>
      <c r="I1470" s="39"/>
      <c r="J1470" s="51"/>
      <c r="K1470" s="51"/>
      <c r="L1470" s="51"/>
      <c r="P1470" s="52"/>
      <c r="Q1470" s="47"/>
    </row>
    <row r="1471" spans="1:17" ht="15" customHeight="1" x14ac:dyDescent="0.3">
      <c r="A1471" s="49"/>
      <c r="B1471" s="49"/>
      <c r="C1471" s="49"/>
      <c r="D1471" s="50"/>
      <c r="E1471" s="50"/>
      <c r="F1471" s="50"/>
      <c r="G1471" s="50"/>
      <c r="H1471" s="51"/>
      <c r="I1471" s="39"/>
      <c r="J1471" s="51"/>
      <c r="K1471" s="51"/>
      <c r="L1471" s="51"/>
      <c r="P1471" s="52"/>
      <c r="Q1471" s="47"/>
    </row>
    <row r="1472" spans="1:17" ht="15" customHeight="1" x14ac:dyDescent="0.3">
      <c r="A1472" s="49"/>
      <c r="B1472" s="49"/>
      <c r="C1472" s="49"/>
      <c r="D1472" s="50"/>
      <c r="E1472" s="50"/>
      <c r="F1472" s="50"/>
      <c r="G1472" s="50"/>
      <c r="H1472" s="51"/>
      <c r="I1472" s="39"/>
      <c r="J1472" s="51"/>
      <c r="K1472" s="51"/>
      <c r="L1472" s="51"/>
      <c r="P1472" s="52"/>
      <c r="Q1472" s="47"/>
    </row>
    <row r="1473" spans="1:17" ht="15" customHeight="1" x14ac:dyDescent="0.3">
      <c r="A1473" s="49"/>
      <c r="B1473" s="49"/>
      <c r="C1473" s="49"/>
      <c r="D1473" s="50"/>
      <c r="E1473" s="50"/>
      <c r="F1473" s="50"/>
      <c r="G1473" s="50"/>
      <c r="H1473" s="51"/>
      <c r="I1473" s="39"/>
      <c r="J1473" s="51"/>
      <c r="K1473" s="51"/>
      <c r="L1473" s="51"/>
      <c r="P1473" s="52"/>
      <c r="Q1473" s="47"/>
    </row>
    <row r="1474" spans="1:17" ht="15" customHeight="1" x14ac:dyDescent="0.3">
      <c r="A1474" s="49"/>
      <c r="B1474" s="49"/>
      <c r="C1474" s="49"/>
      <c r="D1474" s="50"/>
      <c r="E1474" s="50"/>
      <c r="F1474" s="50"/>
      <c r="G1474" s="50"/>
      <c r="H1474" s="51"/>
      <c r="I1474" s="39"/>
      <c r="J1474" s="51"/>
      <c r="K1474" s="51"/>
      <c r="L1474" s="51"/>
      <c r="P1474" s="52"/>
      <c r="Q1474" s="47"/>
    </row>
    <row r="1475" spans="1:17" ht="15" customHeight="1" x14ac:dyDescent="0.3">
      <c r="A1475" s="49"/>
      <c r="B1475" s="49"/>
      <c r="C1475" s="49"/>
      <c r="D1475" s="50"/>
      <c r="E1475" s="50"/>
      <c r="F1475" s="50"/>
      <c r="G1475" s="50"/>
      <c r="H1475" s="51"/>
      <c r="I1475" s="39"/>
      <c r="J1475" s="51"/>
      <c r="K1475" s="51"/>
      <c r="L1475" s="51"/>
      <c r="P1475" s="52"/>
      <c r="Q1475" s="47"/>
    </row>
    <row r="1476" spans="1:17" ht="15" customHeight="1" x14ac:dyDescent="0.3">
      <c r="A1476" s="49"/>
      <c r="B1476" s="49"/>
      <c r="C1476" s="49"/>
      <c r="D1476" s="50"/>
      <c r="E1476" s="50"/>
      <c r="F1476" s="50"/>
      <c r="G1476" s="50"/>
      <c r="H1476" s="51"/>
      <c r="I1476" s="39"/>
      <c r="J1476" s="51"/>
      <c r="K1476" s="51"/>
      <c r="L1476" s="51"/>
      <c r="P1476" s="52"/>
      <c r="Q1476" s="47"/>
    </row>
    <row r="1477" spans="1:17" ht="15" customHeight="1" x14ac:dyDescent="0.3">
      <c r="A1477" s="49"/>
      <c r="B1477" s="49"/>
      <c r="C1477" s="49"/>
      <c r="D1477" s="50"/>
      <c r="E1477" s="50"/>
      <c r="F1477" s="50"/>
      <c r="G1477" s="50"/>
      <c r="H1477" s="51"/>
      <c r="I1477" s="39"/>
      <c r="J1477" s="51"/>
      <c r="K1477" s="51"/>
      <c r="L1477" s="51"/>
      <c r="P1477" s="52"/>
      <c r="Q1477" s="47"/>
    </row>
    <row r="1478" spans="1:17" ht="15" customHeight="1" x14ac:dyDescent="0.3">
      <c r="A1478" s="49"/>
      <c r="B1478" s="49"/>
      <c r="C1478" s="49"/>
      <c r="D1478" s="50"/>
      <c r="E1478" s="50"/>
      <c r="F1478" s="50"/>
      <c r="G1478" s="50"/>
      <c r="H1478" s="51"/>
      <c r="I1478" s="39"/>
      <c r="J1478" s="51"/>
      <c r="K1478" s="51"/>
      <c r="L1478" s="51"/>
      <c r="P1478" s="52"/>
      <c r="Q1478" s="47"/>
    </row>
    <row r="1479" spans="1:17" ht="15" customHeight="1" x14ac:dyDescent="0.3">
      <c r="A1479" s="49"/>
      <c r="B1479" s="49"/>
      <c r="C1479" s="49"/>
      <c r="D1479" s="50"/>
      <c r="E1479" s="50"/>
      <c r="F1479" s="50"/>
      <c r="G1479" s="50"/>
      <c r="H1479" s="51"/>
      <c r="I1479" s="39"/>
      <c r="J1479" s="51"/>
      <c r="K1479" s="51"/>
      <c r="L1479" s="51"/>
      <c r="P1479" s="52"/>
      <c r="Q1479" s="47"/>
    </row>
    <row r="1480" spans="1:17" ht="15" customHeight="1" x14ac:dyDescent="0.3">
      <c r="A1480" s="49"/>
      <c r="B1480" s="49"/>
      <c r="C1480" s="49"/>
      <c r="D1480" s="50"/>
      <c r="E1480" s="50"/>
      <c r="F1480" s="50"/>
      <c r="G1480" s="50"/>
      <c r="H1480" s="51"/>
      <c r="I1480" s="39"/>
      <c r="J1480" s="51"/>
      <c r="K1480" s="51"/>
      <c r="L1480" s="51"/>
      <c r="P1480" s="52"/>
      <c r="Q1480" s="47"/>
    </row>
    <row r="1481" spans="1:17" ht="15" customHeight="1" x14ac:dyDescent="0.3">
      <c r="A1481" s="49"/>
      <c r="B1481" s="49"/>
      <c r="C1481" s="49"/>
      <c r="D1481" s="50"/>
      <c r="E1481" s="50"/>
      <c r="F1481" s="50"/>
      <c r="G1481" s="50"/>
      <c r="H1481" s="51"/>
      <c r="I1481" s="39"/>
      <c r="J1481" s="51"/>
      <c r="K1481" s="51"/>
      <c r="L1481" s="51"/>
      <c r="P1481" s="52"/>
      <c r="Q1481" s="47"/>
    </row>
    <row r="1482" spans="1:17" ht="15" customHeight="1" x14ac:dyDescent="0.3">
      <c r="A1482" s="49"/>
      <c r="B1482" s="49"/>
      <c r="C1482" s="49"/>
      <c r="D1482" s="50"/>
      <c r="E1482" s="50"/>
      <c r="F1482" s="50"/>
      <c r="G1482" s="50"/>
      <c r="H1482" s="51"/>
      <c r="I1482" s="39"/>
      <c r="J1482" s="51"/>
      <c r="K1482" s="51"/>
      <c r="L1482" s="51"/>
      <c r="P1482" s="52"/>
      <c r="Q1482" s="47"/>
    </row>
    <row r="1483" spans="1:17" ht="15" customHeight="1" x14ac:dyDescent="0.3">
      <c r="A1483" s="49"/>
      <c r="B1483" s="49"/>
      <c r="C1483" s="49"/>
      <c r="D1483" s="50"/>
      <c r="E1483" s="50"/>
      <c r="F1483" s="50"/>
      <c r="G1483" s="50"/>
      <c r="H1483" s="51"/>
      <c r="I1483" s="39"/>
      <c r="J1483" s="51"/>
      <c r="K1483" s="51"/>
      <c r="L1483" s="51"/>
      <c r="P1483" s="52"/>
      <c r="Q1483" s="47"/>
    </row>
    <row r="1484" spans="1:17" ht="15" customHeight="1" x14ac:dyDescent="0.3">
      <c r="A1484" s="49"/>
      <c r="B1484" s="49"/>
      <c r="C1484" s="49"/>
      <c r="D1484" s="50"/>
      <c r="E1484" s="50"/>
      <c r="F1484" s="50"/>
      <c r="G1484" s="50"/>
      <c r="H1484" s="51"/>
      <c r="I1484" s="39"/>
      <c r="J1484" s="51"/>
      <c r="K1484" s="51"/>
      <c r="L1484" s="51"/>
      <c r="P1484" s="52"/>
      <c r="Q1484" s="47"/>
    </row>
    <row r="1485" spans="1:17" ht="15" customHeight="1" x14ac:dyDescent="0.3">
      <c r="A1485" s="49"/>
      <c r="B1485" s="49"/>
      <c r="C1485" s="49"/>
      <c r="D1485" s="50"/>
      <c r="E1485" s="50"/>
      <c r="F1485" s="50"/>
      <c r="G1485" s="50"/>
      <c r="H1485" s="51"/>
      <c r="I1485" s="39"/>
      <c r="J1485" s="51"/>
      <c r="K1485" s="51"/>
      <c r="L1485" s="51"/>
      <c r="P1485" s="52"/>
      <c r="Q1485" s="47"/>
    </row>
    <row r="1486" spans="1:17" ht="15" customHeight="1" x14ac:dyDescent="0.3">
      <c r="A1486" s="49"/>
      <c r="B1486" s="49"/>
      <c r="C1486" s="49"/>
      <c r="D1486" s="50"/>
      <c r="E1486" s="50"/>
      <c r="F1486" s="50"/>
      <c r="G1486" s="50"/>
      <c r="H1486" s="51"/>
      <c r="I1486" s="39"/>
      <c r="J1486" s="51"/>
      <c r="K1486" s="51"/>
      <c r="L1486" s="51"/>
      <c r="P1486" s="52"/>
      <c r="Q1486" s="47"/>
    </row>
    <row r="1487" spans="1:17" ht="15" customHeight="1" x14ac:dyDescent="0.3">
      <c r="A1487" s="49"/>
      <c r="B1487" s="49"/>
      <c r="C1487" s="49"/>
      <c r="D1487" s="50"/>
      <c r="E1487" s="50"/>
      <c r="F1487" s="50"/>
      <c r="G1487" s="50"/>
      <c r="H1487" s="51"/>
      <c r="I1487" s="39"/>
      <c r="J1487" s="51"/>
      <c r="K1487" s="51"/>
      <c r="L1487" s="51"/>
      <c r="P1487" s="52"/>
      <c r="Q1487" s="47"/>
    </row>
    <row r="1488" spans="1:17" ht="15" customHeight="1" x14ac:dyDescent="0.3">
      <c r="A1488" s="49"/>
      <c r="B1488" s="49"/>
      <c r="C1488" s="49"/>
      <c r="D1488" s="50"/>
      <c r="E1488" s="50"/>
      <c r="F1488" s="50"/>
      <c r="G1488" s="50"/>
      <c r="H1488" s="51"/>
      <c r="I1488" s="39"/>
      <c r="J1488" s="51"/>
      <c r="K1488" s="51"/>
      <c r="L1488" s="51"/>
      <c r="P1488" s="52"/>
      <c r="Q1488" s="47"/>
    </row>
    <row r="1489" spans="1:17" ht="15" customHeight="1" x14ac:dyDescent="0.3">
      <c r="A1489" s="49"/>
      <c r="B1489" s="49"/>
      <c r="C1489" s="49"/>
      <c r="D1489" s="50"/>
      <c r="E1489" s="50"/>
      <c r="F1489" s="50"/>
      <c r="G1489" s="50"/>
      <c r="H1489" s="51"/>
      <c r="I1489" s="39"/>
      <c r="J1489" s="51"/>
      <c r="K1489" s="51"/>
      <c r="L1489" s="51"/>
      <c r="P1489" s="52"/>
      <c r="Q1489" s="47"/>
    </row>
    <row r="1490" spans="1:17" ht="15" customHeight="1" x14ac:dyDescent="0.3">
      <c r="A1490" s="49"/>
      <c r="B1490" s="49"/>
      <c r="C1490" s="49"/>
      <c r="D1490" s="50"/>
      <c r="E1490" s="50"/>
      <c r="F1490" s="50"/>
      <c r="G1490" s="50"/>
      <c r="H1490" s="51"/>
      <c r="I1490" s="39"/>
      <c r="J1490" s="51"/>
      <c r="K1490" s="51"/>
      <c r="L1490" s="51"/>
      <c r="P1490" s="52"/>
      <c r="Q1490" s="47"/>
    </row>
    <row r="1491" spans="1:17" ht="15" customHeight="1" x14ac:dyDescent="0.3">
      <c r="A1491" s="49"/>
      <c r="B1491" s="49"/>
      <c r="C1491" s="49"/>
      <c r="D1491" s="50"/>
      <c r="E1491" s="50"/>
      <c r="F1491" s="50"/>
      <c r="G1491" s="50"/>
      <c r="H1491" s="51"/>
      <c r="I1491" s="39"/>
      <c r="J1491" s="51"/>
      <c r="K1491" s="51"/>
      <c r="L1491" s="51"/>
      <c r="P1491" s="52"/>
      <c r="Q1491" s="47"/>
    </row>
    <row r="1492" spans="1:17" ht="15" customHeight="1" x14ac:dyDescent="0.3">
      <c r="A1492" s="49"/>
      <c r="B1492" s="49"/>
      <c r="C1492" s="49"/>
      <c r="D1492" s="50"/>
      <c r="E1492" s="50"/>
      <c r="F1492" s="50"/>
      <c r="G1492" s="50"/>
      <c r="H1492" s="51"/>
      <c r="I1492" s="39"/>
      <c r="J1492" s="51"/>
      <c r="K1492" s="51"/>
      <c r="L1492" s="51"/>
      <c r="P1492" s="52"/>
      <c r="Q1492" s="47"/>
    </row>
    <row r="1493" spans="1:17" ht="15" customHeight="1" x14ac:dyDescent="0.3">
      <c r="A1493" s="49"/>
      <c r="B1493" s="49"/>
      <c r="C1493" s="49"/>
      <c r="D1493" s="50"/>
      <c r="E1493" s="50"/>
      <c r="F1493" s="50"/>
      <c r="G1493" s="50"/>
      <c r="H1493" s="51"/>
      <c r="I1493" s="39"/>
      <c r="J1493" s="51"/>
      <c r="K1493" s="51"/>
      <c r="L1493" s="51"/>
      <c r="P1493" s="52"/>
      <c r="Q1493" s="47"/>
    </row>
    <row r="1494" spans="1:17" ht="15" customHeight="1" x14ac:dyDescent="0.3">
      <c r="A1494" s="49"/>
      <c r="B1494" s="49"/>
      <c r="C1494" s="49"/>
      <c r="D1494" s="50"/>
      <c r="E1494" s="50"/>
      <c r="F1494" s="50"/>
      <c r="G1494" s="50"/>
      <c r="H1494" s="51"/>
      <c r="I1494" s="39"/>
      <c r="J1494" s="51"/>
      <c r="K1494" s="51"/>
      <c r="L1494" s="51"/>
      <c r="P1494" s="52"/>
      <c r="Q1494" s="47"/>
    </row>
    <row r="1495" spans="1:17" ht="15" customHeight="1" x14ac:dyDescent="0.3">
      <c r="A1495" s="49"/>
      <c r="B1495" s="49"/>
      <c r="C1495" s="49"/>
      <c r="D1495" s="50"/>
      <c r="E1495" s="50"/>
      <c r="F1495" s="50"/>
      <c r="G1495" s="50"/>
      <c r="H1495" s="51"/>
      <c r="I1495" s="39"/>
      <c r="J1495" s="51"/>
      <c r="K1495" s="51"/>
      <c r="L1495" s="51"/>
      <c r="P1495" s="52"/>
      <c r="Q1495" s="47"/>
    </row>
    <row r="1496" spans="1:17" ht="15" customHeight="1" x14ac:dyDescent="0.3">
      <c r="A1496" s="49"/>
      <c r="B1496" s="49"/>
      <c r="C1496" s="49"/>
      <c r="D1496" s="50"/>
      <c r="E1496" s="50"/>
      <c r="F1496" s="50"/>
      <c r="G1496" s="50"/>
      <c r="H1496" s="51"/>
      <c r="I1496" s="39"/>
      <c r="J1496" s="51"/>
      <c r="K1496" s="51"/>
      <c r="L1496" s="51"/>
      <c r="P1496" s="52"/>
      <c r="Q1496" s="47"/>
    </row>
    <row r="1497" spans="1:17" ht="15" customHeight="1" x14ac:dyDescent="0.3">
      <c r="A1497" s="49"/>
      <c r="B1497" s="49"/>
      <c r="C1497" s="49"/>
      <c r="D1497" s="50"/>
      <c r="E1497" s="50"/>
      <c r="F1497" s="50"/>
      <c r="G1497" s="50"/>
      <c r="H1497" s="51"/>
      <c r="I1497" s="39"/>
      <c r="J1497" s="51"/>
      <c r="K1497" s="51"/>
      <c r="L1497" s="51"/>
      <c r="P1497" s="52"/>
      <c r="Q1497" s="47"/>
    </row>
    <row r="1498" spans="1:17" ht="15" customHeight="1" x14ac:dyDescent="0.3">
      <c r="A1498" s="49"/>
      <c r="B1498" s="49"/>
      <c r="C1498" s="49"/>
      <c r="D1498" s="50"/>
      <c r="E1498" s="50"/>
      <c r="F1498" s="50"/>
      <c r="G1498" s="50"/>
      <c r="H1498" s="51"/>
      <c r="I1498" s="39"/>
      <c r="J1498" s="51"/>
      <c r="K1498" s="51"/>
      <c r="L1498" s="51"/>
      <c r="P1498" s="52"/>
      <c r="Q1498" s="47"/>
    </row>
    <row r="1499" spans="1:17" ht="15" customHeight="1" x14ac:dyDescent="0.3">
      <c r="A1499" s="49"/>
      <c r="B1499" s="49"/>
      <c r="C1499" s="49"/>
      <c r="D1499" s="50"/>
      <c r="E1499" s="50"/>
      <c r="F1499" s="50"/>
      <c r="G1499" s="50"/>
      <c r="H1499" s="51"/>
      <c r="I1499" s="39"/>
      <c r="J1499" s="51"/>
      <c r="K1499" s="51"/>
      <c r="L1499" s="51"/>
      <c r="P1499" s="52"/>
      <c r="Q1499" s="47"/>
    </row>
    <row r="1500" spans="1:17" ht="15" customHeight="1" x14ac:dyDescent="0.3">
      <c r="A1500" s="49"/>
      <c r="B1500" s="49"/>
      <c r="C1500" s="49"/>
      <c r="D1500" s="50"/>
      <c r="E1500" s="50"/>
      <c r="F1500" s="50"/>
      <c r="G1500" s="50"/>
      <c r="H1500" s="51"/>
      <c r="I1500" s="39"/>
      <c r="J1500" s="51"/>
      <c r="K1500" s="51"/>
      <c r="L1500" s="51"/>
      <c r="P1500" s="52"/>
      <c r="Q1500" s="47"/>
    </row>
    <row r="1501" spans="1:17" ht="15" customHeight="1" x14ac:dyDescent="0.3">
      <c r="A1501" s="49"/>
      <c r="B1501" s="49"/>
      <c r="C1501" s="49"/>
      <c r="D1501" s="50"/>
      <c r="E1501" s="50"/>
      <c r="F1501" s="50"/>
      <c r="G1501" s="50"/>
      <c r="H1501" s="51"/>
      <c r="I1501" s="39"/>
      <c r="J1501" s="51"/>
      <c r="K1501" s="51"/>
      <c r="L1501" s="51"/>
      <c r="P1501" s="52"/>
      <c r="Q1501" s="47"/>
    </row>
    <row r="1502" spans="1:17" ht="15" customHeight="1" x14ac:dyDescent="0.3">
      <c r="A1502" s="49"/>
      <c r="B1502" s="49"/>
      <c r="C1502" s="49"/>
      <c r="D1502" s="50"/>
      <c r="E1502" s="50"/>
      <c r="F1502" s="50"/>
      <c r="G1502" s="50"/>
      <c r="H1502" s="51"/>
      <c r="I1502" s="39"/>
      <c r="J1502" s="51"/>
      <c r="K1502" s="51"/>
      <c r="L1502" s="51"/>
      <c r="P1502" s="52"/>
      <c r="Q1502" s="47"/>
    </row>
    <row r="1503" spans="1:17" ht="15" customHeight="1" x14ac:dyDescent="0.3">
      <c r="A1503" s="49"/>
      <c r="B1503" s="49"/>
      <c r="C1503" s="49"/>
      <c r="D1503" s="50"/>
      <c r="E1503" s="50"/>
      <c r="F1503" s="50"/>
      <c r="G1503" s="50"/>
      <c r="H1503" s="51"/>
      <c r="I1503" s="39"/>
      <c r="J1503" s="51"/>
      <c r="K1503" s="51"/>
      <c r="L1503" s="51"/>
      <c r="P1503" s="52"/>
      <c r="Q1503" s="47"/>
    </row>
    <row r="1504" spans="1:17" ht="15" customHeight="1" x14ac:dyDescent="0.3">
      <c r="A1504" s="49"/>
      <c r="B1504" s="49"/>
      <c r="C1504" s="49"/>
      <c r="D1504" s="50"/>
      <c r="E1504" s="50"/>
      <c r="F1504" s="50"/>
      <c r="G1504" s="50"/>
      <c r="H1504" s="51"/>
      <c r="I1504" s="39"/>
      <c r="J1504" s="51"/>
      <c r="K1504" s="51"/>
      <c r="L1504" s="51"/>
      <c r="P1504" s="52"/>
      <c r="Q1504" s="47"/>
    </row>
    <row r="1505" spans="1:17" ht="15" customHeight="1" x14ac:dyDescent="0.3">
      <c r="A1505" s="49"/>
      <c r="B1505" s="49"/>
      <c r="C1505" s="49"/>
      <c r="D1505" s="50"/>
      <c r="E1505" s="50"/>
      <c r="F1505" s="50"/>
      <c r="G1505" s="50"/>
      <c r="H1505" s="51"/>
      <c r="I1505" s="39"/>
      <c r="J1505" s="51"/>
      <c r="K1505" s="51"/>
      <c r="L1505" s="51"/>
      <c r="P1505" s="52"/>
      <c r="Q1505" s="47"/>
    </row>
    <row r="1506" spans="1:17" ht="15" customHeight="1" x14ac:dyDescent="0.3">
      <c r="A1506" s="49"/>
      <c r="B1506" s="49"/>
      <c r="C1506" s="49"/>
      <c r="D1506" s="50"/>
      <c r="E1506" s="50"/>
      <c r="F1506" s="50"/>
      <c r="G1506" s="50"/>
      <c r="H1506" s="51"/>
      <c r="I1506" s="39"/>
      <c r="J1506" s="51"/>
      <c r="K1506" s="51"/>
      <c r="L1506" s="51"/>
      <c r="P1506" s="52"/>
      <c r="Q1506" s="47"/>
    </row>
    <row r="1507" spans="1:17" ht="15" customHeight="1" x14ac:dyDescent="0.3">
      <c r="A1507" s="49"/>
      <c r="B1507" s="49"/>
      <c r="C1507" s="49"/>
      <c r="D1507" s="50"/>
      <c r="E1507" s="50"/>
      <c r="F1507" s="50"/>
      <c r="G1507" s="50"/>
      <c r="H1507" s="51"/>
      <c r="I1507" s="39"/>
      <c r="J1507" s="51"/>
      <c r="K1507" s="51"/>
      <c r="L1507" s="51"/>
      <c r="P1507" s="52"/>
      <c r="Q1507" s="47"/>
    </row>
    <row r="1508" spans="1:17" ht="15" customHeight="1" x14ac:dyDescent="0.3">
      <c r="A1508" s="49"/>
      <c r="B1508" s="49"/>
      <c r="C1508" s="49"/>
      <c r="D1508" s="50"/>
      <c r="E1508" s="50"/>
      <c r="F1508" s="50"/>
      <c r="G1508" s="50"/>
      <c r="H1508" s="51"/>
      <c r="I1508" s="39"/>
      <c r="J1508" s="51"/>
      <c r="K1508" s="51"/>
      <c r="L1508" s="51"/>
      <c r="P1508" s="52"/>
      <c r="Q1508" s="47"/>
    </row>
    <row r="1509" spans="1:17" ht="15" customHeight="1" x14ac:dyDescent="0.3">
      <c r="A1509" s="49"/>
      <c r="B1509" s="49"/>
      <c r="C1509" s="49"/>
      <c r="D1509" s="50"/>
      <c r="E1509" s="50"/>
      <c r="F1509" s="50"/>
      <c r="G1509" s="50"/>
      <c r="H1509" s="51"/>
      <c r="I1509" s="39"/>
      <c r="J1509" s="51"/>
      <c r="K1509" s="51"/>
      <c r="L1509" s="51"/>
      <c r="P1509" s="52"/>
      <c r="Q1509" s="47"/>
    </row>
    <row r="1510" spans="1:17" ht="15" customHeight="1" x14ac:dyDescent="0.3">
      <c r="A1510" s="49"/>
      <c r="B1510" s="49"/>
      <c r="C1510" s="49"/>
      <c r="D1510" s="50"/>
      <c r="E1510" s="50"/>
      <c r="F1510" s="50"/>
      <c r="G1510" s="50"/>
      <c r="H1510" s="51"/>
      <c r="I1510" s="39"/>
      <c r="J1510" s="51"/>
      <c r="K1510" s="51"/>
      <c r="L1510" s="51"/>
      <c r="P1510" s="52"/>
      <c r="Q1510" s="47"/>
    </row>
    <row r="1511" spans="1:17" ht="15" customHeight="1" x14ac:dyDescent="0.3">
      <c r="A1511" s="49"/>
      <c r="B1511" s="49"/>
      <c r="C1511" s="49"/>
      <c r="D1511" s="50"/>
      <c r="E1511" s="50"/>
      <c r="F1511" s="50"/>
      <c r="G1511" s="50"/>
      <c r="H1511" s="51"/>
      <c r="I1511" s="39"/>
      <c r="J1511" s="51"/>
      <c r="K1511" s="51"/>
      <c r="L1511" s="51"/>
      <c r="P1511" s="52"/>
      <c r="Q1511" s="47"/>
    </row>
    <row r="1512" spans="1:17" ht="15" customHeight="1" x14ac:dyDescent="0.3">
      <c r="A1512" s="49"/>
      <c r="B1512" s="49"/>
      <c r="C1512" s="49"/>
      <c r="D1512" s="50"/>
      <c r="E1512" s="50"/>
      <c r="F1512" s="50"/>
      <c r="G1512" s="50"/>
      <c r="H1512" s="51"/>
      <c r="I1512" s="39"/>
      <c r="J1512" s="51"/>
      <c r="K1512" s="51"/>
      <c r="L1512" s="51"/>
      <c r="P1512" s="52"/>
      <c r="Q1512" s="47"/>
    </row>
    <row r="1513" spans="1:17" ht="15" customHeight="1" x14ac:dyDescent="0.3">
      <c r="A1513" s="49"/>
      <c r="B1513" s="49"/>
      <c r="C1513" s="49"/>
      <c r="D1513" s="50"/>
      <c r="E1513" s="50"/>
      <c r="F1513" s="50"/>
      <c r="G1513" s="50"/>
      <c r="H1513" s="51"/>
      <c r="I1513" s="39"/>
      <c r="J1513" s="51"/>
      <c r="K1513" s="51"/>
      <c r="L1513" s="51"/>
      <c r="P1513" s="52"/>
      <c r="Q1513" s="47"/>
    </row>
    <row r="1514" spans="1:17" ht="15" customHeight="1" x14ac:dyDescent="0.3">
      <c r="A1514" s="49"/>
      <c r="B1514" s="49"/>
      <c r="C1514" s="49"/>
      <c r="D1514" s="50"/>
      <c r="E1514" s="50"/>
      <c r="F1514" s="50"/>
      <c r="G1514" s="50"/>
      <c r="H1514" s="51"/>
      <c r="I1514" s="39"/>
      <c r="J1514" s="51"/>
      <c r="K1514" s="51"/>
      <c r="L1514" s="51"/>
      <c r="P1514" s="52"/>
      <c r="Q1514" s="47"/>
    </row>
    <row r="1515" spans="1:17" ht="15" customHeight="1" x14ac:dyDescent="0.3">
      <c r="A1515" s="49"/>
      <c r="B1515" s="49"/>
      <c r="C1515" s="49"/>
      <c r="D1515" s="50"/>
      <c r="E1515" s="50"/>
      <c r="F1515" s="50"/>
      <c r="G1515" s="50"/>
      <c r="H1515" s="51"/>
      <c r="I1515" s="39"/>
      <c r="J1515" s="51"/>
      <c r="K1515" s="51"/>
      <c r="L1515" s="51"/>
      <c r="P1515" s="52"/>
      <c r="Q1515" s="47"/>
    </row>
    <row r="1516" spans="1:17" ht="15" customHeight="1" x14ac:dyDescent="0.3">
      <c r="A1516" s="49"/>
      <c r="B1516" s="49"/>
      <c r="C1516" s="49"/>
      <c r="D1516" s="50"/>
      <c r="E1516" s="50"/>
      <c r="F1516" s="50"/>
      <c r="G1516" s="50"/>
      <c r="H1516" s="51"/>
      <c r="I1516" s="39"/>
      <c r="J1516" s="51"/>
      <c r="K1516" s="51"/>
      <c r="L1516" s="51"/>
      <c r="P1516" s="52"/>
      <c r="Q1516" s="47"/>
    </row>
    <row r="1517" spans="1:17" ht="15" customHeight="1" x14ac:dyDescent="0.3">
      <c r="A1517" s="49"/>
      <c r="B1517" s="49"/>
      <c r="C1517" s="49"/>
      <c r="D1517" s="50"/>
      <c r="E1517" s="50"/>
      <c r="F1517" s="50"/>
      <c r="G1517" s="50"/>
      <c r="H1517" s="51"/>
      <c r="I1517" s="39"/>
      <c r="J1517" s="51"/>
      <c r="K1517" s="51"/>
      <c r="L1517" s="51"/>
      <c r="P1517" s="52"/>
      <c r="Q1517" s="47"/>
    </row>
    <row r="1518" spans="1:17" ht="15" customHeight="1" x14ac:dyDescent="0.3">
      <c r="A1518" s="49"/>
      <c r="B1518" s="49"/>
      <c r="C1518" s="49"/>
      <c r="D1518" s="50"/>
      <c r="E1518" s="50"/>
      <c r="F1518" s="50"/>
      <c r="G1518" s="50"/>
      <c r="H1518" s="51"/>
      <c r="I1518" s="39"/>
      <c r="J1518" s="51"/>
      <c r="K1518" s="51"/>
      <c r="L1518" s="51"/>
      <c r="P1518" s="52"/>
      <c r="Q1518" s="47"/>
    </row>
    <row r="1519" spans="1:17" ht="15" customHeight="1" x14ac:dyDescent="0.3">
      <c r="A1519" s="49"/>
      <c r="B1519" s="49"/>
      <c r="C1519" s="49"/>
      <c r="D1519" s="50"/>
      <c r="E1519" s="50"/>
      <c r="F1519" s="50"/>
      <c r="G1519" s="50"/>
      <c r="H1519" s="51"/>
      <c r="I1519" s="39"/>
      <c r="J1519" s="51"/>
      <c r="K1519" s="51"/>
      <c r="L1519" s="51"/>
      <c r="P1519" s="52"/>
      <c r="Q1519" s="47"/>
    </row>
    <row r="1520" spans="1:17" ht="15" customHeight="1" x14ac:dyDescent="0.3">
      <c r="A1520" s="49"/>
      <c r="B1520" s="49"/>
      <c r="C1520" s="49"/>
      <c r="D1520" s="50"/>
      <c r="E1520" s="50"/>
      <c r="F1520" s="50"/>
      <c r="G1520" s="50"/>
      <c r="H1520" s="51"/>
      <c r="I1520" s="39"/>
      <c r="J1520" s="51"/>
      <c r="K1520" s="51"/>
      <c r="L1520" s="51"/>
      <c r="P1520" s="52"/>
      <c r="Q1520" s="47"/>
    </row>
    <row r="1521" spans="1:17" ht="15" customHeight="1" x14ac:dyDescent="0.3">
      <c r="A1521" s="49"/>
      <c r="B1521" s="49"/>
      <c r="C1521" s="49"/>
      <c r="D1521" s="50"/>
      <c r="E1521" s="50"/>
      <c r="F1521" s="50"/>
      <c r="G1521" s="50"/>
      <c r="H1521" s="51"/>
      <c r="I1521" s="39"/>
      <c r="J1521" s="51"/>
      <c r="K1521" s="51"/>
      <c r="L1521" s="51"/>
      <c r="P1521" s="52"/>
      <c r="Q1521" s="47"/>
    </row>
    <row r="1522" spans="1:17" ht="15" customHeight="1" x14ac:dyDescent="0.3">
      <c r="A1522" s="49"/>
      <c r="B1522" s="49"/>
      <c r="C1522" s="49"/>
      <c r="D1522" s="50"/>
      <c r="E1522" s="50"/>
      <c r="F1522" s="50"/>
      <c r="G1522" s="50"/>
      <c r="H1522" s="51"/>
      <c r="I1522" s="39"/>
      <c r="J1522" s="51"/>
      <c r="K1522" s="51"/>
      <c r="L1522" s="51"/>
      <c r="P1522" s="52"/>
      <c r="Q1522" s="47"/>
    </row>
    <row r="1523" spans="1:17" ht="15" customHeight="1" x14ac:dyDescent="0.3">
      <c r="A1523" s="49"/>
      <c r="B1523" s="49"/>
      <c r="C1523" s="49"/>
      <c r="D1523" s="50"/>
      <c r="E1523" s="50"/>
      <c r="F1523" s="50"/>
      <c r="G1523" s="50"/>
      <c r="H1523" s="51"/>
      <c r="I1523" s="39"/>
      <c r="J1523" s="51"/>
      <c r="K1523" s="51"/>
      <c r="L1523" s="51"/>
      <c r="P1523" s="52"/>
      <c r="Q1523" s="47"/>
    </row>
    <row r="1524" spans="1:17" ht="15" customHeight="1" x14ac:dyDescent="0.3">
      <c r="A1524" s="49"/>
      <c r="B1524" s="49"/>
      <c r="C1524" s="49"/>
      <c r="D1524" s="50"/>
      <c r="E1524" s="50"/>
      <c r="F1524" s="50"/>
      <c r="G1524" s="50"/>
      <c r="H1524" s="51"/>
      <c r="I1524" s="39"/>
      <c r="J1524" s="51"/>
      <c r="K1524" s="51"/>
      <c r="L1524" s="51"/>
      <c r="P1524" s="52"/>
      <c r="Q1524" s="47"/>
    </row>
    <row r="1525" spans="1:17" ht="15" customHeight="1" x14ac:dyDescent="0.3">
      <c r="A1525" s="49"/>
      <c r="B1525" s="49"/>
      <c r="C1525" s="49"/>
      <c r="D1525" s="50"/>
      <c r="E1525" s="50"/>
      <c r="F1525" s="50"/>
      <c r="G1525" s="50"/>
      <c r="H1525" s="51"/>
      <c r="I1525" s="39"/>
      <c r="J1525" s="51"/>
      <c r="K1525" s="51"/>
      <c r="L1525" s="51"/>
      <c r="P1525" s="52"/>
      <c r="Q1525" s="47"/>
    </row>
    <row r="1526" spans="1:17" ht="15" customHeight="1" x14ac:dyDescent="0.3">
      <c r="A1526" s="49"/>
      <c r="B1526" s="49"/>
      <c r="C1526" s="49"/>
      <c r="D1526" s="50"/>
      <c r="E1526" s="50"/>
      <c r="F1526" s="50"/>
      <c r="G1526" s="50"/>
      <c r="H1526" s="51"/>
      <c r="I1526" s="39"/>
      <c r="J1526" s="51"/>
      <c r="K1526" s="51"/>
      <c r="L1526" s="51"/>
      <c r="P1526" s="52"/>
      <c r="Q1526" s="47"/>
    </row>
    <row r="1527" spans="1:17" ht="15" customHeight="1" x14ac:dyDescent="0.3">
      <c r="A1527" s="49"/>
      <c r="B1527" s="49"/>
      <c r="C1527" s="49"/>
      <c r="D1527" s="50"/>
      <c r="E1527" s="50"/>
      <c r="F1527" s="50"/>
      <c r="G1527" s="50"/>
      <c r="H1527" s="51"/>
      <c r="I1527" s="39"/>
      <c r="J1527" s="51"/>
      <c r="K1527" s="51"/>
      <c r="L1527" s="51"/>
      <c r="P1527" s="52"/>
      <c r="Q1527" s="47"/>
    </row>
    <row r="1528" spans="1:17" ht="15" customHeight="1" x14ac:dyDescent="0.3">
      <c r="A1528" s="49"/>
      <c r="B1528" s="49"/>
      <c r="C1528" s="49"/>
      <c r="D1528" s="50"/>
      <c r="E1528" s="50"/>
      <c r="F1528" s="50"/>
      <c r="G1528" s="50"/>
      <c r="H1528" s="51"/>
      <c r="I1528" s="39"/>
      <c r="J1528" s="51"/>
      <c r="K1528" s="51"/>
      <c r="L1528" s="51"/>
      <c r="P1528" s="52"/>
      <c r="Q1528" s="47"/>
    </row>
    <row r="1529" spans="1:17" ht="15" customHeight="1" x14ac:dyDescent="0.3">
      <c r="A1529" s="49"/>
      <c r="B1529" s="49"/>
      <c r="C1529" s="49"/>
      <c r="D1529" s="50"/>
      <c r="E1529" s="50"/>
      <c r="F1529" s="50"/>
      <c r="G1529" s="50"/>
      <c r="H1529" s="51"/>
      <c r="I1529" s="39"/>
      <c r="J1529" s="51"/>
      <c r="K1529" s="51"/>
      <c r="L1529" s="51"/>
      <c r="P1529" s="52"/>
      <c r="Q1529" s="47"/>
    </row>
    <row r="1530" spans="1:17" ht="15" customHeight="1" x14ac:dyDescent="0.3">
      <c r="A1530" s="49"/>
      <c r="B1530" s="49"/>
      <c r="C1530" s="49"/>
      <c r="D1530" s="50"/>
      <c r="E1530" s="50"/>
      <c r="F1530" s="50"/>
      <c r="G1530" s="50"/>
      <c r="H1530" s="51"/>
      <c r="I1530" s="39"/>
      <c r="J1530" s="51"/>
      <c r="K1530" s="51"/>
      <c r="L1530" s="51"/>
      <c r="P1530" s="52"/>
      <c r="Q1530" s="47"/>
    </row>
    <row r="1531" spans="1:17" ht="15" customHeight="1" x14ac:dyDescent="0.3">
      <c r="A1531" s="49"/>
      <c r="B1531" s="49"/>
      <c r="C1531" s="49"/>
      <c r="D1531" s="50"/>
      <c r="E1531" s="50"/>
      <c r="F1531" s="50"/>
      <c r="G1531" s="50"/>
      <c r="H1531" s="51"/>
      <c r="I1531" s="39"/>
      <c r="J1531" s="51"/>
      <c r="K1531" s="51"/>
      <c r="L1531" s="51"/>
      <c r="P1531" s="52"/>
      <c r="Q1531" s="47"/>
    </row>
    <row r="1532" spans="1:17" ht="15" customHeight="1" x14ac:dyDescent="0.3">
      <c r="A1532" s="49"/>
      <c r="B1532" s="49"/>
      <c r="C1532" s="49"/>
      <c r="D1532" s="50"/>
      <c r="E1532" s="50"/>
      <c r="F1532" s="50"/>
      <c r="G1532" s="50"/>
      <c r="H1532" s="51"/>
      <c r="I1532" s="39"/>
      <c r="J1532" s="51"/>
      <c r="K1532" s="51"/>
      <c r="L1532" s="51"/>
      <c r="P1532" s="52"/>
      <c r="Q1532" s="47"/>
    </row>
    <row r="1533" spans="1:17" ht="15" customHeight="1" x14ac:dyDescent="0.3">
      <c r="A1533" s="49"/>
      <c r="B1533" s="49"/>
      <c r="C1533" s="49"/>
      <c r="D1533" s="50"/>
      <c r="E1533" s="50"/>
      <c r="F1533" s="50"/>
      <c r="G1533" s="50"/>
      <c r="H1533" s="51"/>
      <c r="I1533" s="39"/>
      <c r="J1533" s="51"/>
      <c r="K1533" s="51"/>
      <c r="L1533" s="51"/>
      <c r="P1533" s="52"/>
      <c r="Q1533" s="47"/>
    </row>
    <row r="1534" spans="1:17" ht="15" customHeight="1" x14ac:dyDescent="0.3">
      <c r="A1534" s="49"/>
      <c r="B1534" s="49"/>
      <c r="C1534" s="49"/>
      <c r="D1534" s="50"/>
      <c r="E1534" s="50"/>
      <c r="F1534" s="50"/>
      <c r="G1534" s="50"/>
      <c r="H1534" s="51"/>
      <c r="I1534" s="39"/>
      <c r="J1534" s="51"/>
      <c r="K1534" s="51"/>
      <c r="L1534" s="51"/>
      <c r="P1534" s="52"/>
      <c r="Q1534" s="47"/>
    </row>
    <row r="1535" spans="1:17" ht="15" customHeight="1" x14ac:dyDescent="0.3">
      <c r="A1535" s="49"/>
      <c r="B1535" s="49"/>
      <c r="C1535" s="49"/>
      <c r="D1535" s="50"/>
      <c r="E1535" s="50"/>
      <c r="F1535" s="50"/>
      <c r="G1535" s="50"/>
      <c r="H1535" s="51"/>
      <c r="I1535" s="39"/>
      <c r="J1535" s="51"/>
      <c r="K1535" s="51"/>
      <c r="L1535" s="51"/>
      <c r="P1535" s="52"/>
      <c r="Q1535" s="47"/>
    </row>
    <row r="1536" spans="1:17" ht="15" customHeight="1" x14ac:dyDescent="0.3">
      <c r="A1536" s="49"/>
      <c r="B1536" s="49"/>
      <c r="C1536" s="49"/>
      <c r="D1536" s="50"/>
      <c r="E1536" s="50"/>
      <c r="F1536" s="50"/>
      <c r="G1536" s="50"/>
      <c r="H1536" s="51"/>
      <c r="I1536" s="39"/>
      <c r="J1536" s="51"/>
      <c r="K1536" s="51"/>
      <c r="L1536" s="51"/>
      <c r="P1536" s="52"/>
      <c r="Q1536" s="47"/>
    </row>
    <row r="1537" spans="1:17" ht="15" customHeight="1" x14ac:dyDescent="0.3">
      <c r="A1537" s="49"/>
      <c r="B1537" s="49"/>
      <c r="C1537" s="49"/>
      <c r="D1537" s="50"/>
      <c r="E1537" s="50"/>
      <c r="F1537" s="50"/>
      <c r="G1537" s="50"/>
      <c r="H1537" s="51"/>
      <c r="I1537" s="39"/>
      <c r="J1537" s="51"/>
      <c r="K1537" s="51"/>
      <c r="L1537" s="51"/>
      <c r="P1537" s="52"/>
      <c r="Q1537" s="47"/>
    </row>
    <row r="1538" spans="1:17" ht="15" customHeight="1" x14ac:dyDescent="0.3">
      <c r="A1538" s="49"/>
      <c r="B1538" s="49"/>
      <c r="C1538" s="49"/>
      <c r="D1538" s="50"/>
      <c r="E1538" s="50"/>
      <c r="F1538" s="50"/>
      <c r="G1538" s="50"/>
      <c r="H1538" s="51"/>
      <c r="I1538" s="39"/>
      <c r="J1538" s="51"/>
      <c r="K1538" s="51"/>
      <c r="L1538" s="51"/>
      <c r="P1538" s="52"/>
      <c r="Q1538" s="47"/>
    </row>
    <row r="1539" spans="1:17" ht="15" customHeight="1" x14ac:dyDescent="0.3">
      <c r="A1539" s="49"/>
      <c r="B1539" s="49"/>
      <c r="C1539" s="49"/>
      <c r="D1539" s="50"/>
      <c r="E1539" s="50"/>
      <c r="F1539" s="50"/>
      <c r="G1539" s="50"/>
      <c r="H1539" s="51"/>
      <c r="I1539" s="39"/>
      <c r="J1539" s="51"/>
      <c r="K1539" s="51"/>
      <c r="L1539" s="51"/>
      <c r="P1539" s="52"/>
      <c r="Q1539" s="47"/>
    </row>
    <row r="1540" spans="1:17" ht="15" customHeight="1" x14ac:dyDescent="0.3">
      <c r="A1540" s="49"/>
      <c r="B1540" s="49"/>
      <c r="C1540" s="49"/>
      <c r="D1540" s="50"/>
      <c r="E1540" s="50"/>
      <c r="F1540" s="50"/>
      <c r="G1540" s="50"/>
      <c r="H1540" s="51"/>
      <c r="I1540" s="39"/>
      <c r="J1540" s="51"/>
      <c r="K1540" s="51"/>
      <c r="L1540" s="51"/>
      <c r="P1540" s="52"/>
      <c r="Q1540" s="47"/>
    </row>
    <row r="1541" spans="1:17" ht="15" customHeight="1" x14ac:dyDescent="0.3">
      <c r="A1541" s="49"/>
      <c r="B1541" s="49"/>
      <c r="C1541" s="49"/>
      <c r="D1541" s="50"/>
      <c r="E1541" s="50"/>
      <c r="G1541" s="50"/>
      <c r="H1541" s="51"/>
      <c r="I1541" s="39"/>
      <c r="J1541" s="51"/>
      <c r="K1541" s="51"/>
      <c r="L1541" s="51"/>
      <c r="P1541" s="52"/>
      <c r="Q1541" s="47"/>
    </row>
    <row r="1542" spans="1:17" ht="15" customHeight="1" x14ac:dyDescent="0.3">
      <c r="A1542" s="49"/>
      <c r="B1542" s="49"/>
      <c r="C1542" s="49"/>
      <c r="D1542" s="50"/>
      <c r="E1542" s="50"/>
      <c r="G1542" s="50"/>
      <c r="H1542" s="51"/>
      <c r="I1542" s="39"/>
      <c r="J1542" s="51"/>
      <c r="K1542" s="51"/>
      <c r="L1542" s="51"/>
      <c r="P1542" s="52"/>
      <c r="Q1542" s="47"/>
    </row>
    <row r="1543" spans="1:17" ht="15" customHeight="1" x14ac:dyDescent="0.3">
      <c r="B1543" s="44"/>
      <c r="H1543" s="51"/>
      <c r="I1543" s="39"/>
      <c r="J1543" s="51"/>
      <c r="K1543" s="51"/>
      <c r="L1543" s="51"/>
      <c r="P1543" s="52"/>
    </row>
    <row r="1544" spans="1:17" ht="15" customHeight="1" x14ac:dyDescent="0.3">
      <c r="B1544" s="44"/>
      <c r="H1544" s="51"/>
      <c r="I1544" s="39"/>
      <c r="J1544" s="51"/>
      <c r="K1544" s="51"/>
      <c r="L1544" s="51"/>
      <c r="P1544" s="52"/>
    </row>
    <row r="1545" spans="1:17" ht="15" customHeight="1" x14ac:dyDescent="0.3">
      <c r="B1545" s="44"/>
      <c r="H1545" s="51"/>
      <c r="I1545" s="39"/>
      <c r="J1545" s="51"/>
      <c r="K1545" s="51"/>
      <c r="L1545" s="51"/>
      <c r="P1545" s="52"/>
    </row>
    <row r="1546" spans="1:17" ht="15" customHeight="1" x14ac:dyDescent="0.3">
      <c r="B1546" s="44"/>
      <c r="H1546" s="51"/>
      <c r="I1546" s="39"/>
      <c r="J1546" s="51"/>
      <c r="K1546" s="51"/>
      <c r="L1546" s="51"/>
      <c r="P1546" s="52"/>
    </row>
    <row r="1547" spans="1:17" ht="15" customHeight="1" x14ac:dyDescent="0.3">
      <c r="B1547" s="44"/>
      <c r="H1547" s="51"/>
      <c r="I1547" s="39"/>
      <c r="J1547" s="51"/>
      <c r="K1547" s="51"/>
      <c r="L1547" s="51"/>
      <c r="P1547" s="52"/>
    </row>
    <row r="1548" spans="1:17" ht="15" customHeight="1" x14ac:dyDescent="0.3">
      <c r="B1548" s="44"/>
      <c r="H1548" s="51"/>
      <c r="I1548" s="39"/>
      <c r="J1548" s="51"/>
      <c r="K1548" s="51"/>
      <c r="L1548" s="51"/>
      <c r="P1548" s="52"/>
    </row>
    <row r="1549" spans="1:17" ht="15" customHeight="1" x14ac:dyDescent="0.3">
      <c r="B1549" s="44"/>
      <c r="H1549" s="51"/>
      <c r="I1549" s="39"/>
      <c r="J1549" s="51"/>
      <c r="K1549" s="51"/>
      <c r="L1549" s="51"/>
      <c r="P1549" s="52"/>
    </row>
    <row r="1550" spans="1:17" ht="15" customHeight="1" x14ac:dyDescent="0.3">
      <c r="B1550" s="44"/>
      <c r="H1550" s="51"/>
      <c r="I1550" s="39"/>
      <c r="J1550" s="51"/>
      <c r="K1550" s="51"/>
      <c r="L1550" s="51"/>
      <c r="P1550" s="52"/>
    </row>
    <row r="1551" spans="1:17" ht="15" customHeight="1" x14ac:dyDescent="0.3">
      <c r="B1551" s="44"/>
      <c r="H1551" s="51"/>
      <c r="I1551" s="39"/>
      <c r="J1551" s="51"/>
      <c r="K1551" s="51"/>
      <c r="L1551" s="51"/>
      <c r="P1551" s="52"/>
    </row>
    <row r="1552" spans="1:17" ht="15" customHeight="1" x14ac:dyDescent="0.3">
      <c r="B1552" s="44"/>
      <c r="H1552" s="51"/>
      <c r="I1552" s="39"/>
      <c r="J1552" s="51"/>
      <c r="K1552" s="51"/>
      <c r="L1552" s="51"/>
      <c r="P1552" s="52"/>
    </row>
    <row r="1553" spans="2:16" ht="15" customHeight="1" x14ac:dyDescent="0.3">
      <c r="B1553" s="44"/>
      <c r="H1553" s="51"/>
      <c r="I1553" s="39"/>
      <c r="J1553" s="51"/>
      <c r="K1553" s="51"/>
      <c r="L1553" s="51"/>
      <c r="P1553" s="52"/>
    </row>
    <row r="1554" spans="2:16" ht="15" customHeight="1" x14ac:dyDescent="0.3">
      <c r="B1554" s="44"/>
      <c r="H1554" s="51"/>
      <c r="I1554" s="39"/>
      <c r="J1554" s="51"/>
      <c r="K1554" s="51"/>
      <c r="L1554" s="51"/>
      <c r="P1554" s="52"/>
    </row>
    <row r="1555" spans="2:16" ht="15" customHeight="1" x14ac:dyDescent="0.3">
      <c r="B1555" s="44"/>
      <c r="H1555" s="51"/>
      <c r="I1555" s="39"/>
      <c r="J1555" s="51"/>
      <c r="K1555" s="51"/>
      <c r="L1555" s="51"/>
      <c r="P1555" s="52"/>
    </row>
    <row r="1556" spans="2:16" ht="15" customHeight="1" x14ac:dyDescent="0.3">
      <c r="B1556" s="44"/>
      <c r="H1556" s="51"/>
      <c r="I1556" s="39"/>
      <c r="J1556" s="51"/>
      <c r="K1556" s="51"/>
      <c r="L1556" s="51"/>
      <c r="P1556" s="52"/>
    </row>
    <row r="1557" spans="2:16" ht="15" customHeight="1" x14ac:dyDescent="0.3">
      <c r="B1557" s="44"/>
      <c r="H1557" s="51"/>
      <c r="I1557" s="39"/>
      <c r="J1557" s="51"/>
      <c r="K1557" s="51"/>
      <c r="L1557" s="51"/>
      <c r="P1557" s="52"/>
    </row>
    <row r="1558" spans="2:16" ht="15" customHeight="1" x14ac:dyDescent="0.3">
      <c r="B1558" s="44"/>
      <c r="H1558" s="51"/>
      <c r="I1558" s="39"/>
      <c r="J1558" s="51"/>
      <c r="K1558" s="51"/>
      <c r="L1558" s="51"/>
      <c r="P1558" s="52"/>
    </row>
    <row r="1559" spans="2:16" ht="15" customHeight="1" x14ac:dyDescent="0.3">
      <c r="B1559" s="44"/>
      <c r="H1559" s="51"/>
      <c r="I1559" s="39"/>
      <c r="J1559" s="51"/>
      <c r="K1559" s="51"/>
      <c r="L1559" s="51"/>
      <c r="P1559" s="52"/>
    </row>
    <row r="1560" spans="2:16" ht="15" customHeight="1" x14ac:dyDescent="0.3">
      <c r="B1560" s="44"/>
      <c r="H1560" s="51"/>
      <c r="I1560" s="39"/>
      <c r="J1560" s="51"/>
      <c r="K1560" s="51"/>
      <c r="L1560" s="51"/>
      <c r="P1560" s="52"/>
    </row>
    <row r="1561" spans="2:16" ht="15" customHeight="1" x14ac:dyDescent="0.3">
      <c r="B1561" s="44"/>
      <c r="H1561" s="51"/>
      <c r="I1561" s="39"/>
      <c r="J1561" s="51"/>
      <c r="K1561" s="51"/>
      <c r="L1561" s="51"/>
      <c r="P1561" s="52"/>
    </row>
    <row r="1562" spans="2:16" ht="15" customHeight="1" x14ac:dyDescent="0.3">
      <c r="B1562" s="44"/>
      <c r="H1562" s="51"/>
      <c r="I1562" s="39"/>
      <c r="J1562" s="51"/>
      <c r="K1562" s="51"/>
      <c r="L1562" s="51"/>
      <c r="P1562" s="52"/>
    </row>
    <row r="1563" spans="2:16" ht="15" customHeight="1" x14ac:dyDescent="0.3">
      <c r="B1563" s="44"/>
      <c r="H1563" s="51"/>
      <c r="I1563" s="39"/>
      <c r="J1563" s="51"/>
      <c r="K1563" s="51"/>
      <c r="L1563" s="51"/>
      <c r="P1563" s="52"/>
    </row>
    <row r="1564" spans="2:16" ht="15" customHeight="1" x14ac:dyDescent="0.3">
      <c r="B1564" s="44"/>
      <c r="H1564" s="51"/>
      <c r="I1564" s="39"/>
      <c r="J1564" s="51"/>
      <c r="K1564" s="51"/>
      <c r="L1564" s="51"/>
      <c r="P1564" s="52"/>
    </row>
    <row r="1565" spans="2:16" ht="15" customHeight="1" x14ac:dyDescent="0.3">
      <c r="B1565" s="44"/>
      <c r="H1565" s="51"/>
      <c r="I1565" s="39"/>
      <c r="J1565" s="51"/>
      <c r="K1565" s="51"/>
      <c r="L1565" s="51"/>
      <c r="P1565" s="52"/>
    </row>
    <row r="1566" spans="2:16" ht="15" customHeight="1" x14ac:dyDescent="0.3">
      <c r="B1566" s="44"/>
      <c r="H1566" s="51"/>
      <c r="I1566" s="39"/>
      <c r="J1566" s="51"/>
      <c r="K1566" s="51"/>
      <c r="L1566" s="51"/>
      <c r="P1566" s="52"/>
    </row>
    <row r="1567" spans="2:16" ht="15" customHeight="1" x14ac:dyDescent="0.3">
      <c r="B1567" s="44"/>
      <c r="H1567" s="51"/>
      <c r="I1567" s="39"/>
      <c r="J1567" s="51"/>
      <c r="K1567" s="51"/>
      <c r="L1567" s="51"/>
      <c r="P1567" s="52"/>
    </row>
    <row r="1568" spans="2:16" ht="15" customHeight="1" x14ac:dyDescent="0.3">
      <c r="B1568" s="44"/>
      <c r="H1568" s="51"/>
      <c r="I1568" s="39"/>
      <c r="J1568" s="51"/>
      <c r="K1568" s="51"/>
      <c r="L1568" s="51"/>
      <c r="P1568" s="52"/>
    </row>
    <row r="1569" spans="2:16" ht="15" customHeight="1" x14ac:dyDescent="0.3">
      <c r="B1569" s="44"/>
      <c r="H1569" s="51"/>
      <c r="I1569" s="39"/>
      <c r="J1569" s="51"/>
      <c r="K1569" s="51"/>
      <c r="L1569" s="51"/>
      <c r="P1569" s="52"/>
    </row>
    <row r="1570" spans="2:16" ht="15" customHeight="1" x14ac:dyDescent="0.3">
      <c r="B1570" s="44"/>
      <c r="H1570" s="51"/>
      <c r="I1570" s="39"/>
      <c r="J1570" s="51"/>
      <c r="K1570" s="51"/>
      <c r="L1570" s="51"/>
      <c r="P1570" s="52"/>
    </row>
    <row r="1571" spans="2:16" ht="15" customHeight="1" x14ac:dyDescent="0.3">
      <c r="B1571" s="44"/>
      <c r="H1571" s="51"/>
      <c r="I1571" s="39"/>
      <c r="J1571" s="51"/>
      <c r="K1571" s="51"/>
      <c r="L1571" s="51"/>
      <c r="P1571" s="52"/>
    </row>
    <row r="1572" spans="2:16" ht="15" customHeight="1" x14ac:dyDescent="0.3">
      <c r="B1572" s="44"/>
      <c r="H1572" s="51"/>
      <c r="I1572" s="39"/>
      <c r="J1572" s="51"/>
      <c r="K1572" s="51"/>
      <c r="L1572" s="51"/>
      <c r="P1572" s="52"/>
    </row>
    <row r="1573" spans="2:16" ht="15" customHeight="1" x14ac:dyDescent="0.3">
      <c r="B1573" s="44"/>
      <c r="H1573" s="51"/>
      <c r="I1573" s="39"/>
      <c r="J1573" s="51"/>
      <c r="K1573" s="51"/>
      <c r="L1573" s="51"/>
      <c r="P1573" s="52"/>
    </row>
    <row r="1574" spans="2:16" ht="15" customHeight="1" x14ac:dyDescent="0.3">
      <c r="B1574" s="44"/>
      <c r="H1574" s="51"/>
      <c r="I1574" s="39"/>
      <c r="J1574" s="51"/>
      <c r="K1574" s="51"/>
      <c r="L1574" s="51"/>
      <c r="P1574" s="52"/>
    </row>
    <row r="1575" spans="2:16" ht="15" customHeight="1" x14ac:dyDescent="0.3">
      <c r="B1575" s="44"/>
      <c r="H1575" s="51"/>
      <c r="I1575" s="39"/>
      <c r="J1575" s="51"/>
      <c r="K1575" s="51"/>
      <c r="L1575" s="51"/>
      <c r="P1575" s="52"/>
    </row>
    <row r="1576" spans="2:16" ht="15" customHeight="1" x14ac:dyDescent="0.3">
      <c r="B1576" s="44"/>
      <c r="H1576" s="51"/>
      <c r="I1576" s="39"/>
      <c r="J1576" s="51"/>
      <c r="K1576" s="51"/>
      <c r="L1576" s="51"/>
      <c r="P1576" s="52"/>
    </row>
    <row r="1577" spans="2:16" ht="15" customHeight="1" x14ac:dyDescent="0.3">
      <c r="B1577" s="44"/>
      <c r="H1577" s="51"/>
      <c r="I1577" s="39"/>
      <c r="J1577" s="51"/>
      <c r="K1577" s="51"/>
      <c r="L1577" s="51"/>
      <c r="P1577" s="52"/>
    </row>
    <row r="1578" spans="2:16" ht="15" customHeight="1" x14ac:dyDescent="0.3">
      <c r="B1578" s="44"/>
      <c r="H1578" s="51"/>
      <c r="I1578" s="39"/>
      <c r="J1578" s="51"/>
      <c r="K1578" s="51"/>
      <c r="L1578" s="51"/>
      <c r="P1578" s="52"/>
    </row>
    <row r="1579" spans="2:16" ht="15" customHeight="1" x14ac:dyDescent="0.3">
      <c r="B1579" s="44"/>
      <c r="H1579" s="51"/>
      <c r="I1579" s="39"/>
      <c r="J1579" s="51"/>
      <c r="K1579" s="51"/>
      <c r="L1579" s="51"/>
      <c r="P1579" s="52"/>
    </row>
    <row r="1580" spans="2:16" ht="15" customHeight="1" x14ac:dyDescent="0.3">
      <c r="B1580" s="44"/>
      <c r="H1580" s="51"/>
      <c r="I1580" s="39"/>
      <c r="J1580" s="51"/>
      <c r="K1580" s="51"/>
      <c r="L1580" s="51"/>
      <c r="P1580" s="52"/>
    </row>
    <row r="1581" spans="2:16" ht="15" customHeight="1" x14ac:dyDescent="0.3">
      <c r="B1581" s="44"/>
      <c r="H1581" s="51"/>
      <c r="I1581" s="39"/>
      <c r="J1581" s="51"/>
      <c r="K1581" s="51"/>
      <c r="L1581" s="51"/>
      <c r="P1581" s="52"/>
    </row>
    <row r="1582" spans="2:16" ht="15" customHeight="1" x14ac:dyDescent="0.3">
      <c r="B1582" s="44"/>
      <c r="H1582" s="51"/>
      <c r="I1582" s="39"/>
      <c r="J1582" s="51"/>
      <c r="K1582" s="51"/>
      <c r="L1582" s="51"/>
      <c r="P1582" s="52"/>
    </row>
    <row r="1583" spans="2:16" ht="15" customHeight="1" x14ac:dyDescent="0.3">
      <c r="B1583" s="44"/>
      <c r="H1583" s="51"/>
      <c r="I1583" s="39"/>
      <c r="J1583" s="51"/>
      <c r="K1583" s="51"/>
      <c r="L1583" s="51"/>
      <c r="P1583" s="52"/>
    </row>
    <row r="1584" spans="2:16" ht="15" customHeight="1" x14ac:dyDescent="0.3">
      <c r="B1584" s="44"/>
      <c r="H1584" s="51"/>
      <c r="I1584" s="39"/>
      <c r="J1584" s="51"/>
      <c r="K1584" s="51"/>
      <c r="L1584" s="51"/>
      <c r="P1584" s="52"/>
    </row>
    <row r="1585" spans="2:16" ht="15" customHeight="1" x14ac:dyDescent="0.3">
      <c r="B1585" s="44"/>
      <c r="H1585" s="51"/>
      <c r="I1585" s="39"/>
      <c r="J1585" s="51"/>
      <c r="K1585" s="51"/>
      <c r="L1585" s="51"/>
      <c r="P1585" s="52"/>
    </row>
    <row r="1586" spans="2:16" ht="15" customHeight="1" x14ac:dyDescent="0.3">
      <c r="B1586" s="44"/>
      <c r="H1586" s="51"/>
      <c r="I1586" s="39"/>
      <c r="J1586" s="51"/>
      <c r="K1586" s="51"/>
      <c r="L1586" s="51"/>
      <c r="P1586" s="52"/>
    </row>
    <row r="1587" spans="2:16" ht="15" customHeight="1" x14ac:dyDescent="0.3">
      <c r="B1587" s="44"/>
      <c r="H1587" s="51"/>
      <c r="I1587" s="39"/>
      <c r="J1587" s="51"/>
      <c r="K1587" s="51"/>
      <c r="L1587" s="51"/>
      <c r="P1587" s="52"/>
    </row>
    <row r="1588" spans="2:16" ht="15" customHeight="1" x14ac:dyDescent="0.3">
      <c r="B1588" s="44"/>
      <c r="H1588" s="51"/>
      <c r="I1588" s="39"/>
      <c r="J1588" s="51"/>
      <c r="K1588" s="51"/>
      <c r="L1588" s="51"/>
      <c r="P1588" s="52"/>
    </row>
    <row r="1589" spans="2:16" ht="15" customHeight="1" x14ac:dyDescent="0.3">
      <c r="B1589" s="44"/>
      <c r="H1589" s="51"/>
      <c r="I1589" s="39"/>
      <c r="J1589" s="51"/>
      <c r="K1589" s="51"/>
      <c r="L1589" s="51"/>
      <c r="P1589" s="52"/>
    </row>
    <row r="1590" spans="2:16" ht="15" customHeight="1" x14ac:dyDescent="0.3">
      <c r="B1590" s="44"/>
      <c r="H1590" s="51"/>
      <c r="I1590" s="39"/>
      <c r="J1590" s="51"/>
      <c r="K1590" s="51"/>
      <c r="L1590" s="51"/>
      <c r="P1590" s="52"/>
    </row>
    <row r="1591" spans="2:16" ht="15" customHeight="1" x14ac:dyDescent="0.3">
      <c r="B1591" s="44"/>
      <c r="H1591" s="51"/>
      <c r="I1591" s="39"/>
      <c r="J1591" s="51"/>
      <c r="K1591" s="51"/>
      <c r="L1591" s="51"/>
      <c r="P1591" s="52"/>
    </row>
    <row r="1592" spans="2:16" ht="15" customHeight="1" x14ac:dyDescent="0.3">
      <c r="B1592" s="44"/>
      <c r="H1592" s="51"/>
      <c r="I1592" s="39"/>
      <c r="J1592" s="51"/>
      <c r="K1592" s="51"/>
      <c r="L1592" s="51"/>
      <c r="P1592" s="52"/>
    </row>
    <row r="1593" spans="2:16" ht="15" customHeight="1" x14ac:dyDescent="0.3">
      <c r="B1593" s="44"/>
      <c r="H1593" s="51"/>
      <c r="I1593" s="39"/>
      <c r="J1593" s="51"/>
      <c r="K1593" s="51"/>
      <c r="L1593" s="51"/>
      <c r="P1593" s="52"/>
    </row>
    <row r="1594" spans="2:16" ht="15" customHeight="1" x14ac:dyDescent="0.3">
      <c r="B1594" s="44"/>
      <c r="H1594" s="51"/>
      <c r="I1594" s="39"/>
      <c r="J1594" s="51"/>
      <c r="K1594" s="51"/>
      <c r="L1594" s="51"/>
      <c r="P1594" s="52"/>
    </row>
    <row r="1595" spans="2:16" ht="15" customHeight="1" x14ac:dyDescent="0.3">
      <c r="B1595" s="44"/>
      <c r="H1595" s="51"/>
      <c r="I1595" s="39"/>
      <c r="J1595" s="51"/>
      <c r="K1595" s="51"/>
      <c r="L1595" s="51"/>
      <c r="P1595" s="52"/>
    </row>
    <row r="1596" spans="2:16" ht="15" customHeight="1" x14ac:dyDescent="0.3">
      <c r="B1596" s="44"/>
      <c r="H1596" s="51"/>
      <c r="I1596" s="39"/>
      <c r="J1596" s="51"/>
      <c r="K1596" s="51"/>
      <c r="L1596" s="51"/>
      <c r="P1596" s="52"/>
    </row>
    <row r="1597" spans="2:16" ht="15" customHeight="1" x14ac:dyDescent="0.3">
      <c r="B1597" s="44"/>
      <c r="H1597" s="51"/>
      <c r="I1597" s="39"/>
      <c r="J1597" s="51"/>
      <c r="K1597" s="51"/>
      <c r="L1597" s="51"/>
      <c r="P1597" s="52"/>
    </row>
    <row r="1598" spans="2:16" ht="15" customHeight="1" x14ac:dyDescent="0.3">
      <c r="B1598" s="44"/>
      <c r="H1598" s="51"/>
      <c r="I1598" s="39"/>
      <c r="J1598" s="51"/>
      <c r="K1598" s="51"/>
      <c r="L1598" s="51"/>
      <c r="P1598" s="52"/>
    </row>
    <row r="1599" spans="2:16" ht="15" customHeight="1" x14ac:dyDescent="0.3">
      <c r="B1599" s="44"/>
      <c r="H1599" s="51"/>
      <c r="I1599" s="39"/>
      <c r="J1599" s="51"/>
      <c r="K1599" s="51"/>
      <c r="L1599" s="51"/>
      <c r="P1599" s="52"/>
    </row>
    <row r="1600" spans="2:16" ht="15" customHeight="1" x14ac:dyDescent="0.3">
      <c r="B1600" s="44"/>
      <c r="H1600" s="51"/>
      <c r="I1600" s="39"/>
      <c r="J1600" s="51"/>
      <c r="K1600" s="51"/>
      <c r="L1600" s="51"/>
      <c r="P1600" s="52"/>
    </row>
    <row r="1601" spans="2:16" ht="15" customHeight="1" x14ac:dyDescent="0.3">
      <c r="B1601" s="44"/>
      <c r="H1601" s="51"/>
      <c r="I1601" s="39"/>
      <c r="J1601" s="51"/>
      <c r="K1601" s="51"/>
      <c r="L1601" s="51"/>
      <c r="P1601" s="52"/>
    </row>
    <row r="1602" spans="2:16" ht="15" customHeight="1" x14ac:dyDescent="0.3">
      <c r="B1602" s="44"/>
      <c r="H1602" s="51"/>
      <c r="I1602" s="39"/>
      <c r="J1602" s="51"/>
      <c r="K1602" s="51"/>
      <c r="L1602" s="51"/>
      <c r="P1602" s="52"/>
    </row>
    <row r="1603" spans="2:16" ht="15" customHeight="1" x14ac:dyDescent="0.3">
      <c r="B1603" s="44"/>
      <c r="H1603" s="51"/>
      <c r="I1603" s="39"/>
      <c r="J1603" s="51"/>
      <c r="K1603" s="51"/>
      <c r="L1603" s="51"/>
      <c r="P1603" s="52"/>
    </row>
    <row r="1604" spans="2:16" ht="15" customHeight="1" x14ac:dyDescent="0.3">
      <c r="B1604" s="44"/>
      <c r="H1604" s="51"/>
      <c r="I1604" s="39"/>
      <c r="J1604" s="51"/>
      <c r="K1604" s="51"/>
      <c r="L1604" s="51"/>
      <c r="P1604" s="52"/>
    </row>
    <row r="1605" spans="2:16" ht="15" customHeight="1" x14ac:dyDescent="0.3">
      <c r="B1605" s="44"/>
      <c r="H1605" s="51"/>
      <c r="I1605" s="39"/>
      <c r="J1605" s="51"/>
      <c r="K1605" s="51"/>
      <c r="L1605" s="51"/>
      <c r="P1605" s="52"/>
    </row>
    <row r="1606" spans="2:16" ht="15" customHeight="1" x14ac:dyDescent="0.3">
      <c r="B1606" s="44"/>
      <c r="H1606" s="51"/>
      <c r="I1606" s="39"/>
      <c r="J1606" s="51"/>
      <c r="K1606" s="51"/>
      <c r="L1606" s="51"/>
      <c r="P1606" s="52"/>
    </row>
    <row r="1607" spans="2:16" ht="15" customHeight="1" x14ac:dyDescent="0.3">
      <c r="B1607" s="44"/>
      <c r="H1607" s="51"/>
      <c r="I1607" s="39"/>
      <c r="J1607" s="51"/>
      <c r="K1607" s="51"/>
      <c r="L1607" s="51"/>
      <c r="P1607" s="52"/>
    </row>
    <row r="1608" spans="2:16" ht="15" customHeight="1" x14ac:dyDescent="0.3">
      <c r="B1608" s="44"/>
      <c r="H1608" s="51"/>
      <c r="I1608" s="39"/>
      <c r="J1608" s="51"/>
      <c r="K1608" s="51"/>
      <c r="L1608" s="51"/>
      <c r="P1608" s="52"/>
    </row>
    <row r="1609" spans="2:16" ht="15" customHeight="1" x14ac:dyDescent="0.3">
      <c r="B1609" s="44"/>
      <c r="H1609" s="51"/>
      <c r="I1609" s="39"/>
      <c r="J1609" s="51"/>
      <c r="K1609" s="51"/>
      <c r="L1609" s="51"/>
      <c r="P1609" s="52"/>
    </row>
    <row r="1610" spans="2:16" ht="15" customHeight="1" x14ac:dyDescent="0.3">
      <c r="B1610" s="44"/>
      <c r="H1610" s="51"/>
      <c r="I1610" s="39"/>
      <c r="J1610" s="51"/>
      <c r="K1610" s="51"/>
      <c r="L1610" s="51"/>
      <c r="P1610" s="52"/>
    </row>
    <row r="1611" spans="2:16" ht="15" customHeight="1" x14ac:dyDescent="0.3">
      <c r="B1611" s="44"/>
      <c r="H1611" s="51"/>
      <c r="I1611" s="39"/>
      <c r="J1611" s="51"/>
      <c r="K1611" s="51"/>
      <c r="L1611" s="51"/>
      <c r="P1611" s="52"/>
    </row>
    <row r="1612" spans="2:16" ht="15" customHeight="1" x14ac:dyDescent="0.3">
      <c r="B1612" s="44"/>
      <c r="H1612" s="51"/>
      <c r="I1612" s="39"/>
      <c r="J1612" s="51"/>
      <c r="K1612" s="51"/>
      <c r="L1612" s="51"/>
      <c r="P1612" s="52"/>
    </row>
    <row r="1613" spans="2:16" ht="15" customHeight="1" x14ac:dyDescent="0.3">
      <c r="B1613" s="44"/>
      <c r="H1613" s="51"/>
      <c r="I1613" s="39"/>
      <c r="J1613" s="51"/>
      <c r="K1613" s="51"/>
      <c r="L1613" s="51"/>
      <c r="P1613" s="52"/>
    </row>
    <row r="1614" spans="2:16" ht="15" customHeight="1" x14ac:dyDescent="0.3">
      <c r="B1614" s="44"/>
      <c r="H1614" s="51"/>
      <c r="I1614" s="39"/>
      <c r="J1614" s="51"/>
      <c r="K1614" s="51"/>
      <c r="L1614" s="51"/>
      <c r="P1614" s="52"/>
    </row>
    <row r="1615" spans="2:16" ht="15" customHeight="1" x14ac:dyDescent="0.3">
      <c r="B1615" s="44"/>
      <c r="H1615" s="51"/>
      <c r="I1615" s="39"/>
      <c r="J1615" s="51"/>
      <c r="K1615" s="51"/>
      <c r="L1615" s="51"/>
      <c r="P1615" s="52"/>
    </row>
    <row r="1616" spans="2:16" ht="15" customHeight="1" x14ac:dyDescent="0.3">
      <c r="B1616" s="44"/>
      <c r="H1616" s="51"/>
      <c r="I1616" s="39"/>
      <c r="J1616" s="51"/>
      <c r="K1616" s="51"/>
      <c r="L1616" s="51"/>
      <c r="P1616" s="52"/>
    </row>
    <row r="1617" spans="2:16" ht="15" customHeight="1" x14ac:dyDescent="0.3">
      <c r="B1617" s="44"/>
      <c r="H1617" s="51"/>
      <c r="I1617" s="39"/>
      <c r="J1617" s="51"/>
      <c r="K1617" s="51"/>
      <c r="L1617" s="51"/>
      <c r="P1617" s="52"/>
    </row>
    <row r="1618" spans="2:16" ht="15" customHeight="1" x14ac:dyDescent="0.3">
      <c r="B1618" s="44"/>
      <c r="H1618" s="51"/>
      <c r="I1618" s="39"/>
      <c r="J1618" s="51"/>
      <c r="K1618" s="51"/>
      <c r="L1618" s="51"/>
      <c r="P1618" s="52"/>
    </row>
    <row r="1619" spans="2:16" ht="15" customHeight="1" x14ac:dyDescent="0.3">
      <c r="B1619" s="44"/>
      <c r="H1619" s="51"/>
      <c r="I1619" s="39"/>
      <c r="J1619" s="51"/>
      <c r="K1619" s="51"/>
      <c r="L1619" s="51"/>
      <c r="P1619" s="52"/>
    </row>
    <row r="1620" spans="2:16" ht="15" customHeight="1" x14ac:dyDescent="0.3">
      <c r="B1620" s="44"/>
      <c r="H1620" s="51"/>
      <c r="I1620" s="39"/>
      <c r="J1620" s="51"/>
      <c r="K1620" s="51"/>
      <c r="L1620" s="51"/>
      <c r="P1620" s="52"/>
    </row>
    <row r="1621" spans="2:16" ht="15" customHeight="1" x14ac:dyDescent="0.3">
      <c r="B1621" s="44"/>
      <c r="H1621" s="51"/>
      <c r="I1621" s="39"/>
      <c r="J1621" s="51"/>
      <c r="K1621" s="51"/>
      <c r="L1621" s="51"/>
      <c r="P1621" s="52"/>
    </row>
    <row r="1622" spans="2:16" ht="15" customHeight="1" x14ac:dyDescent="0.3">
      <c r="B1622" s="44"/>
      <c r="H1622" s="51"/>
      <c r="I1622" s="39"/>
      <c r="J1622" s="51"/>
      <c r="K1622" s="51"/>
      <c r="L1622" s="51"/>
      <c r="P1622" s="52"/>
    </row>
    <row r="1623" spans="2:16" ht="15" customHeight="1" x14ac:dyDescent="0.3">
      <c r="B1623" s="44"/>
      <c r="H1623" s="51"/>
      <c r="I1623" s="39"/>
      <c r="J1623" s="51"/>
      <c r="K1623" s="51"/>
      <c r="L1623" s="51"/>
      <c r="P1623" s="52"/>
    </row>
    <row r="1624" spans="2:16" ht="15" customHeight="1" x14ac:dyDescent="0.3">
      <c r="B1624" s="44"/>
      <c r="H1624" s="51"/>
      <c r="I1624" s="39"/>
      <c r="J1624" s="51"/>
      <c r="K1624" s="51"/>
      <c r="L1624" s="51"/>
      <c r="P1624" s="52"/>
    </row>
    <row r="1625" spans="2:16" ht="15" customHeight="1" x14ac:dyDescent="0.3">
      <c r="B1625" s="44"/>
      <c r="H1625" s="51"/>
      <c r="I1625" s="39"/>
      <c r="J1625" s="51"/>
      <c r="K1625" s="51"/>
      <c r="L1625" s="51"/>
      <c r="P1625" s="52"/>
    </row>
    <row r="1626" spans="2:16" ht="15" customHeight="1" x14ac:dyDescent="0.3">
      <c r="B1626" s="44"/>
      <c r="H1626" s="51"/>
      <c r="I1626" s="39"/>
      <c r="J1626" s="51"/>
      <c r="K1626" s="51"/>
      <c r="L1626" s="51"/>
      <c r="P1626" s="52"/>
    </row>
    <row r="1627" spans="2:16" ht="15" customHeight="1" x14ac:dyDescent="0.3">
      <c r="B1627" s="44"/>
      <c r="H1627" s="51"/>
      <c r="I1627" s="39"/>
      <c r="J1627" s="51"/>
      <c r="K1627" s="51"/>
      <c r="L1627" s="51"/>
      <c r="P1627" s="52"/>
    </row>
    <row r="1628" spans="2:16" ht="15" customHeight="1" x14ac:dyDescent="0.3">
      <c r="B1628" s="44"/>
      <c r="H1628" s="51"/>
      <c r="I1628" s="39"/>
      <c r="J1628" s="51"/>
      <c r="K1628" s="51"/>
      <c r="L1628" s="51"/>
      <c r="P1628" s="52"/>
    </row>
    <row r="1629" spans="2:16" ht="15" customHeight="1" x14ac:dyDescent="0.3">
      <c r="B1629" s="44"/>
      <c r="H1629" s="51"/>
      <c r="I1629" s="39"/>
      <c r="J1629" s="51"/>
      <c r="K1629" s="51"/>
      <c r="L1629" s="51"/>
      <c r="P1629" s="52"/>
    </row>
    <row r="1630" spans="2:16" ht="15" customHeight="1" x14ac:dyDescent="0.3">
      <c r="B1630" s="44"/>
      <c r="H1630" s="51"/>
      <c r="I1630" s="39"/>
      <c r="J1630" s="51"/>
      <c r="K1630" s="51"/>
      <c r="L1630" s="51"/>
      <c r="P1630" s="52"/>
    </row>
    <row r="1631" spans="2:16" ht="15" customHeight="1" x14ac:dyDescent="0.3">
      <c r="B1631" s="44"/>
      <c r="H1631" s="51"/>
      <c r="I1631" s="39"/>
      <c r="J1631" s="51"/>
      <c r="K1631" s="51"/>
      <c r="L1631" s="51"/>
      <c r="P1631" s="52"/>
    </row>
    <row r="1632" spans="2:16" ht="15" customHeight="1" x14ac:dyDescent="0.3">
      <c r="B1632" s="44"/>
      <c r="H1632" s="51"/>
      <c r="I1632" s="39"/>
      <c r="J1632" s="51"/>
      <c r="K1632" s="51"/>
      <c r="L1632" s="51"/>
      <c r="P1632" s="52"/>
    </row>
    <row r="1633" spans="2:16" ht="15" customHeight="1" x14ac:dyDescent="0.3">
      <c r="B1633" s="44"/>
      <c r="H1633" s="51"/>
      <c r="I1633" s="39"/>
      <c r="J1633" s="51"/>
      <c r="K1633" s="51"/>
      <c r="L1633" s="51"/>
      <c r="P1633" s="52"/>
    </row>
    <row r="1634" spans="2:16" ht="15" customHeight="1" x14ac:dyDescent="0.3">
      <c r="B1634" s="44"/>
      <c r="H1634" s="51"/>
      <c r="I1634" s="39"/>
      <c r="J1634" s="51"/>
      <c r="K1634" s="51"/>
      <c r="L1634" s="51"/>
      <c r="P1634" s="52"/>
    </row>
    <row r="1635" spans="2:16" ht="15" customHeight="1" x14ac:dyDescent="0.3">
      <c r="B1635" s="44"/>
      <c r="H1635" s="51"/>
      <c r="I1635" s="39"/>
      <c r="J1635" s="51"/>
      <c r="K1635" s="51"/>
      <c r="L1635" s="51"/>
      <c r="P1635" s="52"/>
    </row>
    <row r="1636" spans="2:16" ht="15" customHeight="1" x14ac:dyDescent="0.3">
      <c r="B1636" s="44"/>
      <c r="H1636" s="51"/>
      <c r="I1636" s="39"/>
      <c r="J1636" s="51"/>
      <c r="K1636" s="51"/>
      <c r="L1636" s="51"/>
      <c r="P1636" s="52"/>
    </row>
    <row r="1637" spans="2:16" ht="15" customHeight="1" x14ac:dyDescent="0.3">
      <c r="B1637" s="44"/>
      <c r="H1637" s="51"/>
      <c r="I1637" s="39"/>
      <c r="J1637" s="51"/>
      <c r="K1637" s="51"/>
      <c r="L1637" s="51"/>
      <c r="P1637" s="52"/>
    </row>
    <row r="1638" spans="2:16" ht="15" customHeight="1" x14ac:dyDescent="0.3">
      <c r="B1638" s="44"/>
      <c r="H1638" s="51"/>
      <c r="I1638" s="39"/>
      <c r="J1638" s="51"/>
      <c r="K1638" s="51"/>
      <c r="L1638" s="51"/>
      <c r="P1638" s="52"/>
    </row>
    <row r="1639" spans="2:16" ht="15" customHeight="1" x14ac:dyDescent="0.3">
      <c r="B1639" s="44"/>
      <c r="H1639" s="51"/>
      <c r="I1639" s="39"/>
      <c r="J1639" s="51"/>
      <c r="K1639" s="51"/>
      <c r="L1639" s="51"/>
      <c r="P1639" s="52"/>
    </row>
    <row r="1640" spans="2:16" ht="15" customHeight="1" x14ac:dyDescent="0.3">
      <c r="B1640" s="44"/>
      <c r="H1640" s="51"/>
      <c r="I1640" s="39"/>
      <c r="J1640" s="51"/>
      <c r="K1640" s="51"/>
      <c r="L1640" s="51"/>
      <c r="P1640" s="52"/>
    </row>
    <row r="1641" spans="2:16" ht="15" customHeight="1" x14ac:dyDescent="0.3">
      <c r="B1641" s="44"/>
      <c r="H1641" s="51"/>
      <c r="I1641" s="39"/>
      <c r="J1641" s="51"/>
      <c r="K1641" s="51"/>
      <c r="L1641" s="51"/>
      <c r="P1641" s="52"/>
    </row>
    <row r="1642" spans="2:16" ht="15" customHeight="1" x14ac:dyDescent="0.3">
      <c r="B1642" s="44"/>
      <c r="H1642" s="51"/>
      <c r="I1642" s="39"/>
      <c r="J1642" s="51"/>
      <c r="K1642" s="51"/>
      <c r="L1642" s="51"/>
      <c r="P1642" s="52"/>
    </row>
    <row r="1643" spans="2:16" ht="15" customHeight="1" x14ac:dyDescent="0.3">
      <c r="B1643" s="44"/>
      <c r="H1643" s="51"/>
      <c r="I1643" s="39"/>
      <c r="J1643" s="51"/>
      <c r="K1643" s="51"/>
      <c r="L1643" s="51"/>
      <c r="P1643" s="52"/>
    </row>
    <row r="1644" spans="2:16" ht="15" customHeight="1" x14ac:dyDescent="0.3">
      <c r="B1644" s="44"/>
      <c r="H1644" s="51"/>
      <c r="I1644" s="39"/>
      <c r="J1644" s="51"/>
      <c r="K1644" s="51"/>
      <c r="L1644" s="51"/>
      <c r="P1644" s="52"/>
    </row>
    <row r="1645" spans="2:16" ht="15" customHeight="1" x14ac:dyDescent="0.3">
      <c r="B1645" s="44"/>
      <c r="H1645" s="51"/>
      <c r="I1645" s="39"/>
      <c r="J1645" s="51"/>
      <c r="K1645" s="51"/>
      <c r="L1645" s="51"/>
      <c r="P1645" s="52"/>
    </row>
    <row r="1646" spans="2:16" ht="15" customHeight="1" x14ac:dyDescent="0.3">
      <c r="B1646" s="44"/>
      <c r="H1646" s="51"/>
      <c r="I1646" s="39"/>
      <c r="J1646" s="51"/>
      <c r="K1646" s="51"/>
      <c r="L1646" s="51"/>
      <c r="P1646" s="52"/>
    </row>
    <row r="1647" spans="2:16" ht="15" customHeight="1" x14ac:dyDescent="0.3">
      <c r="B1647" s="44"/>
      <c r="H1647" s="51"/>
      <c r="I1647" s="39"/>
      <c r="J1647" s="51"/>
      <c r="K1647" s="51"/>
      <c r="L1647" s="51"/>
      <c r="P1647" s="52"/>
    </row>
    <row r="1648" spans="2:16" ht="15" customHeight="1" x14ac:dyDescent="0.3">
      <c r="B1648" s="44"/>
      <c r="H1648" s="51"/>
      <c r="I1648" s="39"/>
      <c r="J1648" s="51"/>
      <c r="K1648" s="51"/>
      <c r="L1648" s="51"/>
      <c r="P1648" s="52"/>
    </row>
    <row r="1649" spans="2:16" ht="15" customHeight="1" x14ac:dyDescent="0.3">
      <c r="B1649" s="44"/>
      <c r="H1649" s="51"/>
      <c r="I1649" s="39"/>
      <c r="J1649" s="51"/>
      <c r="K1649" s="51"/>
      <c r="L1649" s="51"/>
      <c r="P1649" s="52"/>
    </row>
    <row r="1650" spans="2:16" ht="15" customHeight="1" x14ac:dyDescent="0.3">
      <c r="B1650" s="44"/>
      <c r="H1650" s="51"/>
      <c r="I1650" s="39"/>
      <c r="J1650" s="51"/>
      <c r="K1650" s="51"/>
      <c r="L1650" s="51"/>
      <c r="P1650" s="52"/>
    </row>
    <row r="1651" spans="2:16" ht="15" customHeight="1" x14ac:dyDescent="0.3">
      <c r="B1651" s="44"/>
      <c r="H1651" s="51"/>
      <c r="I1651" s="39"/>
      <c r="J1651" s="51"/>
      <c r="K1651" s="51"/>
      <c r="L1651" s="51"/>
      <c r="P1651" s="52"/>
    </row>
    <row r="1652" spans="2:16" ht="15" customHeight="1" x14ac:dyDescent="0.3">
      <c r="B1652" s="44"/>
      <c r="H1652" s="51"/>
      <c r="I1652" s="39"/>
      <c r="J1652" s="51"/>
      <c r="K1652" s="51"/>
      <c r="L1652" s="51"/>
      <c r="P1652" s="52"/>
    </row>
    <row r="1653" spans="2:16" ht="15" customHeight="1" x14ac:dyDescent="0.3">
      <c r="B1653" s="44"/>
      <c r="H1653" s="51"/>
      <c r="I1653" s="39"/>
      <c r="J1653" s="51"/>
      <c r="K1653" s="51"/>
      <c r="L1653" s="51"/>
      <c r="P1653" s="52"/>
    </row>
    <row r="1654" spans="2:16" ht="15" customHeight="1" x14ac:dyDescent="0.3">
      <c r="B1654" s="44"/>
      <c r="H1654" s="51"/>
      <c r="I1654" s="39"/>
      <c r="J1654" s="51"/>
      <c r="K1654" s="51"/>
      <c r="L1654" s="51"/>
      <c r="P1654" s="52"/>
    </row>
    <row r="1655" spans="2:16" ht="15" customHeight="1" x14ac:dyDescent="0.3">
      <c r="B1655" s="44"/>
      <c r="H1655" s="51"/>
      <c r="I1655" s="39"/>
      <c r="J1655" s="51"/>
      <c r="K1655" s="51"/>
      <c r="L1655" s="51"/>
      <c r="P1655" s="52"/>
    </row>
    <row r="1656" spans="2:16" ht="15" customHeight="1" x14ac:dyDescent="0.3">
      <c r="B1656" s="44"/>
      <c r="H1656" s="51"/>
      <c r="I1656" s="39"/>
      <c r="J1656" s="51"/>
      <c r="K1656" s="51"/>
      <c r="L1656" s="51"/>
      <c r="P1656" s="52"/>
    </row>
    <row r="1657" spans="2:16" ht="15" customHeight="1" x14ac:dyDescent="0.3">
      <c r="B1657" s="44"/>
      <c r="H1657" s="51"/>
      <c r="I1657" s="39"/>
      <c r="J1657" s="51"/>
      <c r="K1657" s="51"/>
      <c r="L1657" s="51"/>
      <c r="P1657" s="52"/>
    </row>
    <row r="1658" spans="2:16" ht="15" customHeight="1" x14ac:dyDescent="0.3">
      <c r="B1658" s="44"/>
      <c r="H1658" s="51"/>
      <c r="I1658" s="39"/>
      <c r="J1658" s="51"/>
      <c r="K1658" s="51"/>
      <c r="L1658" s="51"/>
      <c r="P1658" s="52"/>
    </row>
    <row r="1659" spans="2:16" ht="15" customHeight="1" x14ac:dyDescent="0.3">
      <c r="B1659" s="44"/>
      <c r="H1659" s="51"/>
      <c r="I1659" s="39"/>
      <c r="J1659" s="51"/>
      <c r="K1659" s="51"/>
      <c r="L1659" s="51"/>
      <c r="P1659" s="52"/>
    </row>
    <row r="1660" spans="2:16" ht="15" customHeight="1" x14ac:dyDescent="0.3">
      <c r="B1660" s="44"/>
      <c r="H1660" s="51"/>
      <c r="I1660" s="39"/>
      <c r="J1660" s="51"/>
      <c r="K1660" s="51"/>
      <c r="L1660" s="51"/>
      <c r="P1660" s="52"/>
    </row>
    <row r="1661" spans="2:16" ht="15" customHeight="1" x14ac:dyDescent="0.3">
      <c r="B1661" s="44"/>
      <c r="H1661" s="51"/>
      <c r="I1661" s="39"/>
      <c r="J1661" s="51"/>
      <c r="K1661" s="51"/>
      <c r="L1661" s="51"/>
      <c r="P1661" s="52"/>
    </row>
    <row r="1662" spans="2:16" ht="15" customHeight="1" x14ac:dyDescent="0.3">
      <c r="B1662" s="44"/>
      <c r="H1662" s="51"/>
      <c r="I1662" s="39"/>
      <c r="J1662" s="51"/>
      <c r="K1662" s="51"/>
      <c r="L1662" s="51"/>
      <c r="P1662" s="52"/>
    </row>
    <row r="1663" spans="2:16" ht="15" customHeight="1" x14ac:dyDescent="0.3">
      <c r="B1663" s="44"/>
      <c r="H1663" s="51"/>
      <c r="I1663" s="39"/>
      <c r="J1663" s="51"/>
      <c r="K1663" s="51"/>
      <c r="L1663" s="51"/>
      <c r="P1663" s="52"/>
    </row>
    <row r="1664" spans="2:16" ht="15" customHeight="1" x14ac:dyDescent="0.3">
      <c r="B1664" s="44"/>
      <c r="H1664" s="51"/>
      <c r="I1664" s="39"/>
      <c r="J1664" s="51"/>
      <c r="K1664" s="51"/>
      <c r="L1664" s="51"/>
      <c r="P1664" s="52"/>
    </row>
    <row r="1665" spans="2:16" ht="15" customHeight="1" x14ac:dyDescent="0.3">
      <c r="B1665" s="44"/>
      <c r="H1665" s="51"/>
      <c r="I1665" s="39"/>
      <c r="J1665" s="51"/>
      <c r="K1665" s="51"/>
      <c r="L1665" s="51"/>
      <c r="P1665" s="52"/>
    </row>
    <row r="1666" spans="2:16" ht="15" customHeight="1" x14ac:dyDescent="0.3">
      <c r="B1666" s="44"/>
      <c r="H1666" s="51"/>
      <c r="I1666" s="39"/>
      <c r="J1666" s="51"/>
      <c r="K1666" s="51"/>
      <c r="L1666" s="51"/>
      <c r="P1666" s="52"/>
    </row>
    <row r="1667" spans="2:16" ht="15" customHeight="1" x14ac:dyDescent="0.3">
      <c r="B1667" s="44"/>
      <c r="H1667" s="51"/>
      <c r="I1667" s="39"/>
      <c r="J1667" s="51"/>
      <c r="K1667" s="51"/>
      <c r="L1667" s="51"/>
      <c r="P1667" s="52"/>
    </row>
    <row r="1668" spans="2:16" ht="15" customHeight="1" x14ac:dyDescent="0.3">
      <c r="B1668" s="44"/>
      <c r="H1668" s="51"/>
      <c r="I1668" s="39"/>
      <c r="J1668" s="51"/>
      <c r="K1668" s="51"/>
      <c r="L1668" s="51"/>
      <c r="P1668" s="52"/>
    </row>
    <row r="1669" spans="2:16" ht="15" customHeight="1" x14ac:dyDescent="0.3">
      <c r="B1669" s="44"/>
      <c r="H1669" s="51"/>
      <c r="I1669" s="39"/>
      <c r="J1669" s="51"/>
      <c r="K1669" s="51"/>
      <c r="L1669" s="51"/>
      <c r="P1669" s="52"/>
    </row>
    <row r="1670" spans="2:16" ht="15" customHeight="1" x14ac:dyDescent="0.3">
      <c r="B1670" s="44"/>
      <c r="H1670" s="51"/>
      <c r="I1670" s="39"/>
      <c r="J1670" s="51"/>
      <c r="K1670" s="51"/>
      <c r="L1670" s="51"/>
      <c r="P1670" s="52"/>
    </row>
    <row r="1671" spans="2:16" ht="15" customHeight="1" x14ac:dyDescent="0.3">
      <c r="B1671" s="44"/>
      <c r="H1671" s="51"/>
      <c r="I1671" s="39"/>
      <c r="J1671" s="51"/>
      <c r="K1671" s="51"/>
      <c r="L1671" s="51"/>
      <c r="P1671" s="52"/>
    </row>
    <row r="1672" spans="2:16" ht="15" customHeight="1" x14ac:dyDescent="0.3">
      <c r="B1672" s="44"/>
      <c r="H1672" s="51"/>
      <c r="I1672" s="39"/>
      <c r="J1672" s="51"/>
      <c r="K1672" s="51"/>
      <c r="L1672" s="51"/>
      <c r="P1672" s="52"/>
    </row>
    <row r="1673" spans="2:16" ht="15" customHeight="1" x14ac:dyDescent="0.3">
      <c r="B1673" s="44"/>
      <c r="H1673" s="51"/>
      <c r="I1673" s="39"/>
      <c r="J1673" s="51"/>
      <c r="K1673" s="51"/>
      <c r="L1673" s="51"/>
      <c r="P1673" s="52"/>
    </row>
    <row r="1674" spans="2:16" ht="15" customHeight="1" x14ac:dyDescent="0.3">
      <c r="B1674" s="44"/>
      <c r="H1674" s="51"/>
      <c r="I1674" s="39"/>
      <c r="J1674" s="51"/>
      <c r="K1674" s="51"/>
      <c r="L1674" s="51"/>
      <c r="P1674" s="52"/>
    </row>
    <row r="1675" spans="2:16" ht="15" customHeight="1" x14ac:dyDescent="0.3">
      <c r="B1675" s="44"/>
      <c r="H1675" s="51"/>
      <c r="I1675" s="39"/>
      <c r="J1675" s="51"/>
      <c r="K1675" s="51"/>
      <c r="L1675" s="51"/>
      <c r="P1675" s="52"/>
    </row>
    <row r="1676" spans="2:16" ht="15" customHeight="1" x14ac:dyDescent="0.3">
      <c r="B1676" s="44"/>
      <c r="H1676" s="51"/>
      <c r="I1676" s="39"/>
      <c r="J1676" s="51"/>
      <c r="K1676" s="51"/>
      <c r="L1676" s="51"/>
      <c r="P1676" s="52"/>
    </row>
    <row r="1677" spans="2:16" ht="15" customHeight="1" x14ac:dyDescent="0.3">
      <c r="B1677" s="44"/>
      <c r="H1677" s="51"/>
      <c r="I1677" s="39"/>
      <c r="J1677" s="51"/>
      <c r="K1677" s="51"/>
      <c r="L1677" s="51"/>
      <c r="P1677" s="52"/>
    </row>
    <row r="1678" spans="2:16" ht="15" customHeight="1" x14ac:dyDescent="0.3">
      <c r="B1678" s="44"/>
      <c r="H1678" s="51"/>
      <c r="I1678" s="39"/>
      <c r="J1678" s="51"/>
      <c r="K1678" s="51"/>
      <c r="L1678" s="51"/>
      <c r="P1678" s="52"/>
    </row>
    <row r="1679" spans="2:16" ht="15" customHeight="1" x14ac:dyDescent="0.3">
      <c r="B1679" s="44"/>
      <c r="H1679" s="51"/>
      <c r="I1679" s="39"/>
      <c r="J1679" s="51"/>
      <c r="K1679" s="51"/>
      <c r="L1679" s="51"/>
      <c r="P1679" s="52"/>
    </row>
    <row r="1680" spans="2:16" ht="15" customHeight="1" x14ac:dyDescent="0.3">
      <c r="B1680" s="44"/>
      <c r="H1680" s="51"/>
      <c r="I1680" s="39"/>
      <c r="J1680" s="51"/>
      <c r="K1680" s="51"/>
      <c r="L1680" s="51"/>
      <c r="P1680" s="52"/>
    </row>
    <row r="1681" spans="2:16" ht="15" customHeight="1" x14ac:dyDescent="0.3">
      <c r="B1681" s="44"/>
      <c r="H1681" s="51"/>
      <c r="I1681" s="39"/>
      <c r="J1681" s="51"/>
      <c r="K1681" s="51"/>
      <c r="L1681" s="51"/>
      <c r="P1681" s="52"/>
    </row>
    <row r="1682" spans="2:16" ht="15" customHeight="1" x14ac:dyDescent="0.3">
      <c r="B1682" s="44"/>
      <c r="H1682" s="51"/>
      <c r="I1682" s="39"/>
      <c r="J1682" s="51"/>
      <c r="K1682" s="51"/>
      <c r="L1682" s="51"/>
      <c r="P1682" s="52"/>
    </row>
    <row r="1683" spans="2:16" ht="15" customHeight="1" x14ac:dyDescent="0.3">
      <c r="B1683" s="44"/>
      <c r="H1683" s="51"/>
      <c r="I1683" s="39"/>
      <c r="J1683" s="51"/>
      <c r="K1683" s="51"/>
      <c r="L1683" s="51"/>
      <c r="P1683" s="52"/>
    </row>
    <row r="1684" spans="2:16" ht="15" customHeight="1" x14ac:dyDescent="0.3">
      <c r="B1684" s="44"/>
      <c r="H1684" s="51"/>
      <c r="I1684" s="39"/>
      <c r="J1684" s="51"/>
      <c r="K1684" s="51"/>
      <c r="L1684" s="51"/>
      <c r="P1684" s="52"/>
    </row>
    <row r="1685" spans="2:16" ht="15" customHeight="1" x14ac:dyDescent="0.3">
      <c r="B1685" s="44"/>
      <c r="H1685" s="51"/>
      <c r="I1685" s="39"/>
      <c r="J1685" s="51"/>
      <c r="K1685" s="51"/>
      <c r="L1685" s="51"/>
      <c r="P1685" s="52"/>
    </row>
    <row r="1686" spans="2:16" ht="15" customHeight="1" x14ac:dyDescent="0.3">
      <c r="B1686" s="44"/>
      <c r="H1686" s="51"/>
      <c r="I1686" s="39"/>
      <c r="J1686" s="51"/>
      <c r="K1686" s="51"/>
      <c r="L1686" s="51"/>
      <c r="P1686" s="52"/>
    </row>
    <row r="1687" spans="2:16" ht="15" customHeight="1" x14ac:dyDescent="0.3">
      <c r="B1687" s="44"/>
      <c r="H1687" s="51"/>
      <c r="I1687" s="39"/>
      <c r="J1687" s="51"/>
      <c r="K1687" s="51"/>
      <c r="L1687" s="51"/>
      <c r="P1687" s="52"/>
    </row>
    <row r="1688" spans="2:16" ht="15" customHeight="1" x14ac:dyDescent="0.3">
      <c r="B1688" s="44"/>
      <c r="H1688" s="51"/>
      <c r="I1688" s="39"/>
      <c r="J1688" s="51"/>
      <c r="K1688" s="51"/>
      <c r="L1688" s="51"/>
      <c r="P1688" s="52"/>
    </row>
    <row r="1689" spans="2:16" ht="15" customHeight="1" x14ac:dyDescent="0.3">
      <c r="B1689" s="44"/>
      <c r="H1689" s="51"/>
      <c r="I1689" s="39"/>
      <c r="J1689" s="51"/>
      <c r="K1689" s="51"/>
      <c r="L1689" s="51"/>
      <c r="P1689" s="52"/>
    </row>
    <row r="1690" spans="2:16" ht="15" customHeight="1" x14ac:dyDescent="0.3">
      <c r="B1690" s="44"/>
      <c r="H1690" s="51"/>
      <c r="I1690" s="39"/>
      <c r="J1690" s="51"/>
      <c r="K1690" s="51"/>
      <c r="L1690" s="51"/>
      <c r="P1690" s="52"/>
    </row>
    <row r="1691" spans="2:16" ht="15" customHeight="1" x14ac:dyDescent="0.3">
      <c r="B1691" s="44"/>
      <c r="H1691" s="51"/>
      <c r="I1691" s="39"/>
      <c r="J1691" s="51"/>
      <c r="K1691" s="51"/>
      <c r="L1691" s="51"/>
      <c r="P1691" s="52"/>
    </row>
    <row r="1692" spans="2:16" ht="15" customHeight="1" x14ac:dyDescent="0.3">
      <c r="B1692" s="44"/>
      <c r="H1692" s="51"/>
      <c r="I1692" s="39"/>
      <c r="J1692" s="51"/>
      <c r="K1692" s="51"/>
      <c r="L1692" s="51"/>
      <c r="P1692" s="52"/>
    </row>
    <row r="1693" spans="2:16" ht="15" customHeight="1" x14ac:dyDescent="0.3">
      <c r="B1693" s="44"/>
      <c r="H1693" s="51"/>
      <c r="I1693" s="39"/>
      <c r="J1693" s="51"/>
      <c r="K1693" s="51"/>
      <c r="L1693" s="51"/>
      <c r="P1693" s="52"/>
    </row>
    <row r="1694" spans="2:16" ht="15" customHeight="1" x14ac:dyDescent="0.3">
      <c r="B1694" s="44"/>
      <c r="H1694" s="51"/>
      <c r="I1694" s="39"/>
      <c r="J1694" s="51"/>
      <c r="K1694" s="51"/>
      <c r="L1694" s="51"/>
      <c r="P1694" s="52"/>
    </row>
    <row r="1695" spans="2:16" ht="15" customHeight="1" x14ac:dyDescent="0.3">
      <c r="B1695" s="44"/>
      <c r="H1695" s="51"/>
      <c r="I1695" s="39"/>
      <c r="J1695" s="51"/>
      <c r="K1695" s="51"/>
      <c r="L1695" s="51"/>
      <c r="P1695" s="52"/>
    </row>
    <row r="1696" spans="2:16" ht="15" customHeight="1" x14ac:dyDescent="0.3">
      <c r="B1696" s="44"/>
      <c r="H1696" s="51"/>
      <c r="I1696" s="39"/>
      <c r="J1696" s="51"/>
      <c r="K1696" s="51"/>
      <c r="L1696" s="51"/>
      <c r="P1696" s="52"/>
    </row>
    <row r="1697" spans="2:16" ht="15" customHeight="1" x14ac:dyDescent="0.3">
      <c r="B1697" s="44"/>
      <c r="H1697" s="51"/>
      <c r="I1697" s="39"/>
      <c r="J1697" s="51"/>
      <c r="K1697" s="51"/>
      <c r="L1697" s="51"/>
      <c r="P1697" s="52"/>
    </row>
    <row r="1698" spans="2:16" ht="15" customHeight="1" x14ac:dyDescent="0.3">
      <c r="B1698" s="44"/>
      <c r="H1698" s="51"/>
      <c r="I1698" s="39"/>
      <c r="J1698" s="51"/>
      <c r="K1698" s="51"/>
      <c r="L1698" s="51"/>
      <c r="P1698" s="52"/>
    </row>
    <row r="1699" spans="2:16" ht="15" customHeight="1" x14ac:dyDescent="0.3">
      <c r="B1699" s="44"/>
      <c r="H1699" s="51"/>
      <c r="I1699" s="39"/>
      <c r="J1699" s="51"/>
      <c r="K1699" s="51"/>
      <c r="L1699" s="51"/>
      <c r="P1699" s="52"/>
    </row>
    <row r="1700" spans="2:16" ht="15" customHeight="1" x14ac:dyDescent="0.3">
      <c r="B1700" s="44"/>
      <c r="H1700" s="51"/>
      <c r="I1700" s="39"/>
      <c r="J1700" s="51"/>
      <c r="K1700" s="51"/>
      <c r="L1700" s="51"/>
      <c r="P1700" s="52"/>
    </row>
    <row r="1701" spans="2:16" ht="15" customHeight="1" x14ac:dyDescent="0.3">
      <c r="B1701" s="44"/>
      <c r="H1701" s="51"/>
      <c r="I1701" s="39"/>
      <c r="J1701" s="51"/>
      <c r="K1701" s="51"/>
      <c r="L1701" s="51"/>
      <c r="P1701" s="52"/>
    </row>
    <row r="1702" spans="2:16" ht="15" customHeight="1" x14ac:dyDescent="0.3">
      <c r="B1702" s="44"/>
      <c r="H1702" s="51"/>
      <c r="I1702" s="39"/>
      <c r="J1702" s="51"/>
      <c r="K1702" s="51"/>
      <c r="L1702" s="51"/>
      <c r="P1702" s="52"/>
    </row>
    <row r="1703" spans="2:16" ht="15" customHeight="1" x14ac:dyDescent="0.3">
      <c r="B1703" s="44"/>
      <c r="H1703" s="51"/>
      <c r="I1703" s="39"/>
      <c r="J1703" s="51"/>
      <c r="K1703" s="51"/>
      <c r="L1703" s="51"/>
      <c r="P1703" s="52"/>
    </row>
    <row r="1704" spans="2:16" ht="15" customHeight="1" x14ac:dyDescent="0.3">
      <c r="B1704" s="44"/>
      <c r="H1704" s="51"/>
      <c r="I1704" s="39"/>
      <c r="J1704" s="51"/>
      <c r="K1704" s="51"/>
      <c r="L1704" s="51"/>
      <c r="P1704" s="52"/>
    </row>
    <row r="1705" spans="2:16" ht="15" customHeight="1" x14ac:dyDescent="0.3">
      <c r="B1705" s="44"/>
      <c r="H1705" s="51"/>
      <c r="I1705" s="39"/>
      <c r="J1705" s="51"/>
      <c r="K1705" s="51"/>
      <c r="L1705" s="51"/>
      <c r="P1705" s="52"/>
    </row>
    <row r="1706" spans="2:16" ht="15" customHeight="1" x14ac:dyDescent="0.3">
      <c r="B1706" s="44"/>
      <c r="H1706" s="51"/>
      <c r="I1706" s="39"/>
      <c r="J1706" s="51"/>
      <c r="K1706" s="51"/>
      <c r="L1706" s="51"/>
      <c r="P1706" s="52"/>
    </row>
    <row r="1707" spans="2:16" ht="15" customHeight="1" x14ac:dyDescent="0.3">
      <c r="B1707" s="44"/>
      <c r="H1707" s="51"/>
      <c r="I1707" s="39"/>
      <c r="J1707" s="51"/>
      <c r="K1707" s="51"/>
      <c r="L1707" s="51"/>
      <c r="P1707" s="52"/>
    </row>
    <row r="1708" spans="2:16" ht="15" customHeight="1" x14ac:dyDescent="0.3">
      <c r="B1708" s="44"/>
      <c r="H1708" s="51"/>
      <c r="I1708" s="39"/>
      <c r="J1708" s="51"/>
      <c r="K1708" s="51"/>
      <c r="L1708" s="51"/>
      <c r="P1708" s="52"/>
    </row>
    <row r="1709" spans="2:16" ht="15" customHeight="1" x14ac:dyDescent="0.3">
      <c r="B1709" s="44"/>
      <c r="H1709" s="51"/>
      <c r="I1709" s="39"/>
      <c r="J1709" s="51"/>
      <c r="K1709" s="51"/>
      <c r="L1709" s="51"/>
      <c r="P1709" s="52"/>
    </row>
    <row r="1710" spans="2:16" ht="15" customHeight="1" x14ac:dyDescent="0.3">
      <c r="B1710" s="44"/>
      <c r="H1710" s="51"/>
      <c r="I1710" s="39"/>
      <c r="J1710" s="51"/>
      <c r="K1710" s="51"/>
      <c r="L1710" s="51"/>
      <c r="P1710" s="52"/>
    </row>
    <row r="1711" spans="2:16" ht="15" customHeight="1" x14ac:dyDescent="0.3">
      <c r="B1711" s="44"/>
      <c r="H1711" s="51"/>
      <c r="I1711" s="39"/>
      <c r="J1711" s="51"/>
      <c r="K1711" s="51"/>
      <c r="L1711" s="51"/>
      <c r="P1711" s="52"/>
    </row>
    <row r="1712" spans="2:16" ht="15" customHeight="1" x14ac:dyDescent="0.3">
      <c r="B1712" s="44"/>
      <c r="H1712" s="51"/>
      <c r="I1712" s="39"/>
      <c r="J1712" s="51"/>
      <c r="K1712" s="51"/>
      <c r="L1712" s="51"/>
      <c r="P1712" s="52"/>
    </row>
    <row r="1713" spans="2:16" ht="15" customHeight="1" x14ac:dyDescent="0.3">
      <c r="B1713" s="44"/>
      <c r="H1713" s="51"/>
      <c r="I1713" s="39"/>
      <c r="J1713" s="51"/>
      <c r="K1713" s="51"/>
      <c r="L1713" s="51"/>
      <c r="P1713" s="52"/>
    </row>
    <row r="1714" spans="2:16" ht="15" customHeight="1" x14ac:dyDescent="0.3">
      <c r="B1714" s="44"/>
      <c r="H1714" s="51"/>
      <c r="I1714" s="39"/>
      <c r="J1714" s="51"/>
      <c r="K1714" s="51"/>
      <c r="L1714" s="51"/>
      <c r="P1714" s="52"/>
    </row>
    <row r="1715" spans="2:16" ht="15" customHeight="1" x14ac:dyDescent="0.3">
      <c r="B1715" s="44"/>
      <c r="H1715" s="51"/>
      <c r="I1715" s="39"/>
      <c r="J1715" s="51"/>
      <c r="K1715" s="51"/>
      <c r="L1715" s="51"/>
      <c r="P1715" s="52"/>
    </row>
    <row r="1716" spans="2:16" ht="15" customHeight="1" x14ac:dyDescent="0.3">
      <c r="B1716" s="44"/>
      <c r="H1716" s="51"/>
      <c r="I1716" s="39"/>
      <c r="J1716" s="51"/>
      <c r="K1716" s="51"/>
      <c r="L1716" s="51"/>
      <c r="P1716" s="52"/>
    </row>
    <row r="1717" spans="2:16" ht="15" customHeight="1" x14ac:dyDescent="0.3">
      <c r="B1717" s="44"/>
      <c r="H1717" s="51"/>
      <c r="I1717" s="39"/>
      <c r="J1717" s="51"/>
      <c r="K1717" s="51"/>
      <c r="L1717" s="51"/>
      <c r="P1717" s="52"/>
    </row>
    <row r="1718" spans="2:16" ht="15" customHeight="1" x14ac:dyDescent="0.3">
      <c r="B1718" s="44"/>
      <c r="H1718" s="51"/>
      <c r="I1718" s="39"/>
      <c r="J1718" s="51"/>
      <c r="K1718" s="51"/>
      <c r="L1718" s="51"/>
      <c r="P1718" s="52"/>
    </row>
    <row r="1719" spans="2:16" ht="15" customHeight="1" x14ac:dyDescent="0.3">
      <c r="B1719" s="44"/>
      <c r="H1719" s="51"/>
      <c r="I1719" s="39"/>
      <c r="J1719" s="51"/>
      <c r="K1719" s="51"/>
      <c r="L1719" s="51"/>
      <c r="P1719" s="52"/>
    </row>
    <row r="1720" spans="2:16" ht="15" customHeight="1" x14ac:dyDescent="0.3">
      <c r="B1720" s="44"/>
      <c r="H1720" s="51"/>
      <c r="I1720" s="39"/>
      <c r="J1720" s="51"/>
      <c r="K1720" s="51"/>
      <c r="L1720" s="51"/>
      <c r="P1720" s="52"/>
    </row>
    <row r="1721" spans="2:16" ht="15" customHeight="1" x14ac:dyDescent="0.3">
      <c r="B1721" s="44"/>
      <c r="H1721" s="51"/>
      <c r="I1721" s="39"/>
      <c r="J1721" s="51"/>
      <c r="K1721" s="51"/>
      <c r="L1721" s="51"/>
      <c r="P1721" s="52"/>
    </row>
    <row r="1722" spans="2:16" ht="15" customHeight="1" x14ac:dyDescent="0.3">
      <c r="B1722" s="44"/>
      <c r="H1722" s="51"/>
      <c r="I1722" s="39"/>
      <c r="J1722" s="51"/>
      <c r="K1722" s="51"/>
      <c r="L1722" s="51"/>
      <c r="P1722" s="52"/>
    </row>
    <row r="1723" spans="2:16" ht="15" customHeight="1" x14ac:dyDescent="0.3">
      <c r="B1723" s="44"/>
      <c r="H1723" s="51"/>
      <c r="I1723" s="39"/>
      <c r="J1723" s="51"/>
      <c r="K1723" s="51"/>
      <c r="L1723" s="51"/>
      <c r="P1723" s="52"/>
    </row>
    <row r="1724" spans="2:16" ht="15" customHeight="1" x14ac:dyDescent="0.3">
      <c r="B1724" s="44"/>
      <c r="H1724" s="51"/>
      <c r="I1724" s="39"/>
      <c r="J1724" s="51"/>
      <c r="K1724" s="51"/>
      <c r="L1724" s="51"/>
      <c r="P1724" s="52"/>
    </row>
    <row r="1725" spans="2:16" ht="15" customHeight="1" x14ac:dyDescent="0.3">
      <c r="B1725" s="44"/>
      <c r="H1725" s="51"/>
      <c r="I1725" s="39"/>
      <c r="J1725" s="51"/>
      <c r="K1725" s="51"/>
      <c r="L1725" s="51"/>
      <c r="P1725" s="52"/>
    </row>
    <row r="1726" spans="2:16" ht="15" customHeight="1" x14ac:dyDescent="0.3">
      <c r="B1726" s="44"/>
      <c r="H1726" s="51"/>
      <c r="I1726" s="39"/>
      <c r="J1726" s="51"/>
      <c r="K1726" s="51"/>
      <c r="L1726" s="51"/>
      <c r="P1726" s="52"/>
    </row>
    <row r="1727" spans="2:16" ht="15" customHeight="1" x14ac:dyDescent="0.3">
      <c r="B1727" s="44"/>
      <c r="H1727" s="51"/>
      <c r="I1727" s="39"/>
      <c r="J1727" s="51"/>
      <c r="K1727" s="51"/>
      <c r="L1727" s="51"/>
      <c r="P1727" s="52"/>
    </row>
    <row r="1728" spans="2:16" ht="15" customHeight="1" x14ac:dyDescent="0.3">
      <c r="B1728" s="44"/>
      <c r="H1728" s="51"/>
      <c r="I1728" s="39"/>
      <c r="J1728" s="51"/>
      <c r="K1728" s="51"/>
      <c r="L1728" s="51"/>
      <c r="P1728" s="52"/>
    </row>
    <row r="1729" spans="2:16" ht="15" customHeight="1" x14ac:dyDescent="0.3">
      <c r="B1729" s="44"/>
      <c r="H1729" s="51"/>
      <c r="I1729" s="39"/>
      <c r="J1729" s="51"/>
      <c r="K1729" s="51"/>
      <c r="L1729" s="51"/>
      <c r="P1729" s="52"/>
    </row>
    <row r="1730" spans="2:16" ht="15" customHeight="1" x14ac:dyDescent="0.3">
      <c r="B1730" s="44"/>
      <c r="H1730" s="51"/>
      <c r="I1730" s="39"/>
      <c r="J1730" s="51"/>
      <c r="K1730" s="51"/>
      <c r="L1730" s="51"/>
      <c r="P1730" s="52"/>
    </row>
    <row r="1731" spans="2:16" ht="15" customHeight="1" x14ac:dyDescent="0.3">
      <c r="B1731" s="44"/>
      <c r="H1731" s="51"/>
      <c r="I1731" s="39"/>
      <c r="J1731" s="51"/>
      <c r="K1731" s="51"/>
      <c r="L1731" s="51"/>
      <c r="P1731" s="52"/>
    </row>
    <row r="1732" spans="2:16" ht="15" customHeight="1" x14ac:dyDescent="0.3">
      <c r="B1732" s="44"/>
      <c r="H1732" s="51"/>
      <c r="I1732" s="39"/>
      <c r="J1732" s="51"/>
      <c r="K1732" s="51"/>
      <c r="L1732" s="51"/>
      <c r="P1732" s="52"/>
    </row>
    <row r="1733" spans="2:16" ht="15" customHeight="1" x14ac:dyDescent="0.3">
      <c r="B1733" s="44"/>
      <c r="H1733" s="51"/>
      <c r="I1733" s="39"/>
      <c r="J1733" s="51"/>
      <c r="K1733" s="51"/>
      <c r="L1733" s="51"/>
      <c r="P1733" s="52"/>
    </row>
    <row r="1734" spans="2:16" ht="15" customHeight="1" x14ac:dyDescent="0.3">
      <c r="B1734" s="44"/>
      <c r="H1734" s="51"/>
      <c r="I1734" s="39"/>
      <c r="J1734" s="51"/>
      <c r="K1734" s="51"/>
      <c r="L1734" s="51"/>
      <c r="P1734" s="52"/>
    </row>
    <row r="1735" spans="2:16" ht="15" customHeight="1" x14ac:dyDescent="0.3">
      <c r="B1735" s="44"/>
      <c r="H1735" s="51"/>
      <c r="I1735" s="39"/>
      <c r="J1735" s="51"/>
      <c r="K1735" s="51"/>
      <c r="L1735" s="51"/>
      <c r="P1735" s="52"/>
    </row>
    <row r="1736" spans="2:16" ht="15" customHeight="1" x14ac:dyDescent="0.3">
      <c r="B1736" s="44"/>
      <c r="H1736" s="51"/>
      <c r="I1736" s="39"/>
      <c r="J1736" s="51"/>
      <c r="K1736" s="51"/>
      <c r="L1736" s="51"/>
      <c r="P1736" s="52"/>
    </row>
    <row r="1737" spans="2:16" ht="15" customHeight="1" x14ac:dyDescent="0.3">
      <c r="B1737" s="44"/>
      <c r="H1737" s="51"/>
      <c r="I1737" s="39"/>
      <c r="J1737" s="51"/>
      <c r="K1737" s="51"/>
      <c r="L1737" s="51"/>
      <c r="P1737" s="52"/>
    </row>
    <row r="1738" spans="2:16" ht="15" customHeight="1" x14ac:dyDescent="0.3">
      <c r="B1738" s="44"/>
      <c r="H1738" s="51"/>
      <c r="I1738" s="39"/>
      <c r="J1738" s="51"/>
      <c r="K1738" s="51"/>
      <c r="L1738" s="51"/>
      <c r="P1738" s="52"/>
    </row>
    <row r="1739" spans="2:16" ht="15" customHeight="1" x14ac:dyDescent="0.3">
      <c r="B1739" s="44"/>
      <c r="H1739" s="51"/>
      <c r="I1739" s="39"/>
      <c r="J1739" s="51"/>
      <c r="K1739" s="51"/>
      <c r="L1739" s="51"/>
      <c r="P1739" s="52"/>
    </row>
    <row r="1740" spans="2:16" ht="15" customHeight="1" x14ac:dyDescent="0.3">
      <c r="B1740" s="44"/>
      <c r="H1740" s="51"/>
      <c r="I1740" s="39"/>
      <c r="J1740" s="51"/>
      <c r="K1740" s="51"/>
      <c r="L1740" s="51"/>
      <c r="P1740" s="52"/>
    </row>
    <row r="1741" spans="2:16" ht="15" customHeight="1" x14ac:dyDescent="0.3">
      <c r="B1741" s="44"/>
      <c r="H1741" s="51"/>
      <c r="I1741" s="39"/>
      <c r="J1741" s="51"/>
      <c r="K1741" s="51"/>
      <c r="L1741" s="51"/>
      <c r="P1741" s="52"/>
    </row>
    <row r="1742" spans="2:16" ht="15" customHeight="1" x14ac:dyDescent="0.3">
      <c r="B1742" s="44"/>
      <c r="H1742" s="51"/>
      <c r="I1742" s="39"/>
      <c r="J1742" s="51"/>
      <c r="K1742" s="51"/>
      <c r="L1742" s="51"/>
      <c r="P1742" s="52"/>
    </row>
    <row r="1743" spans="2:16" ht="15" customHeight="1" x14ac:dyDescent="0.3">
      <c r="B1743" s="44"/>
      <c r="H1743" s="51"/>
      <c r="I1743" s="39"/>
      <c r="J1743" s="51"/>
      <c r="K1743" s="51"/>
      <c r="L1743" s="51"/>
      <c r="P1743" s="52"/>
    </row>
    <row r="1744" spans="2:16" ht="15" customHeight="1" x14ac:dyDescent="0.3">
      <c r="B1744" s="44"/>
      <c r="H1744" s="51"/>
      <c r="I1744" s="39"/>
      <c r="J1744" s="51"/>
      <c r="K1744" s="51"/>
      <c r="L1744" s="51"/>
      <c r="P1744" s="52"/>
    </row>
    <row r="1745" spans="2:16" ht="15" customHeight="1" x14ac:dyDescent="0.3">
      <c r="B1745" s="44"/>
      <c r="H1745" s="51"/>
      <c r="I1745" s="39"/>
      <c r="J1745" s="51"/>
      <c r="K1745" s="51"/>
      <c r="L1745" s="51"/>
      <c r="P1745" s="52"/>
    </row>
    <row r="1746" spans="2:16" ht="15" customHeight="1" x14ac:dyDescent="0.3">
      <c r="B1746" s="44"/>
      <c r="H1746" s="51"/>
      <c r="I1746" s="39"/>
      <c r="J1746" s="51"/>
      <c r="K1746" s="51"/>
      <c r="L1746" s="51"/>
      <c r="P1746" s="52"/>
    </row>
    <row r="1747" spans="2:16" ht="15" customHeight="1" x14ac:dyDescent="0.3">
      <c r="B1747" s="44"/>
      <c r="H1747" s="51"/>
      <c r="I1747" s="39"/>
      <c r="J1747" s="51"/>
      <c r="K1747" s="51"/>
      <c r="L1747" s="51"/>
      <c r="P1747" s="52"/>
    </row>
    <row r="1748" spans="2:16" ht="15" customHeight="1" x14ac:dyDescent="0.3">
      <c r="B1748" s="44"/>
      <c r="H1748" s="51"/>
      <c r="I1748" s="39"/>
      <c r="J1748" s="51"/>
      <c r="K1748" s="51"/>
      <c r="L1748" s="51"/>
      <c r="P1748" s="52"/>
    </row>
    <row r="1749" spans="2:16" ht="15" customHeight="1" x14ac:dyDescent="0.3">
      <c r="B1749" s="44"/>
      <c r="H1749" s="51"/>
      <c r="I1749" s="39"/>
      <c r="J1749" s="51"/>
      <c r="K1749" s="51"/>
      <c r="L1749" s="51"/>
      <c r="P1749" s="52"/>
    </row>
    <row r="1750" spans="2:16" ht="15" customHeight="1" x14ac:dyDescent="0.3">
      <c r="B1750" s="44"/>
      <c r="H1750" s="51"/>
      <c r="I1750" s="39"/>
      <c r="J1750" s="51"/>
      <c r="K1750" s="51"/>
      <c r="L1750" s="51"/>
      <c r="P1750" s="52"/>
    </row>
    <row r="1751" spans="2:16" ht="15" customHeight="1" x14ac:dyDescent="0.3">
      <c r="B1751" s="44"/>
      <c r="H1751" s="51"/>
      <c r="I1751" s="39"/>
      <c r="J1751" s="51"/>
      <c r="K1751" s="51"/>
      <c r="L1751" s="51"/>
      <c r="P1751" s="52"/>
    </row>
    <row r="1752" spans="2:16" ht="15" customHeight="1" x14ac:dyDescent="0.3">
      <c r="B1752" s="44"/>
      <c r="H1752" s="51"/>
      <c r="I1752" s="39"/>
      <c r="J1752" s="51"/>
      <c r="K1752" s="51"/>
      <c r="L1752" s="51"/>
      <c r="P1752" s="52"/>
    </row>
    <row r="1753" spans="2:16" ht="15" customHeight="1" x14ac:dyDescent="0.3">
      <c r="B1753" s="44"/>
      <c r="H1753" s="51"/>
      <c r="I1753" s="39"/>
      <c r="J1753" s="51"/>
      <c r="K1753" s="51"/>
      <c r="L1753" s="51"/>
      <c r="P1753" s="52"/>
    </row>
    <row r="1754" spans="2:16" ht="15" customHeight="1" x14ac:dyDescent="0.3">
      <c r="B1754" s="44"/>
      <c r="H1754" s="51"/>
      <c r="I1754" s="39"/>
      <c r="J1754" s="51"/>
      <c r="K1754" s="51"/>
      <c r="L1754" s="51"/>
      <c r="P1754" s="52"/>
    </row>
    <row r="1755" spans="2:16" ht="15" customHeight="1" x14ac:dyDescent="0.3">
      <c r="B1755" s="44"/>
      <c r="H1755" s="51"/>
      <c r="I1755" s="39"/>
      <c r="J1755" s="51"/>
      <c r="K1755" s="51"/>
      <c r="L1755" s="51"/>
      <c r="P1755" s="52"/>
    </row>
    <row r="1756" spans="2:16" ht="15" customHeight="1" x14ac:dyDescent="0.3">
      <c r="B1756" s="44"/>
      <c r="H1756" s="51"/>
      <c r="I1756" s="39"/>
      <c r="J1756" s="51"/>
      <c r="K1756" s="51"/>
      <c r="L1756" s="51"/>
      <c r="P1756" s="52"/>
    </row>
    <row r="1757" spans="2:16" ht="15" customHeight="1" x14ac:dyDescent="0.3">
      <c r="B1757" s="44"/>
      <c r="H1757" s="51"/>
      <c r="I1757" s="39"/>
      <c r="J1757" s="51"/>
      <c r="K1757" s="51"/>
      <c r="L1757" s="51"/>
      <c r="P1757" s="52"/>
    </row>
    <row r="1758" spans="2:16" ht="15" customHeight="1" x14ac:dyDescent="0.3">
      <c r="B1758" s="44"/>
      <c r="H1758" s="51"/>
      <c r="I1758" s="39"/>
      <c r="J1758" s="51"/>
      <c r="K1758" s="51"/>
      <c r="L1758" s="51"/>
      <c r="P1758" s="52"/>
    </row>
    <row r="1759" spans="2:16" ht="15" customHeight="1" x14ac:dyDescent="0.3">
      <c r="B1759" s="44"/>
      <c r="H1759" s="51"/>
      <c r="I1759" s="39"/>
      <c r="J1759" s="51"/>
      <c r="K1759" s="51"/>
      <c r="L1759" s="51"/>
      <c r="P1759" s="52"/>
    </row>
    <row r="1760" spans="2:16" ht="15" customHeight="1" x14ac:dyDescent="0.3">
      <c r="B1760" s="44"/>
      <c r="H1760" s="51"/>
      <c r="I1760" s="39"/>
      <c r="J1760" s="51"/>
      <c r="K1760" s="51"/>
      <c r="L1760" s="51"/>
      <c r="P1760" s="52"/>
    </row>
    <row r="1761" spans="2:16" ht="15" customHeight="1" x14ac:dyDescent="0.3">
      <c r="B1761" s="44"/>
      <c r="H1761" s="51"/>
      <c r="I1761" s="39"/>
      <c r="J1761" s="51"/>
      <c r="K1761" s="51"/>
      <c r="L1761" s="51"/>
      <c r="P1761" s="52"/>
    </row>
    <row r="1762" spans="2:16" ht="15" customHeight="1" x14ac:dyDescent="0.3">
      <c r="B1762" s="44"/>
      <c r="H1762" s="51"/>
      <c r="I1762" s="39"/>
      <c r="J1762" s="51"/>
      <c r="K1762" s="51"/>
      <c r="L1762" s="51"/>
      <c r="P1762" s="52"/>
    </row>
    <row r="1763" spans="2:16" ht="15" customHeight="1" x14ac:dyDescent="0.3">
      <c r="B1763" s="44"/>
      <c r="H1763" s="51"/>
      <c r="I1763" s="39"/>
      <c r="J1763" s="51"/>
      <c r="K1763" s="51"/>
      <c r="L1763" s="51"/>
      <c r="P1763" s="52"/>
    </row>
    <row r="1764" spans="2:16" ht="15" customHeight="1" x14ac:dyDescent="0.3">
      <c r="B1764" s="44"/>
      <c r="H1764" s="51"/>
      <c r="I1764" s="39"/>
      <c r="J1764" s="51"/>
      <c r="K1764" s="51"/>
      <c r="L1764" s="51"/>
      <c r="P1764" s="52"/>
    </row>
    <row r="1765" spans="2:16" ht="15" customHeight="1" x14ac:dyDescent="0.3">
      <c r="B1765" s="44"/>
      <c r="H1765" s="51"/>
      <c r="I1765" s="39"/>
      <c r="J1765" s="51"/>
      <c r="K1765" s="51"/>
      <c r="L1765" s="51"/>
      <c r="P1765" s="52"/>
    </row>
    <row r="1766" spans="2:16" ht="15" customHeight="1" x14ac:dyDescent="0.3">
      <c r="B1766" s="44"/>
      <c r="H1766" s="51"/>
      <c r="I1766" s="39"/>
      <c r="J1766" s="51"/>
      <c r="K1766" s="51"/>
      <c r="L1766" s="51"/>
      <c r="P1766" s="52"/>
    </row>
    <row r="1767" spans="2:16" ht="15" customHeight="1" x14ac:dyDescent="0.3">
      <c r="B1767" s="44"/>
      <c r="H1767" s="51"/>
      <c r="I1767" s="39"/>
      <c r="J1767" s="51"/>
      <c r="K1767" s="51"/>
      <c r="L1767" s="51"/>
      <c r="P1767" s="52"/>
    </row>
    <row r="1768" spans="2:16" ht="15" customHeight="1" x14ac:dyDescent="0.3">
      <c r="B1768" s="44"/>
      <c r="H1768" s="51"/>
      <c r="I1768" s="39"/>
      <c r="J1768" s="51"/>
      <c r="K1768" s="51"/>
      <c r="L1768" s="51"/>
      <c r="P1768" s="52"/>
    </row>
    <row r="1769" spans="2:16" ht="15" customHeight="1" x14ac:dyDescent="0.3">
      <c r="B1769" s="44"/>
      <c r="H1769" s="51"/>
      <c r="I1769" s="39"/>
      <c r="J1769" s="51"/>
      <c r="K1769" s="51"/>
      <c r="L1769" s="51"/>
      <c r="P1769" s="52"/>
    </row>
    <row r="1770" spans="2:16" ht="15" customHeight="1" x14ac:dyDescent="0.3">
      <c r="B1770" s="44"/>
      <c r="H1770" s="51"/>
      <c r="I1770" s="39"/>
      <c r="J1770" s="51"/>
      <c r="K1770" s="51"/>
      <c r="L1770" s="51"/>
      <c r="P1770" s="52"/>
    </row>
    <row r="1771" spans="2:16" ht="15" customHeight="1" x14ac:dyDescent="0.3">
      <c r="B1771" s="44"/>
      <c r="H1771" s="51"/>
      <c r="I1771" s="39"/>
      <c r="J1771" s="51"/>
      <c r="K1771" s="51"/>
      <c r="L1771" s="51"/>
      <c r="P1771" s="52"/>
    </row>
    <row r="1772" spans="2:16" ht="15" customHeight="1" x14ac:dyDescent="0.3">
      <c r="B1772" s="44"/>
      <c r="H1772" s="51"/>
      <c r="I1772" s="39"/>
      <c r="J1772" s="51"/>
      <c r="K1772" s="51"/>
      <c r="L1772" s="51"/>
      <c r="P1772" s="52"/>
    </row>
    <row r="1773" spans="2:16" ht="15" customHeight="1" x14ac:dyDescent="0.3">
      <c r="B1773" s="44"/>
      <c r="H1773" s="51"/>
      <c r="I1773" s="39"/>
      <c r="J1773" s="51"/>
      <c r="K1773" s="51"/>
      <c r="L1773" s="51"/>
      <c r="P1773" s="52"/>
    </row>
    <row r="1774" spans="2:16" ht="15" customHeight="1" x14ac:dyDescent="0.3">
      <c r="B1774" s="44"/>
      <c r="H1774" s="51"/>
      <c r="I1774" s="39"/>
      <c r="J1774" s="51"/>
      <c r="K1774" s="51"/>
      <c r="L1774" s="51"/>
      <c r="P1774" s="52"/>
    </row>
    <row r="1775" spans="2:16" ht="15" customHeight="1" x14ac:dyDescent="0.3">
      <c r="B1775" s="44"/>
      <c r="H1775" s="51"/>
      <c r="I1775" s="39"/>
      <c r="J1775" s="51"/>
      <c r="K1775" s="51"/>
      <c r="L1775" s="51"/>
      <c r="P1775" s="52"/>
    </row>
    <row r="1776" spans="2:16" ht="15" customHeight="1" x14ac:dyDescent="0.3">
      <c r="B1776" s="44"/>
      <c r="H1776" s="51"/>
      <c r="I1776" s="39"/>
      <c r="J1776" s="51"/>
      <c r="K1776" s="51"/>
      <c r="L1776" s="51"/>
      <c r="P1776" s="52"/>
    </row>
    <row r="1777" spans="2:16" ht="15" customHeight="1" x14ac:dyDescent="0.3">
      <c r="B1777" s="44"/>
      <c r="H1777" s="51"/>
      <c r="I1777" s="39"/>
      <c r="J1777" s="51"/>
      <c r="K1777" s="51"/>
      <c r="L1777" s="51"/>
      <c r="P1777" s="52"/>
    </row>
    <row r="1778" spans="2:16" ht="15" customHeight="1" x14ac:dyDescent="0.3">
      <c r="B1778" s="44"/>
      <c r="H1778" s="51"/>
      <c r="I1778" s="39"/>
      <c r="J1778" s="51"/>
      <c r="K1778" s="51"/>
      <c r="L1778" s="51"/>
      <c r="P1778" s="52"/>
    </row>
    <row r="1779" spans="2:16" ht="15" customHeight="1" x14ac:dyDescent="0.3">
      <c r="B1779" s="44"/>
      <c r="H1779" s="51"/>
      <c r="I1779" s="39"/>
      <c r="J1779" s="51"/>
      <c r="K1779" s="51"/>
      <c r="L1779" s="51"/>
      <c r="P1779" s="52"/>
    </row>
    <row r="1780" spans="2:16" ht="15" customHeight="1" x14ac:dyDescent="0.3">
      <c r="B1780" s="44"/>
      <c r="H1780" s="51"/>
      <c r="I1780" s="39"/>
      <c r="J1780" s="51"/>
      <c r="K1780" s="51"/>
      <c r="L1780" s="51"/>
      <c r="P1780" s="52"/>
    </row>
    <row r="1781" spans="2:16" ht="15" customHeight="1" x14ac:dyDescent="0.3">
      <c r="B1781" s="44"/>
      <c r="H1781" s="51"/>
      <c r="I1781" s="39"/>
      <c r="J1781" s="51"/>
      <c r="K1781" s="51"/>
      <c r="L1781" s="51"/>
      <c r="P1781" s="52"/>
    </row>
    <row r="1782" spans="2:16" ht="15" customHeight="1" x14ac:dyDescent="0.3">
      <c r="B1782" s="44"/>
      <c r="H1782" s="51"/>
      <c r="I1782" s="39"/>
      <c r="J1782" s="51"/>
      <c r="K1782" s="51"/>
      <c r="L1782" s="51"/>
      <c r="P1782" s="52"/>
    </row>
    <row r="1783" spans="2:16" ht="15" customHeight="1" x14ac:dyDescent="0.3">
      <c r="B1783" s="44"/>
      <c r="H1783" s="51"/>
      <c r="I1783" s="39"/>
      <c r="J1783" s="51"/>
      <c r="K1783" s="51"/>
      <c r="L1783" s="51"/>
      <c r="P1783" s="52"/>
    </row>
    <row r="1784" spans="2:16" ht="15" customHeight="1" x14ac:dyDescent="0.3">
      <c r="B1784" s="44"/>
      <c r="H1784" s="51"/>
      <c r="I1784" s="39"/>
      <c r="J1784" s="51"/>
      <c r="K1784" s="51"/>
      <c r="L1784" s="51"/>
      <c r="P1784" s="52"/>
    </row>
    <row r="1785" spans="2:16" ht="15" customHeight="1" x14ac:dyDescent="0.3">
      <c r="B1785" s="44"/>
      <c r="H1785" s="51"/>
      <c r="I1785" s="39"/>
      <c r="J1785" s="51"/>
      <c r="K1785" s="51"/>
      <c r="L1785" s="51"/>
      <c r="P1785" s="52"/>
    </row>
    <row r="1786" spans="2:16" ht="15" customHeight="1" x14ac:dyDescent="0.3">
      <c r="B1786" s="44"/>
      <c r="H1786" s="51"/>
      <c r="I1786" s="39"/>
      <c r="J1786" s="51"/>
      <c r="K1786" s="51"/>
      <c r="L1786" s="51"/>
      <c r="P1786" s="52"/>
    </row>
    <row r="1787" spans="2:16" ht="15" customHeight="1" x14ac:dyDescent="0.3">
      <c r="B1787" s="44"/>
      <c r="H1787" s="51"/>
      <c r="I1787" s="39"/>
      <c r="J1787" s="51"/>
      <c r="K1787" s="51"/>
      <c r="L1787" s="51"/>
      <c r="P1787" s="52"/>
    </row>
    <row r="1788" spans="2:16" ht="15" customHeight="1" x14ac:dyDescent="0.3">
      <c r="B1788" s="44"/>
      <c r="H1788" s="51"/>
      <c r="I1788" s="39"/>
      <c r="J1788" s="51"/>
      <c r="K1788" s="51"/>
      <c r="L1788" s="51"/>
      <c r="P1788" s="52"/>
    </row>
    <row r="1789" spans="2:16" ht="15" customHeight="1" x14ac:dyDescent="0.3">
      <c r="B1789" s="44"/>
      <c r="H1789" s="51"/>
      <c r="I1789" s="39"/>
      <c r="J1789" s="51"/>
      <c r="K1789" s="51"/>
      <c r="L1789" s="51"/>
      <c r="P1789" s="52"/>
    </row>
    <row r="1790" spans="2:16" ht="15" customHeight="1" x14ac:dyDescent="0.3">
      <c r="B1790" s="44"/>
      <c r="H1790" s="51"/>
      <c r="I1790" s="39"/>
      <c r="J1790" s="51"/>
      <c r="K1790" s="51"/>
      <c r="L1790" s="51"/>
      <c r="P1790" s="52"/>
    </row>
    <row r="1791" spans="2:16" ht="15" customHeight="1" x14ac:dyDescent="0.3">
      <c r="B1791" s="44"/>
      <c r="H1791" s="51"/>
      <c r="I1791" s="39"/>
      <c r="J1791" s="51"/>
      <c r="K1791" s="51"/>
      <c r="L1791" s="51"/>
      <c r="P1791" s="52"/>
    </row>
    <row r="1792" spans="2:16" ht="15" customHeight="1" x14ac:dyDescent="0.3">
      <c r="B1792" s="44"/>
      <c r="H1792" s="51"/>
      <c r="I1792" s="39"/>
      <c r="J1792" s="51"/>
      <c r="K1792" s="51"/>
      <c r="L1792" s="51"/>
      <c r="P1792" s="52"/>
    </row>
    <row r="1793" spans="2:16" ht="15" customHeight="1" x14ac:dyDescent="0.3">
      <c r="B1793" s="44"/>
      <c r="H1793" s="51"/>
      <c r="I1793" s="39"/>
      <c r="J1793" s="51"/>
      <c r="K1793" s="51"/>
      <c r="L1793" s="51"/>
      <c r="P1793" s="52"/>
    </row>
    <row r="1794" spans="2:16" ht="15" customHeight="1" x14ac:dyDescent="0.3">
      <c r="B1794" s="44"/>
      <c r="H1794" s="51"/>
      <c r="I1794" s="39"/>
      <c r="J1794" s="51"/>
      <c r="K1794" s="51"/>
      <c r="L1794" s="51"/>
      <c r="P1794" s="52"/>
    </row>
    <row r="1795" spans="2:16" ht="15" customHeight="1" x14ac:dyDescent="0.3">
      <c r="B1795" s="44"/>
      <c r="H1795" s="51"/>
      <c r="I1795" s="39"/>
      <c r="J1795" s="51"/>
      <c r="K1795" s="51"/>
      <c r="L1795" s="51"/>
      <c r="P1795" s="52"/>
    </row>
    <row r="1796" spans="2:16" ht="15" customHeight="1" x14ac:dyDescent="0.3">
      <c r="B1796" s="44"/>
      <c r="H1796" s="51"/>
      <c r="I1796" s="39"/>
      <c r="J1796" s="51"/>
      <c r="K1796" s="51"/>
      <c r="L1796" s="51"/>
      <c r="P1796" s="52"/>
    </row>
    <row r="1797" spans="2:16" ht="15" customHeight="1" x14ac:dyDescent="0.3">
      <c r="B1797" s="44"/>
      <c r="H1797" s="51"/>
      <c r="I1797" s="39"/>
      <c r="J1797" s="51"/>
      <c r="K1797" s="51"/>
      <c r="L1797" s="51"/>
      <c r="P1797" s="52"/>
    </row>
    <row r="1798" spans="2:16" ht="15" customHeight="1" x14ac:dyDescent="0.3">
      <c r="B1798" s="44"/>
      <c r="H1798" s="51"/>
      <c r="I1798" s="39"/>
      <c r="J1798" s="51"/>
      <c r="K1798" s="51"/>
      <c r="L1798" s="51"/>
      <c r="P1798" s="52"/>
    </row>
    <row r="1799" spans="2:16" ht="15" customHeight="1" x14ac:dyDescent="0.3">
      <c r="B1799" s="44"/>
      <c r="H1799" s="51"/>
      <c r="I1799" s="39"/>
      <c r="J1799" s="51"/>
      <c r="K1799" s="51"/>
      <c r="L1799" s="51"/>
      <c r="P1799" s="52"/>
    </row>
    <row r="1800" spans="2:16" ht="15" customHeight="1" x14ac:dyDescent="0.3">
      <c r="B1800" s="44"/>
      <c r="H1800" s="51"/>
      <c r="I1800" s="39"/>
      <c r="J1800" s="51"/>
      <c r="K1800" s="51"/>
      <c r="L1800" s="51"/>
      <c r="P1800" s="52"/>
    </row>
    <row r="1801" spans="2:16" ht="15" customHeight="1" x14ac:dyDescent="0.3">
      <c r="B1801" s="44"/>
      <c r="H1801" s="51"/>
      <c r="I1801" s="39"/>
      <c r="J1801" s="51"/>
      <c r="K1801" s="51"/>
      <c r="L1801" s="51"/>
      <c r="P1801" s="52"/>
    </row>
    <row r="1802" spans="2:16" ht="15" customHeight="1" x14ac:dyDescent="0.3">
      <c r="B1802" s="44"/>
      <c r="H1802" s="51"/>
      <c r="I1802" s="39"/>
      <c r="J1802" s="51"/>
      <c r="K1802" s="51"/>
      <c r="L1802" s="51"/>
      <c r="P1802" s="52"/>
    </row>
    <row r="1803" spans="2:16" ht="15" customHeight="1" x14ac:dyDescent="0.3">
      <c r="B1803" s="44"/>
      <c r="H1803" s="51"/>
      <c r="I1803" s="39"/>
      <c r="J1803" s="51"/>
      <c r="K1803" s="51"/>
      <c r="L1803" s="51"/>
      <c r="P1803" s="52"/>
    </row>
    <row r="1804" spans="2:16" ht="15" customHeight="1" x14ac:dyDescent="0.3">
      <c r="B1804" s="44"/>
      <c r="H1804" s="51"/>
      <c r="I1804" s="39"/>
      <c r="J1804" s="51"/>
      <c r="K1804" s="51"/>
      <c r="L1804" s="51"/>
      <c r="P1804" s="52"/>
    </row>
    <row r="1805" spans="2:16" ht="15" customHeight="1" x14ac:dyDescent="0.3">
      <c r="B1805" s="44"/>
      <c r="H1805" s="51"/>
      <c r="I1805" s="39"/>
      <c r="J1805" s="51"/>
      <c r="K1805" s="51"/>
      <c r="L1805" s="51"/>
      <c r="P1805" s="52"/>
    </row>
    <row r="1806" spans="2:16" ht="15" customHeight="1" x14ac:dyDescent="0.3">
      <c r="B1806" s="44"/>
      <c r="H1806" s="51"/>
      <c r="I1806" s="39"/>
      <c r="J1806" s="51"/>
      <c r="K1806" s="51"/>
      <c r="L1806" s="51"/>
      <c r="P1806" s="52"/>
    </row>
    <row r="1807" spans="2:16" ht="15" customHeight="1" x14ac:dyDescent="0.3">
      <c r="B1807" s="44"/>
      <c r="H1807" s="51"/>
      <c r="I1807" s="39"/>
      <c r="J1807" s="51"/>
      <c r="K1807" s="51"/>
      <c r="L1807" s="51"/>
      <c r="P1807" s="52"/>
    </row>
    <row r="1808" spans="2:16" ht="15" customHeight="1" x14ac:dyDescent="0.3">
      <c r="B1808" s="44"/>
      <c r="H1808" s="51"/>
      <c r="I1808" s="39"/>
      <c r="J1808" s="51"/>
      <c r="K1808" s="51"/>
      <c r="L1808" s="51"/>
      <c r="P1808" s="52"/>
    </row>
    <row r="1809" spans="2:16" ht="15" customHeight="1" x14ac:dyDescent="0.3">
      <c r="B1809" s="44"/>
      <c r="H1809" s="51"/>
      <c r="I1809" s="39"/>
      <c r="J1809" s="51"/>
      <c r="K1809" s="51"/>
      <c r="L1809" s="51"/>
      <c r="P1809" s="52"/>
    </row>
    <row r="1810" spans="2:16" ht="15" customHeight="1" x14ac:dyDescent="0.3">
      <c r="B1810" s="44"/>
      <c r="H1810" s="51"/>
      <c r="I1810" s="39"/>
      <c r="J1810" s="51"/>
      <c r="K1810" s="51"/>
      <c r="L1810" s="51"/>
      <c r="P1810" s="52"/>
    </row>
    <row r="1811" spans="2:16" ht="15" customHeight="1" x14ac:dyDescent="0.3">
      <c r="B1811" s="44"/>
      <c r="H1811" s="51"/>
      <c r="I1811" s="39"/>
      <c r="J1811" s="51"/>
      <c r="K1811" s="51"/>
      <c r="L1811" s="51"/>
      <c r="P1811" s="52"/>
    </row>
    <row r="1812" spans="2:16" ht="15" customHeight="1" x14ac:dyDescent="0.3">
      <c r="B1812" s="44"/>
      <c r="H1812" s="51"/>
      <c r="I1812" s="39"/>
      <c r="J1812" s="51"/>
      <c r="K1812" s="51"/>
      <c r="L1812" s="51"/>
      <c r="P1812" s="52"/>
    </row>
    <row r="1813" spans="2:16" ht="15" customHeight="1" x14ac:dyDescent="0.3">
      <c r="B1813" s="44"/>
      <c r="H1813" s="51"/>
      <c r="I1813" s="39"/>
      <c r="J1813" s="51"/>
      <c r="K1813" s="51"/>
      <c r="L1813" s="51"/>
      <c r="P1813" s="52"/>
    </row>
    <row r="1814" spans="2:16" ht="15" customHeight="1" x14ac:dyDescent="0.3">
      <c r="B1814" s="44"/>
      <c r="H1814" s="51"/>
      <c r="I1814" s="39"/>
      <c r="J1814" s="51"/>
      <c r="K1814" s="51"/>
      <c r="L1814" s="51"/>
      <c r="P1814" s="52"/>
    </row>
    <row r="1815" spans="2:16" ht="15" customHeight="1" x14ac:dyDescent="0.3">
      <c r="B1815" s="44"/>
      <c r="H1815" s="51"/>
      <c r="I1815" s="39"/>
      <c r="J1815" s="51"/>
      <c r="K1815" s="51"/>
      <c r="L1815" s="51"/>
      <c r="P1815" s="52"/>
    </row>
    <row r="1816" spans="2:16" ht="15" customHeight="1" x14ac:dyDescent="0.3">
      <c r="B1816" s="44"/>
      <c r="H1816" s="51"/>
      <c r="I1816" s="39"/>
      <c r="J1816" s="51"/>
      <c r="K1816" s="51"/>
      <c r="L1816" s="51"/>
      <c r="P1816" s="52"/>
    </row>
    <row r="1817" spans="2:16" ht="15" customHeight="1" x14ac:dyDescent="0.3">
      <c r="B1817" s="44"/>
      <c r="H1817" s="51"/>
      <c r="I1817" s="39"/>
      <c r="J1817" s="51"/>
      <c r="K1817" s="51"/>
      <c r="L1817" s="51"/>
      <c r="P1817" s="52"/>
    </row>
    <row r="1818" spans="2:16" ht="15" customHeight="1" x14ac:dyDescent="0.3">
      <c r="B1818" s="44"/>
      <c r="H1818" s="51"/>
      <c r="I1818" s="39"/>
      <c r="J1818" s="51"/>
      <c r="K1818" s="51"/>
      <c r="L1818" s="51"/>
      <c r="P1818" s="52"/>
    </row>
    <row r="1819" spans="2:16" ht="15" customHeight="1" x14ac:dyDescent="0.3">
      <c r="B1819" s="44"/>
      <c r="H1819" s="51"/>
      <c r="I1819" s="39"/>
      <c r="J1819" s="51"/>
      <c r="K1819" s="51"/>
      <c r="L1819" s="51"/>
      <c r="P1819" s="52"/>
    </row>
    <row r="1820" spans="2:16" ht="15" customHeight="1" x14ac:dyDescent="0.3">
      <c r="B1820" s="44"/>
      <c r="H1820" s="51"/>
      <c r="I1820" s="39"/>
      <c r="J1820" s="51"/>
      <c r="K1820" s="51"/>
      <c r="L1820" s="51"/>
      <c r="P1820" s="52"/>
    </row>
    <row r="1821" spans="2:16" ht="15" customHeight="1" x14ac:dyDescent="0.3">
      <c r="B1821" s="44"/>
      <c r="H1821" s="51"/>
      <c r="I1821" s="39"/>
      <c r="J1821" s="51"/>
      <c r="K1821" s="51"/>
      <c r="L1821" s="51"/>
      <c r="P1821" s="52"/>
    </row>
    <row r="1822" spans="2:16" ht="15" customHeight="1" x14ac:dyDescent="0.3">
      <c r="B1822" s="44"/>
      <c r="H1822" s="51"/>
      <c r="I1822" s="39"/>
      <c r="J1822" s="51"/>
      <c r="K1822" s="51"/>
      <c r="L1822" s="51"/>
      <c r="P1822" s="52"/>
    </row>
    <row r="1823" spans="2:16" ht="15" customHeight="1" x14ac:dyDescent="0.3">
      <c r="B1823" s="44"/>
      <c r="H1823" s="51"/>
      <c r="I1823" s="39"/>
      <c r="J1823" s="51"/>
      <c r="K1823" s="51"/>
      <c r="L1823" s="51"/>
      <c r="P1823" s="52"/>
    </row>
    <row r="1824" spans="2:16" ht="15" customHeight="1" x14ac:dyDescent="0.3">
      <c r="B1824" s="44"/>
      <c r="H1824" s="51"/>
      <c r="I1824" s="39"/>
      <c r="J1824" s="51"/>
      <c r="K1824" s="51"/>
      <c r="L1824" s="51"/>
      <c r="P1824" s="52"/>
    </row>
    <row r="1825" spans="2:16" ht="15" customHeight="1" x14ac:dyDescent="0.3">
      <c r="B1825" s="44"/>
      <c r="H1825" s="51"/>
      <c r="I1825" s="39"/>
      <c r="J1825" s="51"/>
      <c r="K1825" s="51"/>
      <c r="L1825" s="51"/>
      <c r="P1825" s="52"/>
    </row>
    <row r="1826" spans="2:16" ht="15" customHeight="1" x14ac:dyDescent="0.3">
      <c r="B1826" s="44"/>
      <c r="H1826" s="51"/>
      <c r="I1826" s="39"/>
      <c r="J1826" s="51"/>
      <c r="K1826" s="51"/>
      <c r="L1826" s="51"/>
      <c r="P1826" s="52"/>
    </row>
    <row r="1827" spans="2:16" ht="15" customHeight="1" x14ac:dyDescent="0.3">
      <c r="B1827" s="44"/>
      <c r="H1827" s="51"/>
      <c r="I1827" s="39"/>
      <c r="J1827" s="51"/>
      <c r="K1827" s="51"/>
      <c r="L1827" s="51"/>
      <c r="P1827" s="52"/>
    </row>
    <row r="1828" spans="2:16" ht="15" customHeight="1" x14ac:dyDescent="0.3">
      <c r="B1828" s="44"/>
      <c r="H1828" s="51"/>
      <c r="I1828" s="39"/>
      <c r="J1828" s="51"/>
      <c r="K1828" s="51"/>
      <c r="L1828" s="51"/>
      <c r="P1828" s="52"/>
    </row>
    <row r="1829" spans="2:16" ht="15" customHeight="1" x14ac:dyDescent="0.3">
      <c r="B1829" s="44"/>
      <c r="H1829" s="51"/>
      <c r="I1829" s="39"/>
      <c r="J1829" s="51"/>
      <c r="K1829" s="51"/>
      <c r="L1829" s="51"/>
      <c r="P1829" s="52"/>
    </row>
    <row r="1830" spans="2:16" ht="15" customHeight="1" x14ac:dyDescent="0.3">
      <c r="B1830" s="44"/>
      <c r="H1830" s="51"/>
      <c r="I1830" s="39"/>
      <c r="J1830" s="51"/>
      <c r="K1830" s="51"/>
      <c r="L1830" s="51"/>
      <c r="P1830" s="52"/>
    </row>
    <row r="1831" spans="2:16" ht="15" customHeight="1" x14ac:dyDescent="0.3">
      <c r="B1831" s="44"/>
      <c r="H1831" s="51"/>
      <c r="I1831" s="39"/>
      <c r="J1831" s="51"/>
      <c r="K1831" s="51"/>
      <c r="L1831" s="51"/>
      <c r="P1831" s="52"/>
    </row>
    <row r="1832" spans="2:16" ht="15" customHeight="1" x14ac:dyDescent="0.3">
      <c r="B1832" s="44"/>
      <c r="H1832" s="51"/>
      <c r="I1832" s="39"/>
      <c r="J1832" s="51"/>
      <c r="K1832" s="51"/>
      <c r="L1832" s="51"/>
      <c r="P1832" s="52"/>
    </row>
    <row r="1833" spans="2:16" ht="15" customHeight="1" x14ac:dyDescent="0.3">
      <c r="B1833" s="44"/>
      <c r="H1833" s="51"/>
      <c r="I1833" s="39"/>
      <c r="J1833" s="51"/>
      <c r="K1833" s="51"/>
      <c r="L1833" s="51"/>
      <c r="P1833" s="52"/>
    </row>
    <row r="1834" spans="2:16" ht="15" customHeight="1" x14ac:dyDescent="0.3">
      <c r="B1834" s="44"/>
      <c r="H1834" s="51"/>
      <c r="I1834" s="39"/>
      <c r="J1834" s="51"/>
      <c r="K1834" s="51"/>
      <c r="L1834" s="51"/>
      <c r="P1834" s="52"/>
    </row>
    <row r="1835" spans="2:16" ht="15" customHeight="1" x14ac:dyDescent="0.3">
      <c r="B1835" s="44"/>
      <c r="H1835" s="51"/>
      <c r="I1835" s="39"/>
      <c r="J1835" s="51"/>
      <c r="K1835" s="51"/>
      <c r="L1835" s="51"/>
      <c r="P1835" s="52"/>
    </row>
    <row r="1836" spans="2:16" ht="15" customHeight="1" x14ac:dyDescent="0.3">
      <c r="B1836" s="44"/>
      <c r="H1836" s="51"/>
      <c r="I1836" s="39"/>
      <c r="J1836" s="51"/>
      <c r="K1836" s="51"/>
      <c r="L1836" s="51"/>
      <c r="P1836" s="52"/>
    </row>
    <row r="1837" spans="2:16" ht="15" customHeight="1" x14ac:dyDescent="0.3">
      <c r="B1837" s="44"/>
      <c r="H1837" s="51"/>
      <c r="I1837" s="39"/>
      <c r="J1837" s="51"/>
      <c r="K1837" s="51"/>
      <c r="L1837" s="51"/>
      <c r="P1837" s="52"/>
    </row>
    <row r="1838" spans="2:16" ht="15" customHeight="1" x14ac:dyDescent="0.3">
      <c r="B1838" s="44"/>
      <c r="H1838" s="51"/>
      <c r="I1838" s="39"/>
      <c r="J1838" s="51"/>
      <c r="K1838" s="51"/>
      <c r="L1838" s="51"/>
      <c r="P1838" s="52"/>
    </row>
    <row r="1839" spans="2:16" ht="15" customHeight="1" x14ac:dyDescent="0.3">
      <c r="B1839" s="44"/>
      <c r="H1839" s="51"/>
      <c r="I1839" s="39"/>
      <c r="J1839" s="51"/>
      <c r="K1839" s="51"/>
      <c r="L1839" s="51"/>
      <c r="P1839" s="52"/>
    </row>
    <row r="1840" spans="2:16" ht="15" customHeight="1" x14ac:dyDescent="0.3">
      <c r="B1840" s="44"/>
      <c r="H1840" s="51"/>
      <c r="I1840" s="39"/>
      <c r="J1840" s="51"/>
      <c r="K1840" s="51"/>
      <c r="L1840" s="51"/>
      <c r="P1840" s="52"/>
    </row>
    <row r="1841" spans="2:16" ht="15" customHeight="1" x14ac:dyDescent="0.3">
      <c r="B1841" s="44"/>
      <c r="H1841" s="51"/>
      <c r="I1841" s="39"/>
      <c r="J1841" s="51"/>
      <c r="K1841" s="51"/>
      <c r="L1841" s="51"/>
      <c r="P1841" s="52"/>
    </row>
    <row r="1842" spans="2:16" ht="15" customHeight="1" x14ac:dyDescent="0.3">
      <c r="B1842" s="44"/>
      <c r="H1842" s="51"/>
      <c r="I1842" s="39"/>
      <c r="J1842" s="51"/>
      <c r="K1842" s="51"/>
      <c r="L1842" s="51"/>
      <c r="P1842" s="52"/>
    </row>
    <row r="1843" spans="2:16" ht="15" customHeight="1" x14ac:dyDescent="0.3">
      <c r="B1843" s="44"/>
      <c r="H1843" s="51"/>
      <c r="I1843" s="39"/>
      <c r="J1843" s="51"/>
      <c r="K1843" s="51"/>
      <c r="L1843" s="51"/>
      <c r="P1843" s="52"/>
    </row>
    <row r="1844" spans="2:16" ht="15" customHeight="1" x14ac:dyDescent="0.3">
      <c r="B1844" s="44"/>
      <c r="H1844" s="51"/>
      <c r="I1844" s="39"/>
      <c r="J1844" s="51"/>
      <c r="K1844" s="51"/>
      <c r="L1844" s="51"/>
      <c r="P1844" s="52"/>
    </row>
    <row r="1845" spans="2:16" ht="15" customHeight="1" x14ac:dyDescent="0.3">
      <c r="B1845" s="44"/>
      <c r="H1845" s="51"/>
      <c r="I1845" s="39"/>
      <c r="J1845" s="51"/>
      <c r="K1845" s="51"/>
      <c r="L1845" s="51"/>
      <c r="P1845" s="52"/>
    </row>
    <row r="1846" spans="2:16" ht="15" customHeight="1" x14ac:dyDescent="0.3">
      <c r="B1846" s="44"/>
      <c r="H1846" s="51"/>
      <c r="I1846" s="39"/>
      <c r="J1846" s="51"/>
      <c r="K1846" s="51"/>
      <c r="L1846" s="51"/>
      <c r="P1846" s="52"/>
    </row>
    <row r="1847" spans="2:16" ht="15" customHeight="1" x14ac:dyDescent="0.3">
      <c r="B1847" s="44"/>
      <c r="H1847" s="51"/>
      <c r="I1847" s="39"/>
      <c r="J1847" s="51"/>
      <c r="K1847" s="51"/>
      <c r="L1847" s="51"/>
      <c r="P1847" s="52"/>
    </row>
    <row r="1848" spans="2:16" ht="15" customHeight="1" x14ac:dyDescent="0.3">
      <c r="B1848" s="44"/>
      <c r="H1848" s="51"/>
      <c r="I1848" s="39"/>
      <c r="J1848" s="51"/>
      <c r="K1848" s="51"/>
      <c r="L1848" s="51"/>
      <c r="P1848" s="52"/>
    </row>
    <row r="1849" spans="2:16" ht="15" customHeight="1" x14ac:dyDescent="0.3">
      <c r="B1849" s="44"/>
      <c r="H1849" s="51"/>
      <c r="I1849" s="39"/>
      <c r="J1849" s="51"/>
      <c r="K1849" s="51"/>
      <c r="L1849" s="51"/>
      <c r="P1849" s="52"/>
    </row>
    <row r="1850" spans="2:16" ht="15" customHeight="1" x14ac:dyDescent="0.3">
      <c r="B1850" s="44"/>
      <c r="H1850" s="51"/>
      <c r="I1850" s="39"/>
      <c r="J1850" s="51"/>
      <c r="K1850" s="51"/>
      <c r="L1850" s="51"/>
      <c r="P1850" s="52"/>
    </row>
    <row r="1851" spans="2:16" ht="15" customHeight="1" x14ac:dyDescent="0.3">
      <c r="B1851" s="44"/>
      <c r="H1851" s="51"/>
      <c r="I1851" s="39"/>
      <c r="J1851" s="51"/>
      <c r="K1851" s="51"/>
      <c r="L1851" s="51"/>
      <c r="P1851" s="52"/>
    </row>
    <row r="1852" spans="2:16" ht="15" customHeight="1" x14ac:dyDescent="0.3">
      <c r="B1852" s="44"/>
      <c r="H1852" s="51"/>
      <c r="I1852" s="39"/>
      <c r="J1852" s="51"/>
      <c r="K1852" s="51"/>
      <c r="L1852" s="51"/>
      <c r="P1852" s="52"/>
    </row>
    <row r="1853" spans="2:16" ht="15" customHeight="1" x14ac:dyDescent="0.3">
      <c r="B1853" s="44"/>
      <c r="H1853" s="51"/>
      <c r="I1853" s="39"/>
      <c r="J1853" s="51"/>
      <c r="K1853" s="51"/>
      <c r="L1853" s="51"/>
      <c r="P1853" s="52"/>
    </row>
    <row r="1854" spans="2:16" ht="15" customHeight="1" x14ac:dyDescent="0.3">
      <c r="B1854" s="44"/>
      <c r="H1854" s="51"/>
      <c r="I1854" s="39"/>
      <c r="J1854" s="51"/>
      <c r="K1854" s="51"/>
      <c r="L1854" s="51"/>
      <c r="P1854" s="52"/>
    </row>
    <row r="1855" spans="2:16" ht="15" customHeight="1" x14ac:dyDescent="0.3">
      <c r="B1855" s="44"/>
      <c r="H1855" s="51"/>
      <c r="I1855" s="39"/>
      <c r="J1855" s="51"/>
      <c r="K1855" s="51"/>
      <c r="L1855" s="51"/>
      <c r="P1855" s="52"/>
    </row>
    <row r="1856" spans="2:16" ht="15" customHeight="1" x14ac:dyDescent="0.3">
      <c r="B1856" s="44"/>
      <c r="H1856" s="51"/>
      <c r="I1856" s="39"/>
      <c r="J1856" s="51"/>
      <c r="K1856" s="51"/>
      <c r="L1856" s="51"/>
      <c r="P1856" s="52"/>
    </row>
    <row r="1857" spans="2:16" ht="15" customHeight="1" x14ac:dyDescent="0.3">
      <c r="B1857" s="44"/>
      <c r="H1857" s="51"/>
      <c r="I1857" s="39"/>
      <c r="J1857" s="51"/>
      <c r="K1857" s="51"/>
      <c r="L1857" s="51"/>
      <c r="P1857" s="52"/>
    </row>
    <row r="1858" spans="2:16" ht="15" customHeight="1" x14ac:dyDescent="0.3">
      <c r="B1858" s="44"/>
      <c r="H1858" s="51"/>
      <c r="I1858" s="39"/>
      <c r="J1858" s="51"/>
      <c r="K1858" s="51"/>
      <c r="L1858" s="51"/>
      <c r="P1858" s="52"/>
    </row>
    <row r="1859" spans="2:16" ht="15" customHeight="1" x14ac:dyDescent="0.3">
      <c r="B1859" s="44"/>
      <c r="H1859" s="51"/>
      <c r="I1859" s="39"/>
      <c r="J1859" s="51"/>
      <c r="K1859" s="51"/>
      <c r="L1859" s="51"/>
      <c r="P1859" s="52"/>
    </row>
    <row r="1860" spans="2:16" ht="15" customHeight="1" x14ac:dyDescent="0.3">
      <c r="B1860" s="44"/>
      <c r="H1860" s="51"/>
      <c r="I1860" s="39"/>
      <c r="J1860" s="51"/>
      <c r="K1860" s="51"/>
      <c r="L1860" s="51"/>
      <c r="P1860" s="52"/>
    </row>
    <row r="1861" spans="2:16" ht="15" customHeight="1" x14ac:dyDescent="0.3">
      <c r="B1861" s="44"/>
      <c r="H1861" s="51"/>
      <c r="I1861" s="39"/>
      <c r="J1861" s="51"/>
      <c r="K1861" s="51"/>
      <c r="L1861" s="51"/>
      <c r="P1861" s="52"/>
    </row>
    <row r="1862" spans="2:16" ht="15" customHeight="1" x14ac:dyDescent="0.3">
      <c r="B1862" s="44"/>
      <c r="H1862" s="51"/>
      <c r="I1862" s="39"/>
      <c r="J1862" s="51"/>
      <c r="K1862" s="51"/>
      <c r="L1862" s="51"/>
      <c r="P1862" s="52"/>
    </row>
    <row r="1863" spans="2:16" ht="15" customHeight="1" x14ac:dyDescent="0.3">
      <c r="B1863" s="44"/>
      <c r="H1863" s="51"/>
      <c r="I1863" s="39"/>
      <c r="J1863" s="51"/>
      <c r="K1863" s="51"/>
      <c r="L1863" s="51"/>
      <c r="P1863" s="52"/>
    </row>
    <row r="1864" spans="2:16" ht="15" customHeight="1" x14ac:dyDescent="0.3">
      <c r="B1864" s="44"/>
      <c r="H1864" s="51"/>
      <c r="I1864" s="39"/>
      <c r="J1864" s="51"/>
      <c r="K1864" s="51"/>
      <c r="L1864" s="51"/>
      <c r="P1864" s="52"/>
    </row>
    <row r="1865" spans="2:16" ht="15" customHeight="1" x14ac:dyDescent="0.3">
      <c r="B1865" s="44"/>
      <c r="H1865" s="51"/>
      <c r="I1865" s="39"/>
      <c r="J1865" s="51"/>
      <c r="K1865" s="51"/>
      <c r="L1865" s="51"/>
      <c r="P1865" s="52"/>
    </row>
    <row r="1866" spans="2:16" ht="15" customHeight="1" x14ac:dyDescent="0.3">
      <c r="B1866" s="44"/>
      <c r="H1866" s="51"/>
      <c r="I1866" s="39"/>
      <c r="J1866" s="51"/>
      <c r="K1866" s="51"/>
      <c r="L1866" s="51"/>
      <c r="P1866" s="52"/>
    </row>
    <row r="1867" spans="2:16" ht="15" customHeight="1" x14ac:dyDescent="0.3">
      <c r="B1867" s="44"/>
      <c r="H1867" s="51"/>
      <c r="I1867" s="39"/>
      <c r="J1867" s="51"/>
      <c r="K1867" s="51"/>
      <c r="L1867" s="51"/>
      <c r="P1867" s="52"/>
    </row>
    <row r="1868" spans="2:16" ht="15" customHeight="1" x14ac:dyDescent="0.3">
      <c r="B1868" s="44"/>
      <c r="H1868" s="51"/>
      <c r="I1868" s="39"/>
      <c r="J1868" s="51"/>
      <c r="K1868" s="51"/>
      <c r="L1868" s="51"/>
      <c r="P1868" s="52"/>
    </row>
    <row r="1869" spans="2:16" ht="15" customHeight="1" x14ac:dyDescent="0.3">
      <c r="B1869" s="44"/>
      <c r="H1869" s="51"/>
      <c r="I1869" s="39"/>
      <c r="J1869" s="51"/>
      <c r="K1869" s="51"/>
      <c r="L1869" s="51"/>
      <c r="P1869" s="52"/>
    </row>
    <row r="1870" spans="2:16" ht="15" customHeight="1" x14ac:dyDescent="0.3">
      <c r="B1870" s="44"/>
      <c r="H1870" s="51"/>
      <c r="I1870" s="39"/>
      <c r="J1870" s="51"/>
      <c r="K1870" s="51"/>
      <c r="L1870" s="51"/>
      <c r="P1870" s="52"/>
    </row>
    <row r="1871" spans="2:16" ht="15" customHeight="1" x14ac:dyDescent="0.3">
      <c r="B1871" s="44"/>
      <c r="H1871" s="51"/>
      <c r="I1871" s="39"/>
      <c r="J1871" s="51"/>
      <c r="K1871" s="51"/>
      <c r="L1871" s="51"/>
      <c r="P1871" s="52"/>
    </row>
    <row r="1872" spans="2:16" ht="15" customHeight="1" x14ac:dyDescent="0.3">
      <c r="B1872" s="44"/>
      <c r="H1872" s="51"/>
      <c r="I1872" s="39"/>
      <c r="J1872" s="51"/>
      <c r="K1872" s="51"/>
      <c r="L1872" s="51"/>
      <c r="P1872" s="52"/>
    </row>
    <row r="1873" spans="2:16" ht="15" customHeight="1" x14ac:dyDescent="0.3">
      <c r="B1873" s="44"/>
      <c r="H1873" s="51"/>
      <c r="I1873" s="39"/>
      <c r="J1873" s="51"/>
      <c r="K1873" s="51"/>
      <c r="L1873" s="51"/>
      <c r="P1873" s="52"/>
    </row>
    <row r="1874" spans="2:16" ht="15" customHeight="1" x14ac:dyDescent="0.3">
      <c r="B1874" s="44"/>
      <c r="H1874" s="51"/>
      <c r="I1874" s="39"/>
      <c r="J1874" s="51"/>
      <c r="K1874" s="51"/>
      <c r="L1874" s="51"/>
      <c r="P1874" s="52"/>
    </row>
    <row r="1875" spans="2:16" ht="15" customHeight="1" x14ac:dyDescent="0.3">
      <c r="B1875" s="44"/>
      <c r="H1875" s="51"/>
      <c r="I1875" s="39"/>
      <c r="J1875" s="51"/>
      <c r="K1875" s="51"/>
      <c r="L1875" s="51"/>
      <c r="P1875" s="52"/>
    </row>
    <row r="1876" spans="2:16" ht="15" customHeight="1" x14ac:dyDescent="0.3">
      <c r="B1876" s="44"/>
      <c r="H1876" s="51"/>
      <c r="I1876" s="39"/>
      <c r="J1876" s="51"/>
      <c r="K1876" s="51"/>
      <c r="L1876" s="51"/>
      <c r="P1876" s="52"/>
    </row>
    <row r="1877" spans="2:16" ht="15" customHeight="1" x14ac:dyDescent="0.3">
      <c r="B1877" s="44"/>
      <c r="H1877" s="51"/>
      <c r="I1877" s="39"/>
      <c r="J1877" s="51"/>
      <c r="K1877" s="51"/>
      <c r="L1877" s="51"/>
      <c r="P1877" s="52"/>
    </row>
    <row r="1878" spans="2:16" ht="15" customHeight="1" x14ac:dyDescent="0.3">
      <c r="B1878" s="44"/>
      <c r="H1878" s="51"/>
      <c r="I1878" s="39"/>
      <c r="J1878" s="51"/>
      <c r="K1878" s="51"/>
      <c r="L1878" s="51"/>
      <c r="P1878" s="52"/>
    </row>
    <row r="1879" spans="2:16" ht="15" customHeight="1" x14ac:dyDescent="0.3">
      <c r="B1879" s="44"/>
      <c r="H1879" s="51"/>
      <c r="I1879" s="39"/>
      <c r="J1879" s="51"/>
      <c r="K1879" s="51"/>
      <c r="L1879" s="51"/>
      <c r="P1879" s="52"/>
    </row>
    <row r="1880" spans="2:16" ht="15" customHeight="1" x14ac:dyDescent="0.3">
      <c r="B1880" s="44"/>
      <c r="H1880" s="51"/>
      <c r="I1880" s="39"/>
      <c r="J1880" s="51"/>
      <c r="K1880" s="51"/>
      <c r="L1880" s="51"/>
      <c r="P1880" s="52"/>
    </row>
    <row r="1881" spans="2:16" ht="15" customHeight="1" x14ac:dyDescent="0.3">
      <c r="B1881" s="44"/>
      <c r="H1881" s="51"/>
      <c r="I1881" s="39"/>
      <c r="J1881" s="51"/>
      <c r="K1881" s="51"/>
      <c r="L1881" s="51"/>
      <c r="P1881" s="52"/>
    </row>
    <row r="1882" spans="2:16" ht="15" customHeight="1" x14ac:dyDescent="0.3">
      <c r="B1882" s="44"/>
      <c r="H1882" s="51"/>
      <c r="I1882" s="39"/>
      <c r="J1882" s="51"/>
      <c r="K1882" s="51"/>
      <c r="L1882" s="51"/>
      <c r="P1882" s="52"/>
    </row>
    <row r="1883" spans="2:16" ht="15" customHeight="1" x14ac:dyDescent="0.3">
      <c r="B1883" s="44"/>
      <c r="H1883" s="51"/>
      <c r="I1883" s="39"/>
      <c r="J1883" s="51"/>
      <c r="K1883" s="51"/>
      <c r="L1883" s="51"/>
      <c r="P1883" s="52"/>
    </row>
    <row r="1884" spans="2:16" ht="15" customHeight="1" x14ac:dyDescent="0.3">
      <c r="B1884" s="44"/>
      <c r="H1884" s="51"/>
      <c r="I1884" s="39"/>
      <c r="J1884" s="51"/>
      <c r="K1884" s="51"/>
      <c r="L1884" s="51"/>
      <c r="P1884" s="52"/>
    </row>
    <row r="1885" spans="2:16" ht="15" customHeight="1" x14ac:dyDescent="0.3">
      <c r="B1885" s="44"/>
      <c r="H1885" s="51"/>
      <c r="I1885" s="39"/>
      <c r="J1885" s="51"/>
      <c r="K1885" s="51"/>
      <c r="L1885" s="51"/>
      <c r="P1885" s="52"/>
    </row>
    <row r="1886" spans="2:16" ht="15" customHeight="1" x14ac:dyDescent="0.3">
      <c r="B1886" s="44"/>
      <c r="H1886" s="51"/>
      <c r="I1886" s="39"/>
      <c r="J1886" s="51"/>
      <c r="K1886" s="51"/>
      <c r="L1886" s="51"/>
      <c r="P1886" s="52"/>
    </row>
    <row r="1887" spans="2:16" ht="15" customHeight="1" x14ac:dyDescent="0.3">
      <c r="B1887" s="44"/>
      <c r="H1887" s="51"/>
      <c r="I1887" s="39"/>
      <c r="J1887" s="51"/>
      <c r="K1887" s="51"/>
      <c r="L1887" s="51"/>
      <c r="P1887" s="52"/>
    </row>
    <row r="1888" spans="2:16" ht="15" customHeight="1" x14ac:dyDescent="0.3">
      <c r="B1888" s="44"/>
      <c r="H1888" s="51"/>
      <c r="I1888" s="39"/>
      <c r="J1888" s="51"/>
      <c r="K1888" s="51"/>
      <c r="L1888" s="51"/>
      <c r="P1888" s="52"/>
    </row>
    <row r="1889" spans="2:16" ht="15" customHeight="1" x14ac:dyDescent="0.3">
      <c r="B1889" s="44"/>
      <c r="H1889" s="51"/>
      <c r="I1889" s="39"/>
      <c r="J1889" s="51"/>
      <c r="K1889" s="51"/>
      <c r="L1889" s="51"/>
      <c r="P1889" s="52"/>
    </row>
    <row r="1890" spans="2:16" ht="15" customHeight="1" x14ac:dyDescent="0.3">
      <c r="B1890" s="44"/>
      <c r="H1890" s="51"/>
      <c r="I1890" s="39"/>
      <c r="J1890" s="51"/>
      <c r="K1890" s="51"/>
      <c r="L1890" s="51"/>
      <c r="P1890" s="52"/>
    </row>
    <row r="1891" spans="2:16" ht="15" customHeight="1" x14ac:dyDescent="0.3">
      <c r="B1891" s="44"/>
      <c r="H1891" s="51"/>
      <c r="I1891" s="39"/>
      <c r="J1891" s="51"/>
      <c r="K1891" s="51"/>
      <c r="L1891" s="51"/>
      <c r="P1891" s="52"/>
    </row>
    <row r="1892" spans="2:16" ht="15" customHeight="1" x14ac:dyDescent="0.3">
      <c r="B1892" s="44"/>
      <c r="H1892" s="51"/>
      <c r="I1892" s="39"/>
      <c r="J1892" s="51"/>
      <c r="K1892" s="51"/>
      <c r="L1892" s="51"/>
      <c r="P1892" s="52"/>
    </row>
    <row r="1893" spans="2:16" ht="15" customHeight="1" x14ac:dyDescent="0.3">
      <c r="B1893" s="44"/>
      <c r="H1893" s="51"/>
      <c r="I1893" s="39"/>
      <c r="J1893" s="51"/>
      <c r="K1893" s="51"/>
      <c r="L1893" s="51"/>
      <c r="P1893" s="52"/>
    </row>
    <row r="1894" spans="2:16" ht="15" customHeight="1" x14ac:dyDescent="0.3">
      <c r="B1894" s="44"/>
      <c r="H1894" s="51"/>
      <c r="I1894" s="39"/>
      <c r="J1894" s="51"/>
      <c r="K1894" s="51"/>
      <c r="L1894" s="51"/>
      <c r="P1894" s="52"/>
    </row>
    <row r="1895" spans="2:16" ht="15" customHeight="1" x14ac:dyDescent="0.3">
      <c r="B1895" s="44"/>
      <c r="H1895" s="51"/>
      <c r="I1895" s="39"/>
      <c r="J1895" s="51"/>
      <c r="K1895" s="51"/>
      <c r="L1895" s="51"/>
      <c r="P1895" s="52"/>
    </row>
    <row r="1896" spans="2:16" ht="15" customHeight="1" x14ac:dyDescent="0.3">
      <c r="B1896" s="44"/>
      <c r="H1896" s="51"/>
      <c r="I1896" s="39"/>
      <c r="J1896" s="51"/>
      <c r="K1896" s="51"/>
      <c r="L1896" s="51"/>
      <c r="P1896" s="52"/>
    </row>
    <row r="1897" spans="2:16" ht="15" customHeight="1" x14ac:dyDescent="0.3">
      <c r="B1897" s="44"/>
      <c r="H1897" s="51"/>
      <c r="I1897" s="39"/>
      <c r="J1897" s="51"/>
      <c r="K1897" s="51"/>
      <c r="L1897" s="51"/>
      <c r="P1897" s="52"/>
    </row>
    <row r="1898" spans="2:16" ht="15" customHeight="1" x14ac:dyDescent="0.3">
      <c r="B1898" s="44"/>
      <c r="H1898" s="51"/>
      <c r="I1898" s="39"/>
      <c r="J1898" s="51"/>
      <c r="K1898" s="51"/>
      <c r="L1898" s="51"/>
      <c r="P1898" s="52"/>
    </row>
    <row r="1899" spans="2:16" ht="15" customHeight="1" x14ac:dyDescent="0.3">
      <c r="B1899" s="44"/>
      <c r="H1899" s="51"/>
      <c r="I1899" s="39"/>
      <c r="J1899" s="51"/>
      <c r="K1899" s="51"/>
      <c r="L1899" s="51"/>
      <c r="P1899" s="52"/>
    </row>
    <row r="1900" spans="2:16" ht="15" customHeight="1" x14ac:dyDescent="0.3">
      <c r="B1900" s="44"/>
      <c r="H1900" s="51"/>
      <c r="I1900" s="39"/>
      <c r="J1900" s="51"/>
      <c r="K1900" s="51"/>
      <c r="L1900" s="51"/>
      <c r="P1900" s="52"/>
    </row>
    <row r="1901" spans="2:16" ht="15" customHeight="1" x14ac:dyDescent="0.3">
      <c r="B1901" s="44"/>
      <c r="H1901" s="51"/>
      <c r="I1901" s="39"/>
      <c r="J1901" s="51"/>
      <c r="K1901" s="51"/>
      <c r="L1901" s="51"/>
      <c r="P1901" s="52"/>
    </row>
    <row r="1902" spans="2:16" ht="15" customHeight="1" x14ac:dyDescent="0.3">
      <c r="B1902" s="44"/>
      <c r="H1902" s="51"/>
      <c r="I1902" s="39"/>
      <c r="J1902" s="51"/>
      <c r="K1902" s="51"/>
      <c r="L1902" s="51"/>
      <c r="P1902" s="52"/>
    </row>
    <row r="1903" spans="2:16" ht="15" customHeight="1" x14ac:dyDescent="0.3">
      <c r="B1903" s="44"/>
      <c r="H1903" s="51"/>
      <c r="I1903" s="39"/>
      <c r="J1903" s="51"/>
      <c r="K1903" s="51"/>
      <c r="L1903" s="51"/>
      <c r="P1903" s="52"/>
    </row>
    <row r="1904" spans="2:16" ht="15" customHeight="1" x14ac:dyDescent="0.3">
      <c r="B1904" s="44"/>
      <c r="H1904" s="51"/>
      <c r="I1904" s="39"/>
      <c r="J1904" s="51"/>
      <c r="K1904" s="51"/>
      <c r="L1904" s="51"/>
      <c r="P1904" s="52"/>
    </row>
    <row r="1905" spans="2:16" ht="15" customHeight="1" x14ac:dyDescent="0.3">
      <c r="B1905" s="44"/>
      <c r="H1905" s="51"/>
      <c r="I1905" s="39"/>
      <c r="J1905" s="51"/>
      <c r="K1905" s="51"/>
      <c r="L1905" s="51"/>
      <c r="P1905" s="52"/>
    </row>
    <row r="1906" spans="2:16" ht="15" customHeight="1" x14ac:dyDescent="0.3">
      <c r="B1906" s="44"/>
      <c r="H1906" s="51"/>
      <c r="I1906" s="39"/>
      <c r="J1906" s="51"/>
      <c r="K1906" s="51"/>
      <c r="L1906" s="51"/>
      <c r="P1906" s="52"/>
    </row>
    <row r="1907" spans="2:16" ht="15" customHeight="1" x14ac:dyDescent="0.3">
      <c r="B1907" s="44"/>
      <c r="H1907" s="51"/>
      <c r="I1907" s="39"/>
      <c r="J1907" s="51"/>
      <c r="K1907" s="51"/>
      <c r="L1907" s="51"/>
      <c r="P1907" s="52"/>
    </row>
    <row r="1908" spans="2:16" ht="15" customHeight="1" x14ac:dyDescent="0.3">
      <c r="B1908" s="44"/>
      <c r="H1908" s="51"/>
      <c r="I1908" s="39"/>
      <c r="J1908" s="51"/>
      <c r="K1908" s="51"/>
      <c r="L1908" s="51"/>
      <c r="P1908" s="52"/>
    </row>
    <row r="1909" spans="2:16" ht="15" customHeight="1" x14ac:dyDescent="0.3">
      <c r="B1909" s="44"/>
      <c r="H1909" s="51"/>
      <c r="I1909" s="39"/>
      <c r="J1909" s="51"/>
      <c r="K1909" s="51"/>
      <c r="L1909" s="51"/>
      <c r="P1909" s="52"/>
    </row>
    <row r="1910" spans="2:16" ht="15" customHeight="1" x14ac:dyDescent="0.3">
      <c r="B1910" s="44"/>
      <c r="H1910" s="51"/>
      <c r="I1910" s="39"/>
      <c r="J1910" s="51"/>
      <c r="K1910" s="51"/>
      <c r="L1910" s="51"/>
      <c r="P1910" s="52"/>
    </row>
    <row r="1911" spans="2:16" ht="15" customHeight="1" x14ac:dyDescent="0.3">
      <c r="B1911" s="44"/>
      <c r="H1911" s="51"/>
      <c r="I1911" s="39"/>
      <c r="J1911" s="51"/>
      <c r="K1911" s="51"/>
      <c r="L1911" s="51"/>
      <c r="P1911" s="52"/>
    </row>
    <row r="1912" spans="2:16" ht="15" customHeight="1" x14ac:dyDescent="0.3">
      <c r="B1912" s="44"/>
      <c r="H1912" s="51"/>
      <c r="I1912" s="39"/>
      <c r="J1912" s="51"/>
      <c r="K1912" s="51"/>
      <c r="L1912" s="51"/>
      <c r="P1912" s="52"/>
    </row>
    <row r="1913" spans="2:16" ht="15" customHeight="1" x14ac:dyDescent="0.3">
      <c r="B1913" s="44"/>
      <c r="H1913" s="51"/>
      <c r="I1913" s="39"/>
      <c r="J1913" s="51"/>
      <c r="K1913" s="51"/>
      <c r="L1913" s="51"/>
      <c r="P1913" s="52"/>
    </row>
    <row r="1914" spans="2:16" ht="15" customHeight="1" x14ac:dyDescent="0.3">
      <c r="B1914" s="44"/>
      <c r="H1914" s="51"/>
      <c r="I1914" s="39"/>
      <c r="J1914" s="51"/>
      <c r="K1914" s="51"/>
      <c r="L1914" s="51"/>
      <c r="P1914" s="52"/>
    </row>
    <row r="1915" spans="2:16" ht="15" customHeight="1" x14ac:dyDescent="0.3">
      <c r="B1915" s="44"/>
      <c r="H1915" s="51"/>
      <c r="I1915" s="39"/>
      <c r="J1915" s="51"/>
      <c r="K1915" s="51"/>
      <c r="L1915" s="51"/>
      <c r="P1915" s="52"/>
    </row>
    <row r="1916" spans="2:16" ht="15" customHeight="1" x14ac:dyDescent="0.3">
      <c r="B1916" s="44"/>
      <c r="H1916" s="51"/>
      <c r="I1916" s="39"/>
      <c r="J1916" s="51"/>
      <c r="K1916" s="51"/>
      <c r="L1916" s="51"/>
      <c r="P1916" s="52"/>
    </row>
    <row r="1917" spans="2:16" ht="15" customHeight="1" x14ac:dyDescent="0.3">
      <c r="B1917" s="44"/>
      <c r="H1917" s="51"/>
      <c r="I1917" s="39"/>
      <c r="J1917" s="51"/>
      <c r="K1917" s="51"/>
      <c r="L1917" s="51"/>
      <c r="P1917" s="52"/>
    </row>
    <row r="1918" spans="2:16" ht="15" customHeight="1" x14ac:dyDescent="0.3">
      <c r="B1918" s="44"/>
      <c r="H1918" s="51"/>
      <c r="I1918" s="39"/>
      <c r="J1918" s="51"/>
      <c r="K1918" s="51"/>
      <c r="L1918" s="51"/>
      <c r="P1918" s="52"/>
    </row>
    <row r="1919" spans="2:16" ht="15" customHeight="1" x14ac:dyDescent="0.3">
      <c r="B1919" s="44"/>
      <c r="H1919" s="51"/>
      <c r="I1919" s="39"/>
      <c r="J1919" s="51"/>
      <c r="K1919" s="51"/>
      <c r="L1919" s="51"/>
      <c r="P1919" s="52"/>
    </row>
    <row r="1920" spans="2:16" ht="15" customHeight="1" x14ac:dyDescent="0.3">
      <c r="B1920" s="44"/>
      <c r="H1920" s="51"/>
      <c r="I1920" s="39"/>
      <c r="J1920" s="51"/>
      <c r="K1920" s="51"/>
      <c r="L1920" s="51"/>
      <c r="P1920" s="52"/>
    </row>
    <row r="1921" spans="2:16" ht="15" customHeight="1" x14ac:dyDescent="0.3">
      <c r="B1921" s="44"/>
      <c r="H1921" s="51"/>
      <c r="I1921" s="39"/>
      <c r="J1921" s="51"/>
      <c r="K1921" s="51"/>
      <c r="L1921" s="51"/>
      <c r="P1921" s="52"/>
    </row>
    <row r="1922" spans="2:16" ht="15" customHeight="1" x14ac:dyDescent="0.3">
      <c r="B1922" s="44"/>
      <c r="H1922" s="51"/>
      <c r="I1922" s="39"/>
      <c r="J1922" s="51"/>
      <c r="K1922" s="51"/>
      <c r="L1922" s="51"/>
      <c r="P1922" s="52"/>
    </row>
    <row r="1923" spans="2:16" ht="15" customHeight="1" x14ac:dyDescent="0.3">
      <c r="B1923" s="44"/>
      <c r="H1923" s="51"/>
      <c r="I1923" s="39"/>
      <c r="J1923" s="51"/>
      <c r="K1923" s="51"/>
      <c r="L1923" s="51"/>
      <c r="P1923" s="52"/>
    </row>
    <row r="1924" spans="2:16" ht="15" customHeight="1" x14ac:dyDescent="0.3">
      <c r="B1924" s="44"/>
      <c r="H1924" s="51"/>
      <c r="I1924" s="39"/>
      <c r="J1924" s="51"/>
      <c r="K1924" s="51"/>
      <c r="L1924" s="51"/>
      <c r="P1924" s="52"/>
    </row>
    <row r="1925" spans="2:16" ht="15" customHeight="1" x14ac:dyDescent="0.3">
      <c r="B1925" s="44"/>
      <c r="H1925" s="51"/>
      <c r="I1925" s="39"/>
      <c r="J1925" s="51"/>
      <c r="K1925" s="51"/>
      <c r="L1925" s="51"/>
      <c r="P1925" s="52"/>
    </row>
    <row r="1926" spans="2:16" ht="15" customHeight="1" x14ac:dyDescent="0.3">
      <c r="B1926" s="44"/>
      <c r="H1926" s="51"/>
      <c r="I1926" s="39"/>
      <c r="J1926" s="51"/>
      <c r="K1926" s="51"/>
      <c r="L1926" s="51"/>
      <c r="P1926" s="52"/>
    </row>
    <row r="1927" spans="2:16" ht="15" customHeight="1" x14ac:dyDescent="0.3">
      <c r="B1927" s="44"/>
      <c r="H1927" s="51"/>
      <c r="I1927" s="39"/>
      <c r="J1927" s="51"/>
      <c r="K1927" s="51"/>
      <c r="L1927" s="51"/>
      <c r="P1927" s="52"/>
    </row>
    <row r="1928" spans="2:16" ht="15" customHeight="1" x14ac:dyDescent="0.3">
      <c r="B1928" s="44"/>
      <c r="H1928" s="51"/>
      <c r="I1928" s="39"/>
      <c r="J1928" s="51"/>
      <c r="K1928" s="51"/>
      <c r="L1928" s="51"/>
      <c r="P1928" s="52"/>
    </row>
    <row r="1929" spans="2:16" ht="15" customHeight="1" x14ac:dyDescent="0.3">
      <c r="B1929" s="44"/>
      <c r="H1929" s="51"/>
      <c r="I1929" s="39"/>
      <c r="J1929" s="51"/>
      <c r="K1929" s="51"/>
      <c r="L1929" s="51"/>
      <c r="P1929" s="52"/>
    </row>
    <row r="1930" spans="2:16" ht="15" customHeight="1" x14ac:dyDescent="0.3">
      <c r="B1930" s="44"/>
      <c r="H1930" s="51"/>
      <c r="I1930" s="39"/>
      <c r="J1930" s="51"/>
      <c r="K1930" s="51"/>
      <c r="L1930" s="51"/>
      <c r="P1930" s="52"/>
    </row>
    <row r="1931" spans="2:16" ht="15" customHeight="1" x14ac:dyDescent="0.3">
      <c r="B1931" s="44"/>
      <c r="H1931" s="51"/>
      <c r="I1931" s="39"/>
      <c r="J1931" s="51"/>
      <c r="K1931" s="51"/>
      <c r="L1931" s="51"/>
      <c r="P1931" s="52"/>
    </row>
    <row r="1932" spans="2:16" ht="15" customHeight="1" x14ac:dyDescent="0.3">
      <c r="B1932" s="44"/>
      <c r="H1932" s="51"/>
      <c r="I1932" s="39"/>
      <c r="J1932" s="51"/>
      <c r="K1932" s="51"/>
      <c r="L1932" s="51"/>
      <c r="P1932" s="52"/>
    </row>
    <row r="1933" spans="2:16" ht="15" customHeight="1" x14ac:dyDescent="0.3">
      <c r="B1933" s="44"/>
      <c r="H1933" s="51"/>
      <c r="I1933" s="39"/>
      <c r="J1933" s="51"/>
      <c r="K1933" s="51"/>
      <c r="L1933" s="51"/>
      <c r="P1933" s="52"/>
    </row>
    <row r="1934" spans="2:16" ht="15" customHeight="1" x14ac:dyDescent="0.3">
      <c r="B1934" s="44"/>
      <c r="H1934" s="51"/>
      <c r="I1934" s="39"/>
      <c r="J1934" s="51"/>
      <c r="K1934" s="51"/>
      <c r="L1934" s="51"/>
      <c r="P1934" s="52"/>
    </row>
    <row r="1935" spans="2:16" ht="15" customHeight="1" x14ac:dyDescent="0.3">
      <c r="B1935" s="44"/>
      <c r="H1935" s="51"/>
      <c r="I1935" s="39"/>
      <c r="J1935" s="51"/>
      <c r="K1935" s="51"/>
      <c r="L1935" s="51"/>
      <c r="P1935" s="52"/>
    </row>
    <row r="1936" spans="2:16" ht="15" customHeight="1" x14ac:dyDescent="0.3">
      <c r="B1936" s="44"/>
      <c r="H1936" s="51"/>
      <c r="I1936" s="39"/>
      <c r="J1936" s="51"/>
      <c r="K1936" s="51"/>
      <c r="L1936" s="51"/>
      <c r="P1936" s="52"/>
    </row>
    <row r="1937" spans="2:16" ht="15" customHeight="1" x14ac:dyDescent="0.3">
      <c r="B1937" s="44"/>
      <c r="H1937" s="51"/>
      <c r="I1937" s="39"/>
      <c r="J1937" s="51"/>
      <c r="K1937" s="51"/>
      <c r="L1937" s="51"/>
      <c r="P1937" s="52"/>
    </row>
    <row r="1938" spans="2:16" ht="15" customHeight="1" x14ac:dyDescent="0.3">
      <c r="B1938" s="44"/>
      <c r="H1938" s="51"/>
      <c r="I1938" s="39"/>
      <c r="J1938" s="51"/>
      <c r="K1938" s="51"/>
      <c r="L1938" s="51"/>
      <c r="P1938" s="52"/>
    </row>
    <row r="1939" spans="2:16" ht="15" customHeight="1" x14ac:dyDescent="0.3">
      <c r="B1939" s="44"/>
      <c r="H1939" s="51"/>
      <c r="I1939" s="39"/>
      <c r="J1939" s="51"/>
      <c r="K1939" s="51"/>
      <c r="L1939" s="51"/>
      <c r="P1939" s="52"/>
    </row>
    <row r="1940" spans="2:16" ht="15" customHeight="1" x14ac:dyDescent="0.3">
      <c r="B1940" s="44"/>
      <c r="H1940" s="51"/>
      <c r="I1940" s="39"/>
      <c r="J1940" s="51"/>
      <c r="K1940" s="51"/>
      <c r="L1940" s="51"/>
      <c r="P1940" s="52"/>
    </row>
    <row r="1941" spans="2:16" ht="15" customHeight="1" x14ac:dyDescent="0.3">
      <c r="B1941" s="44"/>
      <c r="H1941" s="51"/>
      <c r="I1941" s="39"/>
      <c r="J1941" s="51"/>
      <c r="K1941" s="51"/>
      <c r="L1941" s="51"/>
      <c r="P1941" s="52"/>
    </row>
    <row r="1942" spans="2:16" ht="15" customHeight="1" x14ac:dyDescent="0.3">
      <c r="B1942" s="44"/>
      <c r="H1942" s="51"/>
      <c r="I1942" s="39"/>
      <c r="J1942" s="51"/>
      <c r="K1942" s="51"/>
      <c r="L1942" s="51"/>
      <c r="P1942" s="52"/>
    </row>
    <row r="1943" spans="2:16" ht="15" customHeight="1" x14ac:dyDescent="0.3">
      <c r="B1943" s="44"/>
      <c r="H1943" s="51"/>
      <c r="I1943" s="39"/>
      <c r="J1943" s="51"/>
      <c r="K1943" s="51"/>
      <c r="L1943" s="51"/>
      <c r="P1943" s="52"/>
    </row>
    <row r="1944" spans="2:16" ht="15" customHeight="1" x14ac:dyDescent="0.3">
      <c r="B1944" s="44"/>
      <c r="H1944" s="51"/>
      <c r="I1944" s="39"/>
      <c r="J1944" s="51"/>
      <c r="K1944" s="51"/>
      <c r="L1944" s="51"/>
      <c r="P1944" s="52"/>
    </row>
    <row r="1945" spans="2:16" ht="15" customHeight="1" x14ac:dyDescent="0.3">
      <c r="B1945" s="44"/>
      <c r="H1945" s="51"/>
      <c r="I1945" s="39"/>
      <c r="J1945" s="51"/>
      <c r="K1945" s="51"/>
      <c r="L1945" s="51"/>
      <c r="P1945" s="52"/>
    </row>
    <row r="1946" spans="2:16" ht="15" customHeight="1" x14ac:dyDescent="0.3">
      <c r="B1946" s="44"/>
      <c r="H1946" s="51"/>
      <c r="I1946" s="39"/>
      <c r="J1946" s="51"/>
      <c r="K1946" s="51"/>
      <c r="L1946" s="51"/>
      <c r="P1946" s="52"/>
    </row>
    <row r="1947" spans="2:16" ht="15" customHeight="1" x14ac:dyDescent="0.3">
      <c r="B1947" s="44"/>
      <c r="H1947" s="51"/>
      <c r="I1947" s="39"/>
      <c r="J1947" s="51"/>
      <c r="K1947" s="51"/>
      <c r="L1947" s="51"/>
      <c r="P1947" s="52"/>
    </row>
    <row r="1948" spans="2:16" ht="15" customHeight="1" x14ac:dyDescent="0.3">
      <c r="B1948" s="44"/>
      <c r="H1948" s="51"/>
      <c r="I1948" s="39"/>
      <c r="J1948" s="51"/>
      <c r="K1948" s="51"/>
      <c r="L1948" s="51"/>
      <c r="P1948" s="52"/>
    </row>
    <row r="1949" spans="2:16" ht="15" customHeight="1" x14ac:dyDescent="0.3">
      <c r="B1949" s="44"/>
      <c r="H1949" s="51"/>
      <c r="I1949" s="39"/>
      <c r="J1949" s="51"/>
      <c r="K1949" s="51"/>
      <c r="L1949" s="51"/>
      <c r="P1949" s="52"/>
    </row>
    <row r="1950" spans="2:16" ht="15" customHeight="1" x14ac:dyDescent="0.3">
      <c r="B1950" s="44"/>
      <c r="H1950" s="51"/>
      <c r="I1950" s="39"/>
      <c r="J1950" s="51"/>
      <c r="K1950" s="51"/>
      <c r="L1950" s="51"/>
      <c r="P1950" s="52"/>
    </row>
    <row r="1951" spans="2:16" ht="15" customHeight="1" x14ac:dyDescent="0.3">
      <c r="B1951" s="44"/>
      <c r="H1951" s="51"/>
      <c r="I1951" s="39"/>
      <c r="J1951" s="51"/>
      <c r="K1951" s="51"/>
      <c r="L1951" s="51"/>
      <c r="P1951" s="52"/>
    </row>
    <row r="1952" spans="2:16" ht="15" customHeight="1" x14ac:dyDescent="0.3">
      <c r="B1952" s="44"/>
      <c r="H1952" s="51"/>
      <c r="I1952" s="39"/>
      <c r="J1952" s="51"/>
      <c r="K1952" s="51"/>
      <c r="L1952" s="51"/>
      <c r="P1952" s="52"/>
    </row>
    <row r="1953" spans="2:16" ht="15" customHeight="1" x14ac:dyDescent="0.3">
      <c r="B1953" s="44"/>
      <c r="H1953" s="51"/>
      <c r="I1953" s="39"/>
      <c r="J1953" s="51"/>
      <c r="K1953" s="51"/>
      <c r="L1953" s="51"/>
      <c r="P1953" s="52"/>
    </row>
    <row r="1954" spans="2:16" ht="15" customHeight="1" x14ac:dyDescent="0.3">
      <c r="B1954" s="44"/>
      <c r="H1954" s="51"/>
      <c r="I1954" s="39"/>
      <c r="J1954" s="51"/>
      <c r="K1954" s="51"/>
      <c r="L1954" s="51"/>
      <c r="P1954" s="52"/>
    </row>
    <row r="1955" spans="2:16" ht="15" customHeight="1" x14ac:dyDescent="0.3">
      <c r="B1955" s="44"/>
      <c r="H1955" s="51"/>
      <c r="I1955" s="39"/>
      <c r="J1955" s="51"/>
      <c r="K1955" s="51"/>
      <c r="L1955" s="51"/>
      <c r="P1955" s="52"/>
    </row>
    <row r="1956" spans="2:16" ht="15" customHeight="1" x14ac:dyDescent="0.3">
      <c r="B1956" s="44"/>
      <c r="H1956" s="51"/>
      <c r="I1956" s="39"/>
      <c r="J1956" s="51"/>
      <c r="K1956" s="51"/>
      <c r="L1956" s="51"/>
      <c r="P1956" s="52"/>
    </row>
    <row r="1957" spans="2:16" ht="15" customHeight="1" x14ac:dyDescent="0.3">
      <c r="B1957" s="44"/>
      <c r="H1957" s="51"/>
      <c r="I1957" s="39"/>
      <c r="J1957" s="51"/>
      <c r="K1957" s="51"/>
      <c r="L1957" s="51"/>
      <c r="P1957" s="52"/>
    </row>
    <row r="1958" spans="2:16" ht="15" customHeight="1" x14ac:dyDescent="0.3">
      <c r="B1958" s="44"/>
      <c r="H1958" s="51"/>
      <c r="I1958" s="39"/>
      <c r="J1958" s="51"/>
      <c r="K1958" s="51"/>
      <c r="L1958" s="51"/>
      <c r="P1958" s="52"/>
    </row>
    <row r="1959" spans="2:16" ht="15" customHeight="1" x14ac:dyDescent="0.3">
      <c r="B1959" s="44"/>
      <c r="H1959" s="51"/>
      <c r="I1959" s="39"/>
      <c r="J1959" s="51"/>
      <c r="K1959" s="51"/>
      <c r="L1959" s="51"/>
      <c r="P1959" s="52"/>
    </row>
    <row r="1960" spans="2:16" ht="15" customHeight="1" x14ac:dyDescent="0.3">
      <c r="B1960" s="44"/>
      <c r="H1960" s="51"/>
      <c r="I1960" s="39"/>
      <c r="J1960" s="51"/>
      <c r="K1960" s="51"/>
      <c r="L1960" s="51"/>
      <c r="P1960" s="52"/>
    </row>
    <row r="1961" spans="2:16" ht="15" customHeight="1" x14ac:dyDescent="0.3">
      <c r="B1961" s="44"/>
      <c r="H1961" s="51"/>
      <c r="I1961" s="39"/>
      <c r="J1961" s="51"/>
      <c r="K1961" s="51"/>
      <c r="L1961" s="51"/>
      <c r="P1961" s="52"/>
    </row>
    <row r="1962" spans="2:16" ht="15" customHeight="1" x14ac:dyDescent="0.3">
      <c r="B1962" s="44"/>
      <c r="H1962" s="51"/>
      <c r="I1962" s="39"/>
      <c r="J1962" s="51"/>
      <c r="K1962" s="51"/>
      <c r="L1962" s="51"/>
      <c r="P1962" s="52"/>
    </row>
    <row r="1963" spans="2:16" ht="15" customHeight="1" x14ac:dyDescent="0.3">
      <c r="B1963" s="44"/>
      <c r="H1963" s="51"/>
      <c r="I1963" s="39"/>
      <c r="J1963" s="51"/>
      <c r="K1963" s="51"/>
      <c r="L1963" s="51"/>
      <c r="P1963" s="52"/>
    </row>
    <row r="1964" spans="2:16" ht="15" customHeight="1" x14ac:dyDescent="0.3">
      <c r="B1964" s="44"/>
      <c r="H1964" s="51"/>
      <c r="I1964" s="39"/>
      <c r="J1964" s="51"/>
      <c r="K1964" s="51"/>
      <c r="L1964" s="51"/>
      <c r="P1964" s="52"/>
    </row>
    <row r="1965" spans="2:16" ht="15" customHeight="1" x14ac:dyDescent="0.3">
      <c r="B1965" s="44"/>
      <c r="H1965" s="51"/>
      <c r="I1965" s="39"/>
      <c r="J1965" s="51"/>
      <c r="K1965" s="51"/>
      <c r="L1965" s="51"/>
      <c r="P1965" s="52"/>
    </row>
    <row r="1966" spans="2:16" ht="15" customHeight="1" x14ac:dyDescent="0.3">
      <c r="B1966" s="44"/>
      <c r="H1966" s="51"/>
      <c r="I1966" s="39"/>
      <c r="J1966" s="51"/>
      <c r="K1966" s="51"/>
      <c r="L1966" s="51"/>
      <c r="P1966" s="52"/>
    </row>
    <row r="1967" spans="2:16" ht="15" customHeight="1" x14ac:dyDescent="0.3">
      <c r="B1967" s="44"/>
      <c r="H1967" s="51"/>
      <c r="I1967" s="39"/>
      <c r="J1967" s="51"/>
      <c r="K1967" s="51"/>
      <c r="L1967" s="51"/>
      <c r="P1967" s="52"/>
    </row>
    <row r="1968" spans="2:16" ht="15" customHeight="1" x14ac:dyDescent="0.3">
      <c r="B1968" s="44"/>
      <c r="H1968" s="51"/>
      <c r="I1968" s="39"/>
      <c r="J1968" s="51"/>
      <c r="K1968" s="51"/>
      <c r="L1968" s="51"/>
      <c r="P1968" s="52"/>
    </row>
    <row r="1969" spans="2:16" ht="15" customHeight="1" x14ac:dyDescent="0.3">
      <c r="B1969" s="44"/>
      <c r="H1969" s="51"/>
      <c r="I1969" s="39"/>
      <c r="J1969" s="51"/>
      <c r="K1969" s="51"/>
      <c r="L1969" s="51"/>
      <c r="P1969" s="52"/>
    </row>
    <row r="1970" spans="2:16" ht="15" customHeight="1" x14ac:dyDescent="0.3">
      <c r="B1970" s="44"/>
      <c r="H1970" s="51"/>
      <c r="I1970" s="39"/>
      <c r="J1970" s="51"/>
      <c r="K1970" s="51"/>
      <c r="L1970" s="51"/>
      <c r="P1970" s="52"/>
    </row>
    <row r="1971" spans="2:16" ht="15" customHeight="1" x14ac:dyDescent="0.3">
      <c r="B1971" s="44"/>
      <c r="H1971" s="51"/>
      <c r="I1971" s="39"/>
      <c r="J1971" s="51"/>
      <c r="K1971" s="51"/>
      <c r="L1971" s="51"/>
      <c r="P1971" s="52"/>
    </row>
    <row r="1972" spans="2:16" ht="15" customHeight="1" x14ac:dyDescent="0.3">
      <c r="B1972" s="44"/>
      <c r="H1972" s="51"/>
      <c r="I1972" s="39"/>
      <c r="J1972" s="51"/>
      <c r="K1972" s="51"/>
      <c r="L1972" s="51"/>
      <c r="P1972" s="52"/>
    </row>
    <row r="1973" spans="2:16" ht="15" customHeight="1" x14ac:dyDescent="0.3">
      <c r="B1973" s="44"/>
      <c r="H1973" s="51"/>
      <c r="I1973" s="39"/>
      <c r="J1973" s="51"/>
      <c r="K1973" s="51"/>
      <c r="L1973" s="51"/>
      <c r="P1973" s="52"/>
    </row>
    <row r="1974" spans="2:16" ht="15" customHeight="1" x14ac:dyDescent="0.3">
      <c r="B1974" s="44"/>
      <c r="H1974" s="51"/>
      <c r="I1974" s="39"/>
      <c r="J1974" s="51"/>
      <c r="K1974" s="51"/>
      <c r="L1974" s="51"/>
      <c r="P1974" s="52"/>
    </row>
    <row r="1975" spans="2:16" ht="15" customHeight="1" x14ac:dyDescent="0.3">
      <c r="B1975" s="44"/>
      <c r="H1975" s="51"/>
      <c r="I1975" s="39"/>
      <c r="J1975" s="51"/>
      <c r="K1975" s="51"/>
      <c r="L1975" s="51"/>
      <c r="P1975" s="52"/>
    </row>
    <row r="1976" spans="2:16" ht="15" customHeight="1" x14ac:dyDescent="0.3">
      <c r="B1976" s="44"/>
      <c r="H1976" s="51"/>
      <c r="I1976" s="39"/>
      <c r="J1976" s="51"/>
      <c r="K1976" s="51"/>
      <c r="L1976" s="51"/>
      <c r="P1976" s="52"/>
    </row>
  </sheetData>
  <autoFilter ref="A1:U796" xr:uid="{461E7076-4D4F-4CCE-AE9B-659D33CAE13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00608-87c1-4b7c-937f-b2582eea695b">
      <Terms xmlns="http://schemas.microsoft.com/office/infopath/2007/PartnerControls"/>
    </lcf76f155ced4ddcb4097134ff3c332f>
    <TaxCatchAll xmlns="5c680a88-8913-4f49-a90f-96ec542e1a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4E262F-3116-4E10-A677-53BF4F55A5F8}">
  <ds:schemaRefs>
    <ds:schemaRef ds:uri="http://schemas.microsoft.com/office/2006/metadata/properties"/>
    <ds:schemaRef ds:uri="http://schemas.microsoft.com/office/infopath/2007/PartnerControls"/>
    <ds:schemaRef ds:uri="76700608-87c1-4b7c-937f-b2582eea695b"/>
    <ds:schemaRef ds:uri="5c680a88-8913-4f49-a90f-96ec542e1a5b"/>
  </ds:schemaRefs>
</ds:datastoreItem>
</file>

<file path=customXml/itemProps2.xml><?xml version="1.0" encoding="utf-8"?>
<ds:datastoreItem xmlns:ds="http://schemas.openxmlformats.org/officeDocument/2006/customXml" ds:itemID="{444CAA38-5AEB-4D5D-9B73-DB3921DAAA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25223F-01A6-4C7D-8E85-BACD90144900}"/>
</file>

<file path=docMetadata/LabelInfo.xml><?xml version="1.0" encoding="utf-8"?>
<clbl:labelList xmlns:clbl="http://schemas.microsoft.com/office/2020/mipLabelMetadata">
  <clbl:label id="{059eb431-8a05-4e9a-9d3a-0a9056cd91f1}" enabled="0" method="" siteId="{059eb431-8a05-4e9a-9d3a-0a9056cd91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TD 2026</vt:lpstr>
      <vt:lpstr>Hoja1</vt:lpstr>
      <vt:lpstr>DATOS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 Anadón</dc:creator>
  <cp:keywords/>
  <dc:description/>
  <cp:lastModifiedBy>Marc Anadon</cp:lastModifiedBy>
  <cp:revision/>
  <dcterms:created xsi:type="dcterms:W3CDTF">2025-10-09T10:04:15Z</dcterms:created>
  <dcterms:modified xsi:type="dcterms:W3CDTF">2026-03-11T09:39:00Z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0x010100526B37DCBE27DF4DB781863BFA31B7FA</vt:lpwstr>
  </property>
  <property fmtid="{D5CDD505-2E9C-101B-9397-08002B2CF9AE}" pid="3" name="MediaServiceImageTags">
    <vt:lpwstr/>
  </property>
</Properties>
</file>